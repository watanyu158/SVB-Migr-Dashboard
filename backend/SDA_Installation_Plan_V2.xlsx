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C2985DD2-C2AE-4228-B1D9-1BC7CB210746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607" i="2"/>
  <c r="N607" i="2"/>
  <c r="M607" i="2"/>
  <c r="L607" i="2"/>
  <c r="K607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8" i="2"/>
  <c r="N598" i="2"/>
  <c r="M598" i="2"/>
  <c r="L598" i="2"/>
  <c r="K598" i="2"/>
  <c r="O597" i="2"/>
  <c r="N597" i="2"/>
  <c r="M597" i="2"/>
  <c r="L597" i="2"/>
  <c r="K597" i="2"/>
  <c r="O596" i="2"/>
  <c r="N596" i="2"/>
  <c r="M596" i="2"/>
  <c r="L596" i="2"/>
  <c r="K596" i="2"/>
  <c r="O595" i="2"/>
  <c r="N595" i="2"/>
  <c r="M595" i="2"/>
  <c r="L595" i="2"/>
  <c r="K595" i="2"/>
  <c r="O594" i="2"/>
  <c r="N594" i="2"/>
  <c r="M594" i="2"/>
  <c r="L594" i="2"/>
  <c r="K594" i="2"/>
  <c r="O593" i="2"/>
  <c r="N593" i="2"/>
  <c r="M593" i="2"/>
  <c r="L593" i="2"/>
  <c r="K593" i="2"/>
  <c r="O592" i="2"/>
  <c r="N592" i="2"/>
  <c r="M592" i="2"/>
  <c r="L592" i="2"/>
  <c r="K592" i="2"/>
  <c r="O591" i="2"/>
  <c r="N591" i="2"/>
  <c r="M591" i="2"/>
  <c r="L591" i="2"/>
  <c r="K591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79" i="2"/>
  <c r="N579" i="2"/>
  <c r="M579" i="2"/>
  <c r="L579" i="2"/>
  <c r="K579" i="2"/>
  <c r="O578" i="2"/>
  <c r="N578" i="2"/>
  <c r="M578" i="2"/>
  <c r="L578" i="2"/>
  <c r="K578" i="2"/>
  <c r="O577" i="2"/>
  <c r="N577" i="2"/>
  <c r="M577" i="2"/>
  <c r="L577" i="2"/>
  <c r="K577" i="2"/>
  <c r="O576" i="2"/>
  <c r="N576" i="2"/>
  <c r="M576" i="2"/>
  <c r="L576" i="2"/>
  <c r="K576" i="2"/>
  <c r="O575" i="2"/>
  <c r="N575" i="2"/>
  <c r="M575" i="2"/>
  <c r="L575" i="2"/>
  <c r="K575" i="2"/>
  <c r="O574" i="2"/>
  <c r="N574" i="2"/>
  <c r="M574" i="2"/>
  <c r="L574" i="2"/>
  <c r="K574" i="2"/>
  <c r="O573" i="2"/>
  <c r="N573" i="2"/>
  <c r="M573" i="2"/>
  <c r="L573" i="2"/>
  <c r="K573" i="2"/>
  <c r="O572" i="2"/>
  <c r="N572" i="2"/>
  <c r="M572" i="2"/>
  <c r="L572" i="2"/>
  <c r="K572" i="2"/>
  <c r="O571" i="2"/>
  <c r="N571" i="2"/>
  <c r="M571" i="2"/>
  <c r="L571" i="2"/>
  <c r="K571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59" i="2"/>
  <c r="N559" i="2"/>
  <c r="M559" i="2"/>
  <c r="L559" i="2"/>
  <c r="K559" i="2"/>
  <c r="O558" i="2"/>
  <c r="N558" i="2"/>
  <c r="M558" i="2"/>
  <c r="L558" i="2"/>
  <c r="K558" i="2"/>
  <c r="O557" i="2"/>
  <c r="N557" i="2"/>
  <c r="M557" i="2"/>
  <c r="L557" i="2"/>
  <c r="K557" i="2"/>
  <c r="O556" i="2"/>
  <c r="N556" i="2"/>
  <c r="M556" i="2"/>
  <c r="L556" i="2"/>
  <c r="K556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1" i="2"/>
  <c r="N551" i="2"/>
  <c r="M551" i="2"/>
  <c r="L551" i="2"/>
  <c r="K551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434" i="2"/>
  <c r="N434" i="2"/>
  <c r="M434" i="2"/>
  <c r="L434" i="2"/>
  <c r="K434" i="2"/>
  <c r="O433" i="2"/>
  <c r="N433" i="2"/>
  <c r="M433" i="2"/>
  <c r="L433" i="2"/>
  <c r="K433" i="2"/>
  <c r="O432" i="2"/>
  <c r="N432" i="2"/>
  <c r="M432" i="2"/>
  <c r="L432" i="2"/>
  <c r="K432" i="2"/>
  <c r="O431" i="2"/>
  <c r="N431" i="2"/>
  <c r="M431" i="2"/>
  <c r="L431" i="2"/>
  <c r="K431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6" i="2"/>
  <c r="N416" i="2"/>
  <c r="M416" i="2"/>
  <c r="L416" i="2"/>
  <c r="K416" i="2"/>
  <c r="O415" i="2"/>
  <c r="N415" i="2"/>
  <c r="M415" i="2"/>
  <c r="L415" i="2"/>
  <c r="K415" i="2"/>
  <c r="O414" i="2"/>
  <c r="N414" i="2"/>
  <c r="M414" i="2"/>
  <c r="L414" i="2"/>
  <c r="K414" i="2"/>
  <c r="O413" i="2"/>
  <c r="N413" i="2"/>
  <c r="M413" i="2"/>
  <c r="L413" i="2"/>
  <c r="K413" i="2"/>
  <c r="O412" i="2"/>
  <c r="N412" i="2"/>
  <c r="M412" i="2"/>
  <c r="L412" i="2"/>
  <c r="K412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391" i="2"/>
  <c r="N391" i="2"/>
  <c r="M391" i="2"/>
  <c r="L391" i="2"/>
  <c r="K391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378" i="2"/>
  <c r="N378" i="2"/>
  <c r="M378" i="2"/>
  <c r="L378" i="2"/>
  <c r="K378" i="2"/>
  <c r="O377" i="2"/>
  <c r="N377" i="2"/>
  <c r="M377" i="2"/>
  <c r="L377" i="2"/>
  <c r="K377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O369" i="2"/>
  <c r="N369" i="2"/>
  <c r="M369" i="2"/>
  <c r="L369" i="2"/>
  <c r="K369" i="2"/>
  <c r="O368" i="2"/>
  <c r="N368" i="2"/>
  <c r="M368" i="2"/>
  <c r="L368" i="2"/>
  <c r="K368" i="2"/>
  <c r="O367" i="2"/>
  <c r="N367" i="2"/>
  <c r="M367" i="2"/>
  <c r="L367" i="2"/>
  <c r="K367" i="2"/>
  <c r="O366" i="2"/>
  <c r="N366" i="2"/>
  <c r="M366" i="2"/>
  <c r="L366" i="2"/>
  <c r="K366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51" i="2"/>
  <c r="N351" i="2"/>
  <c r="M351" i="2"/>
  <c r="L351" i="2"/>
  <c r="K351" i="2"/>
  <c r="O350" i="2"/>
  <c r="N350" i="2"/>
  <c r="M350" i="2"/>
  <c r="L350" i="2"/>
  <c r="K350" i="2"/>
  <c r="O349" i="2"/>
  <c r="N349" i="2"/>
  <c r="M349" i="2"/>
  <c r="L349" i="2"/>
  <c r="K349" i="2"/>
  <c r="O348" i="2"/>
  <c r="N348" i="2"/>
  <c r="M348" i="2"/>
  <c r="L348" i="2"/>
  <c r="K348" i="2"/>
  <c r="O347" i="2"/>
  <c r="N347" i="2"/>
  <c r="M347" i="2"/>
  <c r="L347" i="2"/>
  <c r="K347" i="2"/>
  <c r="O346" i="2"/>
  <c r="N346" i="2"/>
  <c r="M346" i="2"/>
  <c r="L346" i="2"/>
  <c r="K346" i="2"/>
  <c r="O345" i="2"/>
  <c r="N345" i="2"/>
  <c r="M345" i="2"/>
  <c r="L345" i="2"/>
  <c r="K345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311" i="2"/>
  <c r="N311" i="2"/>
  <c r="M311" i="2"/>
  <c r="L311" i="2"/>
  <c r="K311" i="2"/>
  <c r="O310" i="2"/>
  <c r="N310" i="2"/>
  <c r="M310" i="2"/>
  <c r="L310" i="2"/>
  <c r="K310" i="2"/>
  <c r="O309" i="2"/>
  <c r="N309" i="2"/>
  <c r="M309" i="2"/>
  <c r="L309" i="2"/>
  <c r="K309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216" i="2"/>
  <c r="N216" i="2"/>
  <c r="M216" i="2"/>
  <c r="L216" i="2"/>
  <c r="K216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05" i="2"/>
  <c r="N205" i="2"/>
  <c r="M205" i="2"/>
  <c r="L205" i="2"/>
  <c r="K205" i="2"/>
  <c r="O204" i="2"/>
  <c r="N204" i="2"/>
  <c r="M204" i="2"/>
  <c r="L204" i="2"/>
  <c r="K204" i="2"/>
  <c r="O203" i="2"/>
  <c r="N203" i="2"/>
  <c r="M203" i="2"/>
  <c r="L203" i="2"/>
  <c r="K203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91" i="2"/>
  <c r="N191" i="2"/>
  <c r="M191" i="2"/>
  <c r="L191" i="2"/>
  <c r="K191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3" i="2"/>
  <c r="N163" i="2"/>
  <c r="M163" i="2"/>
  <c r="L163" i="2"/>
  <c r="K163" i="2"/>
  <c r="O162" i="2"/>
  <c r="N162" i="2"/>
  <c r="M162" i="2"/>
  <c r="L162" i="2"/>
  <c r="K162" i="2"/>
  <c r="O161" i="2"/>
  <c r="N161" i="2"/>
  <c r="M161" i="2"/>
  <c r="L161" i="2"/>
  <c r="K161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126" i="2"/>
  <c r="N126" i="2"/>
  <c r="M126" i="2"/>
  <c r="L126" i="2"/>
  <c r="K126" i="2"/>
  <c r="O125" i="2"/>
  <c r="N125" i="2"/>
  <c r="M125" i="2"/>
  <c r="L125" i="2"/>
  <c r="K125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119" i="2"/>
  <c r="N119" i="2"/>
  <c r="M119" i="2"/>
  <c r="L119" i="2"/>
  <c r="K119" i="2"/>
  <c r="O118" i="2"/>
  <c r="N118" i="2"/>
  <c r="M118" i="2"/>
  <c r="L118" i="2"/>
  <c r="K118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111" i="2"/>
  <c r="N111" i="2"/>
  <c r="M111" i="2"/>
  <c r="L111" i="2"/>
  <c r="K111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07" i="2"/>
  <c r="N107" i="2"/>
  <c r="M107" i="2"/>
  <c r="L107" i="2"/>
  <c r="K107" i="2"/>
  <c r="O106" i="2"/>
  <c r="N106" i="2"/>
  <c r="M106" i="2"/>
  <c r="L106" i="2"/>
  <c r="K106" i="2"/>
  <c r="O105" i="2"/>
  <c r="N105" i="2"/>
  <c r="M105" i="2"/>
  <c r="L105" i="2"/>
  <c r="K105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92" i="2"/>
  <c r="N92" i="2"/>
  <c r="M92" i="2"/>
  <c r="L92" i="2"/>
  <c r="K92" i="2"/>
  <c r="O91" i="2"/>
  <c r="N91" i="2"/>
  <c r="M91" i="2"/>
  <c r="L91" i="2"/>
  <c r="K91" i="2"/>
  <c r="O90" i="2"/>
  <c r="N90" i="2"/>
  <c r="M90" i="2"/>
  <c r="L90" i="2"/>
  <c r="K90" i="2"/>
  <c r="O89" i="2"/>
  <c r="N89" i="2"/>
  <c r="M89" i="2"/>
  <c r="L89" i="2"/>
  <c r="K89" i="2"/>
  <c r="O88" i="2"/>
  <c r="N88" i="2"/>
  <c r="M88" i="2"/>
  <c r="L88" i="2"/>
  <c r="K88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81" i="2"/>
  <c r="N81" i="2"/>
  <c r="M81" i="2"/>
  <c r="L81" i="2"/>
  <c r="K81" i="2"/>
  <c r="O80" i="2"/>
  <c r="N80" i="2"/>
  <c r="M80" i="2"/>
  <c r="L80" i="2"/>
  <c r="K80" i="2"/>
  <c r="O79" i="2"/>
  <c r="N79" i="2"/>
  <c r="M79" i="2"/>
  <c r="L79" i="2"/>
  <c r="K79" i="2"/>
  <c r="O78" i="2"/>
  <c r="N78" i="2"/>
  <c r="M78" i="2"/>
  <c r="L78" i="2"/>
  <c r="K78" i="2"/>
  <c r="O77" i="2"/>
  <c r="N77" i="2"/>
  <c r="M77" i="2"/>
  <c r="L77" i="2"/>
  <c r="K77" i="2"/>
  <c r="O76" i="2"/>
  <c r="N76" i="2"/>
  <c r="M76" i="2"/>
  <c r="L76" i="2"/>
  <c r="K76" i="2"/>
  <c r="O75" i="2"/>
  <c r="N75" i="2"/>
  <c r="M75" i="2"/>
  <c r="L75" i="2"/>
  <c r="K75" i="2"/>
  <c r="O74" i="2"/>
  <c r="N74" i="2"/>
  <c r="M74" i="2"/>
  <c r="L74" i="2"/>
  <c r="K74" i="2"/>
  <c r="O73" i="2"/>
  <c r="N73" i="2"/>
  <c r="M73" i="2"/>
  <c r="L73" i="2"/>
  <c r="K73" i="2"/>
  <c r="O72" i="2"/>
  <c r="N72" i="2"/>
  <c r="M72" i="2"/>
  <c r="L72" i="2"/>
  <c r="K72" i="2"/>
  <c r="O71" i="2"/>
  <c r="N71" i="2"/>
  <c r="M71" i="2"/>
  <c r="L71" i="2"/>
  <c r="K71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7" i="2"/>
  <c r="N67" i="2"/>
  <c r="M67" i="2"/>
  <c r="L67" i="2"/>
  <c r="K67" i="2"/>
  <c r="O66" i="2"/>
  <c r="N66" i="2"/>
  <c r="M66" i="2"/>
  <c r="L66" i="2"/>
  <c r="K66" i="2"/>
  <c r="O65" i="2"/>
  <c r="N65" i="2"/>
  <c r="M65" i="2"/>
  <c r="L65" i="2"/>
  <c r="K65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58" i="2"/>
  <c r="N58" i="2"/>
  <c r="M58" i="2"/>
  <c r="L58" i="2"/>
  <c r="K58" i="2"/>
  <c r="O57" i="2"/>
  <c r="N57" i="2"/>
  <c r="M57" i="2"/>
  <c r="L57" i="2"/>
  <c r="K57" i="2"/>
  <c r="O56" i="2"/>
  <c r="N56" i="2"/>
  <c r="M56" i="2"/>
  <c r="L56" i="2"/>
  <c r="K56" i="2"/>
  <c r="O55" i="2"/>
  <c r="N55" i="2"/>
  <c r="M55" i="2"/>
  <c r="L55" i="2"/>
  <c r="K55" i="2"/>
  <c r="O54" i="2"/>
  <c r="N54" i="2"/>
  <c r="M54" i="2"/>
  <c r="L54" i="2"/>
  <c r="K54" i="2"/>
  <c r="O53" i="2"/>
  <c r="N53" i="2"/>
  <c r="M53" i="2"/>
  <c r="L53" i="2"/>
  <c r="K53" i="2"/>
  <c r="O52" i="2"/>
  <c r="N52" i="2"/>
  <c r="M52" i="2"/>
  <c r="L52" i="2"/>
  <c r="K52" i="2"/>
  <c r="O51" i="2"/>
  <c r="N51" i="2"/>
  <c r="M51" i="2"/>
  <c r="L51" i="2"/>
  <c r="K51" i="2"/>
  <c r="O50" i="2"/>
  <c r="N50" i="2"/>
  <c r="M50" i="2"/>
  <c r="L50" i="2"/>
  <c r="K50" i="2"/>
  <c r="O49" i="2"/>
  <c r="N49" i="2"/>
  <c r="M49" i="2"/>
  <c r="L49" i="2"/>
  <c r="K49" i="2"/>
  <c r="O48" i="2"/>
  <c r="N48" i="2"/>
  <c r="M48" i="2"/>
  <c r="L48" i="2"/>
  <c r="K48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O41" i="2"/>
  <c r="N41" i="2"/>
  <c r="M41" i="2"/>
  <c r="L41" i="2"/>
  <c r="K41" i="2"/>
  <c r="O40" i="2"/>
  <c r="N40" i="2"/>
  <c r="M40" i="2"/>
  <c r="L40" i="2"/>
  <c r="K40" i="2"/>
  <c r="O39" i="2"/>
  <c r="N39" i="2"/>
  <c r="M39" i="2"/>
  <c r="L39" i="2"/>
  <c r="K39" i="2"/>
  <c r="O38" i="2"/>
  <c r="N38" i="2"/>
  <c r="M38" i="2"/>
  <c r="L38" i="2"/>
  <c r="K38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15" i="2"/>
  <c r="N15" i="2"/>
  <c r="M15" i="2"/>
  <c r="L15" i="2"/>
  <c r="K15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6" i="2"/>
  <c r="N6" i="2"/>
  <c r="M6" i="2"/>
  <c r="L6" i="2"/>
  <c r="K6" i="2"/>
  <c r="O5" i="2"/>
  <c r="N5" i="2"/>
  <c r="M5" i="2"/>
  <c r="L5" i="2"/>
  <c r="K5" i="2"/>
  <c r="O4" i="2"/>
  <c r="N4" i="2"/>
  <c r="M4" i="2"/>
  <c r="L4" i="2"/>
  <c r="K4" i="2"/>
  <c r="O3" i="2"/>
  <c r="N3" i="2"/>
  <c r="M3" i="2"/>
  <c r="L3" i="2"/>
  <c r="K3" i="2"/>
  <c r="O2" i="2"/>
  <c r="N2" i="2"/>
  <c r="M2" i="2"/>
  <c r="L2" i="2"/>
  <c r="K2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J57" i="1"/>
  <c r="G57" i="1"/>
  <c r="D57" i="1"/>
  <c r="C57" i="1"/>
  <c r="B57" i="1"/>
  <c r="I56" i="1"/>
  <c r="G56" i="1"/>
  <c r="D56" i="1"/>
  <c r="C56" i="1"/>
  <c r="B56" i="1"/>
  <c r="H55" i="1"/>
  <c r="G55" i="1"/>
  <c r="D55" i="1"/>
  <c r="C55" i="1"/>
  <c r="B55" i="1"/>
  <c r="J54" i="1"/>
  <c r="I54" i="1"/>
  <c r="H54" i="1"/>
  <c r="G54" i="1"/>
  <c r="D54" i="1"/>
  <c r="C54" i="1"/>
  <c r="B54" i="1"/>
  <c r="J53" i="1"/>
  <c r="I53" i="1"/>
  <c r="H53" i="1"/>
  <c r="G53" i="1"/>
  <c r="D53" i="1"/>
  <c r="C53" i="1"/>
  <c r="B53" i="1"/>
  <c r="J52" i="1"/>
  <c r="I52" i="1"/>
  <c r="H52" i="1"/>
  <c r="G52" i="1"/>
  <c r="D52" i="1"/>
  <c r="C52" i="1"/>
  <c r="B52" i="1"/>
  <c r="J51" i="1"/>
  <c r="I51" i="1"/>
  <c r="H51" i="1"/>
  <c r="G51" i="1"/>
  <c r="D51" i="1"/>
  <c r="C51" i="1"/>
  <c r="B51" i="1"/>
  <c r="J50" i="1"/>
  <c r="I50" i="1"/>
  <c r="H50" i="1"/>
  <c r="G50" i="1"/>
  <c r="D50" i="1"/>
  <c r="C50" i="1"/>
  <c r="B50" i="1"/>
  <c r="J49" i="1"/>
  <c r="I49" i="1"/>
  <c r="H49" i="1"/>
  <c r="G49" i="1"/>
  <c r="D49" i="1"/>
  <c r="C49" i="1"/>
  <c r="B49" i="1"/>
  <c r="J48" i="1"/>
  <c r="I48" i="1"/>
  <c r="H48" i="1"/>
  <c r="G48" i="1"/>
  <c r="D48" i="1"/>
  <c r="C48" i="1"/>
  <c r="B48" i="1"/>
  <c r="J47" i="1"/>
  <c r="I47" i="1"/>
  <c r="H47" i="1"/>
  <c r="G47" i="1"/>
  <c r="D47" i="1"/>
  <c r="C47" i="1"/>
  <c r="B47" i="1"/>
  <c r="J46" i="1"/>
  <c r="I46" i="1"/>
  <c r="H46" i="1"/>
  <c r="G46" i="1"/>
  <c r="D46" i="1"/>
  <c r="C46" i="1"/>
  <c r="B46" i="1"/>
  <c r="J45" i="1"/>
  <c r="I45" i="1"/>
  <c r="H45" i="1"/>
  <c r="G45" i="1"/>
  <c r="D45" i="1"/>
  <c r="C45" i="1"/>
  <c r="B45" i="1"/>
  <c r="J44" i="1"/>
  <c r="I44" i="1"/>
  <c r="H44" i="1"/>
  <c r="G44" i="1"/>
  <c r="D44" i="1"/>
  <c r="C44" i="1"/>
  <c r="B44" i="1"/>
  <c r="J43" i="1"/>
  <c r="I43" i="1"/>
  <c r="H43" i="1"/>
  <c r="G43" i="1"/>
  <c r="D43" i="1"/>
  <c r="C43" i="1"/>
  <c r="B43" i="1"/>
  <c r="J42" i="1"/>
  <c r="I42" i="1"/>
  <c r="H42" i="1"/>
  <c r="G42" i="1"/>
  <c r="D42" i="1"/>
  <c r="C42" i="1"/>
  <c r="B42" i="1"/>
  <c r="J41" i="1"/>
  <c r="I41" i="1"/>
  <c r="H41" i="1"/>
  <c r="G41" i="1"/>
  <c r="D41" i="1"/>
  <c r="C41" i="1"/>
  <c r="B41" i="1"/>
  <c r="I34" i="1"/>
  <c r="H34" i="1"/>
  <c r="F34" i="1"/>
  <c r="E34" i="1"/>
  <c r="G34" i="1" s="1"/>
  <c r="C34" i="1"/>
  <c r="B34" i="1"/>
  <c r="I33" i="1"/>
  <c r="H33" i="1"/>
  <c r="F33" i="1"/>
  <c r="E33" i="1"/>
  <c r="C33" i="1"/>
  <c r="B33" i="1"/>
  <c r="I32" i="1"/>
  <c r="H32" i="1"/>
  <c r="F32" i="1"/>
  <c r="E32" i="1"/>
  <c r="C32" i="1"/>
  <c r="B32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G24" i="1"/>
  <c r="F24" i="1"/>
  <c r="C24" i="1"/>
  <c r="B24" i="1"/>
  <c r="G23" i="1"/>
  <c r="F23" i="1"/>
  <c r="C23" i="1"/>
  <c r="B23" i="1"/>
  <c r="G22" i="1"/>
  <c r="F22" i="1"/>
  <c r="C22" i="1"/>
  <c r="B22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B35" i="1" l="1"/>
  <c r="H31" i="1"/>
  <c r="H35" i="1" s="1"/>
  <c r="H56" i="1"/>
  <c r="I55" i="1"/>
  <c r="J55" i="1"/>
  <c r="I57" i="1"/>
  <c r="J56" i="1"/>
  <c r="H57" i="1"/>
  <c r="J30" i="1"/>
  <c r="D23" i="1"/>
  <c r="J31" i="1"/>
  <c r="J29" i="1"/>
  <c r="J28" i="1"/>
  <c r="D24" i="1"/>
  <c r="E35" i="1"/>
  <c r="D22" i="1"/>
  <c r="J33" i="1"/>
  <c r="J3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G32" i="1"/>
  <c r="G33" i="1"/>
  <c r="J34" i="1"/>
  <c r="D28" i="1"/>
  <c r="D29" i="1"/>
  <c r="D30" i="1"/>
  <c r="D31" i="1"/>
  <c r="D32" i="1"/>
  <c r="D33" i="1"/>
  <c r="D34" i="1"/>
  <c r="G58" i="1"/>
  <c r="E18" i="1"/>
  <c r="I18" i="1"/>
  <c r="E23" i="1"/>
  <c r="E22" i="1"/>
  <c r="E24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C35" i="1"/>
  <c r="D35" i="1" s="1"/>
  <c r="F35" i="1"/>
  <c r="I35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J35" i="1" l="1"/>
  <c r="J58" i="1"/>
  <c r="I58" i="1"/>
  <c r="H58" i="1"/>
  <c r="F18" i="1"/>
  <c r="G35" i="1"/>
</calcChain>
</file>

<file path=xl/sharedStrings.xml><?xml version="1.0" encoding="utf-8"?>
<sst xmlns="http://schemas.openxmlformats.org/spreadsheetml/2006/main" count="15168" uniqueCount="896">
  <si>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</si>
  <si>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</si>
  <si>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</si>
  <si>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</si>
  <si>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</si>
  <si>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</si>
  <si>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</si>
  <si>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</si>
  <si>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</si>
  <si>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</si>
  <si>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</si>
  <si>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</si>
  <si>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</si>
  <si>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</si>
  <si>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</si>
  <si>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</si>
  <si>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</si>
  <si>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</si>
  <si>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</si>
  <si>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</si>
  <si>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</si>
  <si>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</si>
  <si>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</si>
  <si>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</si>
  <si>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</si>
  <si>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</si>
  <si>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</si>
  <si>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</si>
  <si>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</si>
  <si>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</si>
  <si>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</si>
  <si>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</si>
  <si>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</si>
  <si>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</si>
  <si>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</si>
  <si>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</si>
  <si>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</si>
  <si>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</si>
  <si>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</si>
  <si>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</si>
  <si>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</si>
  <si>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</si>
  <si>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</si>
  <si>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</si>
  <si>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</si>
  <si>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</si>
  <si>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</si>
  <si>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</si>
  <si>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</si>
  <si>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</si>
  <si>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</si>
  <si>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</si>
  <si>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</si>
  <si>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</si>
  <si>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</si>
  <si>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</si>
  <si>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</si>
  <si>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</si>
  <si>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</si>
  <si>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</si>
  <si>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</si>
  <si>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</si>
  <si>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</si>
  <si>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</si>
  <si>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</si>
  <si>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</si>
  <si>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</si>
  <si>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</si>
  <si>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</si>
  <si>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</si>
  <si>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</si>
  <si>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</si>
  <si>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อาคารสำนักงานท่าอากาศยานสุวรรณภูมิ</t>
  </si>
  <si>
    <t>-</t>
  </si>
  <si>
    <t>Access Point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</si>
  <si>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</si>
  <si>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</si>
  <si>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</si>
  <si>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</si>
  <si>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</si>
  <si>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</si>
  <si>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</si>
  <si>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</si>
  <si>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</si>
  <si>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</si>
  <si>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</si>
  <si>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</si>
  <si>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</si>
  <si>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</si>
  <si>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</si>
  <si>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</si>
  <si>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</si>
  <si>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</si>
  <si>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</si>
  <si>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</si>
  <si>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</si>
  <si>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</si>
  <si>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</si>
  <si>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</si>
  <si>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</si>
  <si>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</si>
  <si>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</si>
  <si>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</si>
  <si>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</si>
  <si>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</si>
  <si>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</si>
  <si>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</si>
  <si>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</si>
  <si>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</si>
  <si>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</si>
  <si>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</si>
  <si>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</si>
  <si>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</si>
  <si>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</si>
  <si>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</si>
  <si>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</si>
  <si>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</si>
  <si>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</si>
  <si>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</si>
  <si>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</si>
  <si>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</si>
  <si>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</si>
  <si>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</si>
  <si>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</si>
  <si>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</si>
  <si>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</si>
  <si>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</si>
  <si>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</si>
  <si>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</si>
  <si>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</si>
  <si>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</si>
  <si>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D1-063</t>
  </si>
  <si>
    <t>D1-068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</si>
  <si>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</si>
  <si>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</si>
  <si>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</si>
  <si>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</si>
  <si>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</si>
  <si>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</si>
  <si>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</si>
  <si>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</si>
  <si>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</si>
  <si>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</si>
  <si>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</si>
  <si>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</si>
  <si>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</si>
  <si>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</si>
  <si>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</si>
  <si>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</si>
  <si>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</si>
  <si>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</si>
  <si>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</si>
  <si>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</si>
  <si>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</si>
  <si>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</si>
  <si>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</si>
  <si>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</si>
  <si>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</si>
  <si>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</si>
  <si>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</si>
  <si>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</si>
  <si>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</si>
  <si>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</si>
  <si>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</si>
  <si>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</si>
  <si>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</si>
  <si>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</si>
  <si>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</si>
  <si>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</si>
  <si>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</si>
  <si>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</si>
  <si>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</si>
  <si>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</si>
  <si>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</si>
  <si>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</si>
  <si>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</si>
  <si>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</si>
  <si>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</si>
  <si>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</si>
  <si>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</si>
  <si>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</si>
  <si>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</si>
  <si>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</si>
  <si>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</si>
  <si>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</si>
  <si>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</si>
  <si>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</si>
  <si>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</si>
  <si>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</si>
  <si>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</si>
  <si>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</si>
  <si>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</si>
  <si>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</si>
  <si>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</si>
  <si>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</si>
  <si>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</si>
  <si>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</si>
  <si>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</si>
  <si>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</si>
  <si>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</si>
  <si>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</si>
  <si>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</si>
  <si>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</si>
  <si>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</si>
  <si>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</si>
  <si>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</si>
  <si>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</si>
  <si>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</si>
  <si>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</si>
  <si>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</si>
  <si>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</si>
  <si>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</si>
  <si>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</si>
  <si>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</si>
  <si>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</si>
  <si>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</si>
  <si>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</si>
  <si>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</si>
  <si>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</si>
  <si>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</si>
  <si>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</si>
  <si>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</si>
  <si>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</si>
  <si>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</si>
  <si>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</si>
  <si>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</si>
  <si>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</si>
  <si>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</si>
  <si>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</si>
  <si>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</si>
  <si>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ห้องสื่อสาร</t>
  </si>
  <si>
    <t>ห้องเก็บของ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</si>
  <si>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</si>
  <si>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</si>
  <si>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</si>
  <si>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</si>
  <si>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</si>
  <si>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</si>
  <si>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</si>
  <si>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</si>
  <si>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</si>
  <si>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</si>
  <si>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</si>
  <si>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</si>
  <si>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</si>
  <si>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</si>
  <si>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</si>
  <si>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</si>
  <si>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</si>
  <si>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</si>
  <si>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</si>
  <si>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</si>
  <si>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</si>
  <si>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</si>
  <si>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</si>
  <si>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</si>
  <si>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</si>
  <si>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</si>
  <si>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</si>
  <si>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</si>
  <si>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</si>
  <si>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</si>
  <si>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</si>
  <si>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</si>
  <si>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</si>
  <si>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</si>
  <si>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</si>
  <si>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</si>
  <si>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</si>
  <si>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</si>
  <si>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</si>
  <si>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</si>
  <si>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</si>
  <si>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</si>
  <si>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</si>
  <si>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</si>
  <si>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</si>
  <si>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</si>
  <si>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</si>
  <si>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</si>
  <si>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</si>
  <si>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</si>
  <si>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</si>
  <si>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</si>
  <si>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</si>
  <si>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</si>
  <si>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</si>
  <si>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</si>
  <si>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</si>
  <si>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</si>
  <si>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</si>
  <si>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</si>
  <si>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</si>
  <si>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</si>
  <si>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</si>
  <si>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</si>
  <si>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</si>
  <si>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</si>
  <si>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</si>
  <si>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</si>
  <si>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</si>
  <si>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</si>
  <si>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</si>
  <si>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</si>
  <si>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</si>
  <si>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</si>
  <si>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</si>
  <si>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</si>
  <si>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</si>
  <si>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</si>
  <si>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</si>
  <si>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</si>
  <si>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</si>
  <si>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</si>
  <si>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</si>
  <si>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</si>
  <si>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</si>
  <si>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</si>
  <si>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</si>
  <si>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</si>
  <si>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</si>
  <si>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</si>
  <si>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</si>
  <si>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</si>
  <si>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</si>
  <si>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</si>
  <si>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</si>
  <si>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</si>
  <si>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</si>
  <si>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</si>
  <si>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</si>
  <si>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</si>
  <si>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</si>
  <si>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</si>
  <si>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</si>
  <si>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</si>
  <si>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</si>
  <si>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</si>
  <si>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</si>
  <si>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</si>
  <si>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</si>
  <si>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</si>
  <si>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</si>
  <si>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</si>
  <si>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</si>
  <si>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</si>
  <si>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</si>
  <si>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</si>
  <si>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</si>
  <si>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</si>
  <si>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</si>
  <si>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</si>
  <si>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</si>
  <si>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</si>
  <si>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</si>
  <si>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</si>
  <si>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</si>
  <si>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</si>
  <si>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</si>
  <si>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</si>
  <si>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</si>
  <si>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</si>
  <si>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</si>
  <si>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</si>
  <si>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</si>
  <si>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</si>
  <si>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</si>
  <si>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</si>
  <si>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</si>
  <si>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</si>
  <si>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</si>
  <si>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</si>
  <si>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</si>
  <si>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</si>
  <si>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</si>
  <si>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</si>
  <si>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</si>
  <si>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</si>
  <si>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</si>
  <si>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</si>
  <si>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</si>
  <si>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</si>
  <si>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</si>
  <si>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</si>
  <si>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</si>
  <si>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</si>
  <si>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</si>
  <si>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</si>
  <si>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</si>
  <si>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</si>
  <si>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</si>
  <si>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</si>
  <si>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</si>
  <si>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</si>
  <si>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</si>
  <si>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</si>
  <si>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</si>
  <si>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</si>
  <si>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</si>
  <si>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</si>
  <si>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</si>
  <si>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</si>
  <si>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</si>
  <si>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</si>
  <si>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</si>
  <si>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</si>
  <si>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</si>
  <si>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</si>
  <si>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</si>
  <si>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</si>
  <si>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</si>
  <si>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</si>
  <si>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</si>
  <si>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</si>
  <si>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</si>
  <si>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</si>
  <si>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</si>
  <si>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</si>
  <si>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</si>
  <si>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</si>
  <si>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</si>
  <si>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</si>
  <si>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</si>
  <si>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</si>
  <si>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</si>
  <si>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</si>
  <si>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</si>
  <si>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</si>
  <si>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</si>
  <si>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</si>
  <si>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</si>
  <si>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</si>
  <si>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</si>
  <si>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</si>
  <si>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</si>
  <si>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</si>
  <si>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</si>
  <si>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</si>
  <si>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</si>
  <si>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</si>
  <si>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</si>
  <si>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</si>
  <si>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</si>
  <si>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</si>
  <si>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</si>
  <si>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</si>
  <si>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</si>
  <si>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</si>
  <si>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</si>
  <si>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</si>
  <si>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</si>
  <si>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</si>
  <si>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</si>
  <si>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</si>
  <si>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</si>
  <si>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</si>
  <si>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</si>
  <si>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</si>
  <si>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</si>
  <si>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</si>
  <si>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</si>
  <si>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</si>
  <si>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</si>
  <si>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</si>
  <si>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</si>
  <si>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</si>
  <si>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</si>
  <si>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</si>
  <si>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</si>
  <si>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</si>
  <si>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</si>
  <si>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</si>
  <si>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</si>
  <si>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</si>
  <si>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</si>
  <si>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</si>
  <si>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</si>
  <si>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</si>
  <si>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</si>
  <si>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</si>
  <si>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</si>
  <si>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</si>
  <si>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</si>
  <si>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</si>
  <si>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</si>
  <si>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</si>
  <si>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</si>
  <si>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</si>
  <si>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</si>
  <si>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</si>
  <si>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</si>
  <si>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ห้องไฟฟ้า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</si>
  <si>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</si>
  <si>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</si>
  <si>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</si>
  <si>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</si>
  <si>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</si>
  <si>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</si>
  <si>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</si>
  <si>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</si>
  <si>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</si>
  <si>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</si>
  <si>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</si>
  <si>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</si>
  <si>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</si>
  <si>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</si>
  <si>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</si>
  <si>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</si>
  <si>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</si>
  <si>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</si>
  <si>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</si>
  <si>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</si>
  <si>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</si>
  <si>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</si>
  <si>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</si>
  <si>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</si>
  <si>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</si>
  <si>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</si>
  <si>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</si>
  <si>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</si>
  <si>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</si>
  <si>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</si>
  <si>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</si>
  <si>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</si>
  <si>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</si>
  <si>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</si>
  <si>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</si>
  <si>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</si>
  <si>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</si>
  <si>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</si>
  <si>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</si>
  <si>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</si>
  <si>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</si>
  <si>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</si>
  <si>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</si>
  <si>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</si>
  <si>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</si>
  <si>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</si>
  <si>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</si>
  <si>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</si>
  <si>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</si>
  <si>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</si>
  <si>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WWT</t>
  </si>
  <si>
    <t>ห้องควบคุมระบบบำบัดน้ำเสีย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</si>
  <si>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</si>
  <si>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</si>
  <si>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</si>
  <si>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</si>
  <si>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</si>
  <si>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</si>
  <si>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</si>
  <si>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</si>
  <si>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</si>
  <si>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</si>
  <si>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</si>
  <si>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</si>
  <si>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</si>
  <si>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</si>
  <si>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</si>
  <si>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</si>
  <si>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</si>
  <si>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</si>
  <si>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PPW Core Room</t>
  </si>
  <si>
    <t>Power house 01L</t>
  </si>
  <si>
    <t>01L-FL.1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</si>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</sst>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/>
  <sortState xmlns:xlrd2="http://schemas.microsoft.com/office/spreadsheetml/2017/richdata2" ref="A2:P740">
    <sortCondition ref="A1:A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25" activePane="bottomLeft" state="frozen"/>
      <selection pane="bottomLeft" activeCell="H32" sqref="H32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26 March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456</v>
      </c>
      <c r="F6" s="4">
        <f>SUMIFS(All_Detail!F2:F740,All_Detail!J2:J740,"On Plan")</f>
        <v>1128</v>
      </c>
      <c r="H6" s="5">
        <f>SUMIFS(All_Detail!F2:F740,All_Detail!J2:J740,"Hold")</f>
        <v>8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0.29899497487437188</v>
      </c>
      <c r="C7" s="7" t="s">
        <v>8</v>
      </c>
      <c r="D7" s="9">
        <f>SUM(All_Detail!G2:G740)</f>
        <v>476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218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293</v>
      </c>
      <c r="D11" s="15">
        <f t="shared" ref="D11:D18" si="0">IF(B11=0,"",C11/B11)</f>
        <v>0.41267605633802817</v>
      </c>
      <c r="E11" s="16">
        <f>SUMIFS(All_Detail!F2:F740,All_Detail!B2:B740,A11,All_Detail!J2:J740,"Hold")</f>
        <v>6</v>
      </c>
      <c r="F11" s="14">
        <f t="shared" ref="F11:F17" si="1">B11-C11</f>
        <v>417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430</v>
      </c>
      <c r="J11" s="14">
        <f ca="1">SUMPRODUCT((All_Detail!B2:B740=A11)*(All_Detail!I2:I740&lt;TODAY())*(All_Detail!J2:J740&lt;&gt;"Success")*(All_Detail!F2:F740))</f>
        <v>201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6</v>
      </c>
      <c r="D16" s="15">
        <f t="shared" si="0"/>
        <v>5.2631578947368418E-2</v>
      </c>
      <c r="E16" s="16">
        <f>SUMIFS(All_Detail!F2:F740,All_Detail!B2:B740,A16,All_Detail!J2:J740,"Hold")</f>
        <v>0</v>
      </c>
      <c r="F16" s="14">
        <f t="shared" si="1"/>
        <v>108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108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476</v>
      </c>
      <c r="D18" s="20">
        <f t="shared" si="0"/>
        <v>0.29899497487437188</v>
      </c>
      <c r="E18" s="19">
        <f>SUM(E11:E17)</f>
        <v>8</v>
      </c>
      <c r="F18" s="19">
        <f>SUM(F11:F17)</f>
        <v>1116</v>
      </c>
      <c r="G18" s="21">
        <f>MIN(G11:G17)</f>
        <v>46063</v>
      </c>
      <c r="H18" s="21">
        <f>MAX(H11:H17)</f>
        <v>46196</v>
      </c>
      <c r="I18" s="18">
        <f>SUM(I11:I17)</f>
        <v>1128</v>
      </c>
      <c r="J18" s="18">
        <f ca="1">SUM(J11:J17)</f>
        <v>218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385</v>
      </c>
      <c r="D22" s="15">
        <f>IF(B22=0,"",C22/B22)</f>
        <v>0.34344335414808208</v>
      </c>
      <c r="E22" s="14">
        <f>B22-C22</f>
        <v>736</v>
      </c>
      <c r="F22" s="16">
        <f>SUMIFS(All_Detail!F2:F740,All_Detail!O2:O740,A22,All_Detail!J2:J740,"Hold")</f>
        <v>8</v>
      </c>
      <c r="G22" s="16">
        <f ca="1">SUMPRODUCT((All_Detail!O2:O740=A22)*(All_Detail!I2:I740&lt;TODAY())*(All_Detail!J2:J740&lt;&gt;"Success")*(All_Detail!F2:F740))</f>
        <v>39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67</v>
      </c>
      <c r="D23" s="15">
        <f>IF(B23=0,"",C23/B23)</f>
        <v>0.15056179775280898</v>
      </c>
      <c r="E23" s="14">
        <f>B23-C23</f>
        <v>378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177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240</v>
      </c>
      <c r="D28" s="25">
        <f t="shared" ref="D28:D35" si="2">IF(B28=0,"",C28/B28)</f>
        <v>0.58536585365853655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4</v>
      </c>
      <c r="D33" s="25">
        <f t="shared" si="2"/>
        <v>5.7971014492753624E-2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0</v>
      </c>
      <c r="G33" s="25">
        <f t="shared" si="3"/>
        <v>0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385</v>
      </c>
      <c r="D35" s="28">
        <f t="shared" si="2"/>
        <v>0.34344335414808208</v>
      </c>
      <c r="E35" s="27">
        <f>SUM(E28:E34)</f>
        <v>445</v>
      </c>
      <c r="F35" s="27">
        <f>SUM(F28:F34)</f>
        <v>67</v>
      </c>
      <c r="G35" s="28">
        <f t="shared" si="3"/>
        <v>0.15056179775280898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78</v>
      </c>
      <c r="E46" s="24">
        <f>SUM(C41:C46)</f>
        <v>442</v>
      </c>
      <c r="F46" s="24">
        <f>SUM(D41:D46)</f>
        <v>459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78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14</v>
      </c>
      <c r="E47" s="24">
        <f>SUM(C41:C47)</f>
        <v>683</v>
      </c>
      <c r="F47" s="24">
        <f>SUM(D41:D47)</f>
        <v>473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14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0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473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473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473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473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473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473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473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473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473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473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473</v>
      </c>
      <c r="E58" s="27">
        <f>E57</f>
        <v>1373</v>
      </c>
      <c r="F58" s="27">
        <f>F57</f>
        <v>473</v>
      </c>
      <c r="G58" s="27">
        <f>SUM(G41:G57)</f>
        <v>977</v>
      </c>
      <c r="H58" s="27">
        <f>SUM(H41:H57)</f>
        <v>382</v>
      </c>
      <c r="I58" s="27">
        <f>SUM(I41:I57)</f>
        <v>370</v>
      </c>
      <c r="J58" s="27">
        <f>SUM(J41:J57)</f>
        <v>67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23 Mar - 29 Mar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CFZ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Power house 19R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-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Point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1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46104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CFZ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Power house 19R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19R-FL.1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2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46104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CFZ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BFS-Cargo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Server Room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2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2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46104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CFZ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Airmail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High Voltage Electrical Room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2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2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46104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CFZ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อาคาร BFS Cargo Terminal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CT2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2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2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46104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CFZ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TGA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Network &amp; PABX Room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2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46104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CFZ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FZ Service Center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Core Node 7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Aggregation Switch Type 3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2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46104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*รายการนี้ไม่มีห้องอยู่จริง จะย้ายไปติดที่ P1 และ SWT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CFZ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TG-Cargo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BAS Control Room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46104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CFZ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อาคารกรมศุลกากรคลองเตย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Data Center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Router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2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46104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อาคารสำนักงานท่าอากาศยานสุวรรณภูมิ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-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Point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176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46105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D1-007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1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46105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D1-007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46105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On Plan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D1-007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Aggregation Switch Type 3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46105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On Plan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D1-012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2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2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46105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D1-012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4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46105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D1-012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Aggregation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46105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On Plan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D1-017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2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46105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D1-017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4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46105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On Plan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D1-017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Aggregation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46105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D1-025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2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2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46105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Concourse D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D1-025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Switch Type 4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46105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Concourse D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D1-025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Aggregation Switch Type 2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46105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Concourse D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D1-030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1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46106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On Plan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Concourse D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D1-030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4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1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46106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Concourse D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D1-030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Aggregation Switch Type 2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46106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Concourse D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D1-035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2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46106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D1-041</v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Concourse D</v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D1-035</v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Access Switch Type 4</v>
      </c>
      <c r="E8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1</v>
      </c>
      <c r="F8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46106</v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On Plan</v>
      </c>
      <c r="H8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0</v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D1-041</v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Concourse D</v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D1-035</v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Aggregation Switch Type 3</v>
      </c>
      <c r="E9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1</v>
      </c>
      <c r="F9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46106</v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On Plan</v>
      </c>
      <c r="H9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0</v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D1-041</v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Concourse D</v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D1-063</v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Access Switch Type 2</v>
      </c>
      <c r="E9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1</v>
      </c>
      <c r="F9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46106</v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On Plan</v>
      </c>
      <c r="H9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0</v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D1-041</v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Concourse D</v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D1-063</v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Access Switch Type 4</v>
      </c>
      <c r="E9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1</v>
      </c>
      <c r="F9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46106</v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On Plan</v>
      </c>
      <c r="H9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0</v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D1-041</v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Concourse D</v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D1-063</v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Aggregation Switch Type 3</v>
      </c>
      <c r="E9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1</v>
      </c>
      <c r="F9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46106</v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On Plan</v>
      </c>
      <c r="H9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0</v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>D1-041</v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D1-041</v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Concourse D</v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D1-068</v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Access Switch Type 4</v>
      </c>
      <c r="E9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1</v>
      </c>
      <c r="F9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46107</v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On Plan</v>
      </c>
      <c r="H9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0</v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D1-041</v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Concourse D</v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D1-068</v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Aggregation Switch Type 3</v>
      </c>
      <c r="E9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1</v>
      </c>
      <c r="F9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46107</v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On Plan</v>
      </c>
      <c r="H9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0</v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D1-041</v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Concourse D</v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D1-091</v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Access Switch Type 2</v>
      </c>
      <c r="E9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6</v>
      </c>
      <c r="F9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46107</v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On Plan</v>
      </c>
      <c r="H9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0</v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D1-041</v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Concourse D</v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D1-091</v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Access Switch Type 4</v>
      </c>
      <c r="E9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1</v>
      </c>
      <c r="F9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46107</v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On Plan</v>
      </c>
      <c r="H9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0</v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D1-041</v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Concourse D</v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D1-091</v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Aggregation Switch Type 2</v>
      </c>
      <c r="E9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2</v>
      </c>
      <c r="F9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46107</v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On Plan</v>
      </c>
      <c r="H9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0</v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D1-041</v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Concourse D</v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D1-091</v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Aggregation Switch Type 3</v>
      </c>
      <c r="E10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1</v>
      </c>
      <c r="F10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46107</v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On Plan</v>
      </c>
      <c r="H10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0</v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D1-041</v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Concourse D</v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D2-017</v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Access Switch Type 2</v>
      </c>
      <c r="E10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1</v>
      </c>
      <c r="F10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46108</v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On Plan</v>
      </c>
      <c r="H10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0</v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D1-041</v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Concourse D</v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D2-017</v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Access Switch Type 4</v>
      </c>
      <c r="E10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1</v>
      </c>
      <c r="F10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46108</v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On Plan</v>
      </c>
      <c r="H10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0</v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D1-041</v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Concourse D</v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D2-026</v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Access Switch Type 2</v>
      </c>
      <c r="E10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1</v>
      </c>
      <c r="F10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46108</v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On Plan</v>
      </c>
      <c r="H10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0</v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D1-041</v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Concourse D</v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D2-026</v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Access Switch Type 4</v>
      </c>
      <c r="E10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1</v>
      </c>
      <c r="F10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46108</v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On Plan</v>
      </c>
      <c r="H10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0</v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D1-041</v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Concourse D</v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D2-035</v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Access Switch Type 2</v>
      </c>
      <c r="E10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1</v>
      </c>
      <c r="F10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46108</v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On Plan</v>
      </c>
      <c r="H10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0</v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D1-041</v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Concourse D</v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D2-035</v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Access Switch Type 4</v>
      </c>
      <c r="E10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1</v>
      </c>
      <c r="F10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46108</v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On Plan</v>
      </c>
      <c r="H10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0</v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D1-041</v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Concourse D</v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D2-046</v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Access Switch Type 2</v>
      </c>
      <c r="E10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1</v>
      </c>
      <c r="F10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46108</v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On Plan</v>
      </c>
      <c r="H10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0</v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D1-041</v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Concourse D</v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D2-046</v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Access Switch Type 4</v>
      </c>
      <c r="E10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1</v>
      </c>
      <c r="F10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46108</v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On Plan</v>
      </c>
      <c r="H10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0</v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D1-041</v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Concourse D</v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D2-060</v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Access Switch Type 2</v>
      </c>
      <c r="E10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1</v>
      </c>
      <c r="F10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46108</v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On Plan</v>
      </c>
      <c r="H10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0</v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D1-041</v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Concourse D</v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D2-060</v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Access Switch Type 4</v>
      </c>
      <c r="E11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1</v>
      </c>
      <c r="F11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46108</v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On Plan</v>
      </c>
      <c r="H11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0</v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Power house 19R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-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Point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1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3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Power house 19R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19R-FL.1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3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BFS-Cargo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Server Room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Access Switch Type 2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3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Airmail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High Voltage Electrical Room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Switch Type 2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2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3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อาคาร BFS Cargo Terminal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CT2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3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3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FZ Service Center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Core Node 7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Aggregation Switch Type 3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3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TG-Cargo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BAS Control Room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3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3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>D1-041</v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>อาคารสำนักงานท่าอากาศยานสุวรรณภูมิ</v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>-</v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>Access Point</v>
      </c>
      <c r="E13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>176</v>
      </c>
      <c r="F13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>46105</v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>On Plan</v>
      </c>
      <c r="H13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>2</v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>D1-041</v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>Concourse D</v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>D1-007</v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>Access Switch Type 2</v>
      </c>
      <c r="E14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>1</v>
      </c>
      <c r="F14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>46105</v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>On Plan</v>
      </c>
      <c r="H14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>2</v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>D1-041</v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>Concourse D</v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>D1-007</v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>Access Switch Type 4</v>
      </c>
      <c r="E14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>1</v>
      </c>
      <c r="F14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>46105</v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>On Plan</v>
      </c>
      <c r="H14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>2</v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>D1-041</v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>Concourse D</v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>D1-007</v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>Aggregation Switch Type 3</v>
      </c>
      <c r="E14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>1</v>
      </c>
      <c r="F14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>46105</v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>On Plan</v>
      </c>
      <c r="H14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>2</v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>D1-041</v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>Concourse D</v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>D1-012</v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>Access Switch Type 2</v>
      </c>
      <c r="E14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>2</v>
      </c>
      <c r="F14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>46105</v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>On Plan</v>
      </c>
      <c r="H14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>2</v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>D1-041</v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>Concourse D</v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>D1-012</v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>Access Switch Type 4</v>
      </c>
      <c r="E14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>1</v>
      </c>
      <c r="F14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>46105</v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>On Plan</v>
      </c>
      <c r="H14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>2</v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>D1-041</v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>Concourse D</v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>D1-012</v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>Aggregation Switch Type 2</v>
      </c>
      <c r="E14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>1</v>
      </c>
      <c r="F14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>46105</v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>On Plan</v>
      </c>
      <c r="H14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>2</v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>D1-041</v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>D1-041</v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>Concourse D</v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>D1-017</v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>Access Switch Type 4</v>
      </c>
      <c r="E14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>1</v>
      </c>
      <c r="F14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>46105</v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>On Plan</v>
      </c>
      <c r="H14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>2</v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>D1-041</v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>Concourse D</v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>D1-017</v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>Aggregation Switch Type 2</v>
      </c>
      <c r="E14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>1</v>
      </c>
      <c r="F14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>46105</v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>On Plan</v>
      </c>
      <c r="H14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>2</v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>D1-041</v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>Concourse D</v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>D1-025</v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>Access Switch Type 2</v>
      </c>
      <c r="E14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>2</v>
      </c>
      <c r="F14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>46105</v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>On Plan</v>
      </c>
      <c r="H14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>2</v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>D1-041</v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>Concourse D</v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>D1-025</v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>Access Switch Type 4</v>
      </c>
      <c r="E15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>1</v>
      </c>
      <c r="F15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>46105</v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>On Plan</v>
      </c>
      <c r="H15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>2</v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>D1-041</v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>Concourse D</v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>D1-025</v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>Aggregation Switch Type 2</v>
      </c>
      <c r="E15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>1</v>
      </c>
      <c r="F15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>46105</v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>On Plan</v>
      </c>
      <c r="H15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>2</v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>D1-041</v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>Concourse D</v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>D1-030</v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>Access Switch Type 2</v>
      </c>
      <c r="E15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>1</v>
      </c>
      <c r="F15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>46106</v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>On Plan</v>
      </c>
      <c r="H15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>1</v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>D1-041</v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>Concourse D</v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>D1-030</v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>Access Switch Type 4</v>
      </c>
      <c r="E15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>1</v>
      </c>
      <c r="F15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>46106</v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>On Plan</v>
      </c>
      <c r="H15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>1</v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>D1-041</v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>Concourse D</v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>D1-030</v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>Aggregation Switch Type 2</v>
      </c>
      <c r="E15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>1</v>
      </c>
      <c r="F15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>46106</v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>On Plan</v>
      </c>
      <c r="H15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>1</v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>D1-041</v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>Concourse D</v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>D1-035</v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>Access Switch Type 2</v>
      </c>
      <c r="E15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>2</v>
      </c>
      <c r="F15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>46106</v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>On Plan</v>
      </c>
      <c r="H15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>1</v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>D1-041</v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>Concourse D</v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>D1-035</v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>Access Switch Type 4</v>
      </c>
      <c r="E15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>1</v>
      </c>
      <c r="F15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>46106</v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>On Plan</v>
      </c>
      <c r="H15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>1</v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>D1-041</v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>Concourse D</v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>D1-035</v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>Aggregation Switch Type 3</v>
      </c>
      <c r="E15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>1</v>
      </c>
      <c r="F15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>46106</v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>On Plan</v>
      </c>
      <c r="H15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>1</v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>D1-041</v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>Concourse D</v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>D1-063</v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>Access Switch Type 2</v>
      </c>
      <c r="E15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>1</v>
      </c>
      <c r="F15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>46106</v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>On Plan</v>
      </c>
      <c r="H15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>1</v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>D1-041</v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>Concourse D</v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>D1-063</v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>Access Switch Type 4</v>
      </c>
      <c r="E15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>1</v>
      </c>
      <c r="F15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>46106</v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>On Plan</v>
      </c>
      <c r="H15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>1</v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>D1-041</v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>Concourse D</v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>D1-063</v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>Aggregation Switch Type 3</v>
      </c>
      <c r="E16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>1</v>
      </c>
      <c r="F16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>46106</v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>On Plan</v>
      </c>
      <c r="H16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>1</v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/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/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/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/>
      </c>
      <c r="E16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/>
      </c>
      <c r="F16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/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/>
      </c>
      <c r="H16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/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/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/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/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/>
      </c>
      <c r="E16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/>
      </c>
      <c r="F16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/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/>
      </c>
      <c r="H16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/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/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/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/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/>
      </c>
      <c r="E16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/>
      </c>
      <c r="F16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/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/>
      </c>
      <c r="H16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/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/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/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/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/>
      </c>
      <c r="E16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/>
      </c>
      <c r="F16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/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/>
      </c>
      <c r="H16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/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/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/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/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/>
      </c>
      <c r="E16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/>
      </c>
      <c r="F16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/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/>
      </c>
      <c r="H16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/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/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/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/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/>
      </c>
      <c r="E16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/>
      </c>
      <c r="F16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/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/>
      </c>
      <c r="H16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/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/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/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/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/>
      </c>
      <c r="E16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/>
      </c>
      <c r="F16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/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/>
      </c>
      <c r="H16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/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/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/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/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/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/>
      </c>
      <c r="E16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/>
      </c>
      <c r="F16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/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/>
      </c>
      <c r="H16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/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/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/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/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/>
      </c>
      <c r="E17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/>
      </c>
      <c r="F17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/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/>
      </c>
      <c r="H17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/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/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/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/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/>
      </c>
      <c r="E17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/>
      </c>
      <c r="F17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/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/>
      </c>
      <c r="H17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/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/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/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/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/>
      </c>
      <c r="E17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/>
      </c>
      <c r="F17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/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/>
      </c>
      <c r="H17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/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/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/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/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/>
      </c>
      <c r="E17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/>
      </c>
      <c r="F17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/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/>
      </c>
      <c r="H17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/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/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/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/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/>
      </c>
      <c r="E17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/>
      </c>
      <c r="F17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/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/>
      </c>
      <c r="H17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/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/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/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/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/>
      </c>
      <c r="E17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/>
      </c>
      <c r="F17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/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/>
      </c>
      <c r="H17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/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/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/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/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/>
      </c>
      <c r="E17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/>
      </c>
      <c r="F17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/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/>
      </c>
      <c r="H17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/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/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/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/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/>
      </c>
      <c r="E17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/>
      </c>
      <c r="F17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/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/>
      </c>
      <c r="H17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/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/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/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/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/>
      </c>
      <c r="E17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/>
      </c>
      <c r="F17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/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/>
      </c>
      <c r="H17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/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/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/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/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/>
      </c>
      <c r="E17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/>
      </c>
      <c r="F17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/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/>
      </c>
      <c r="H17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/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D1-041</v>
      </c>
      <c r="B182" t="str">
        <f>IFERROR(INDEX(_xlfn._xlws.FILTER(All_Detail!C$2:C$740,All_Detail!J$2:J$740="Hold"),1),"")</f>
        <v>อาคารสำนักงานท่าอากาศยานสุวรรณภูมิ</v>
      </c>
      <c r="C182" t="str">
        <f>IFERROR(INDEX(_xlfn._xlws.FILTER(All_Detail!D$2:D$740,All_Detail!J$2:J$740="Hold"),1),"")</f>
        <v>งานบริการยานพาหนะ</v>
      </c>
      <c r="D182" t="str">
        <f>IFERROR(INDEX(_xlfn._xlws.FILTER(All_Detail!E$2:E$740,All_Detail!J$2:J$740="Hold"),1),"")</f>
        <v>Access Switch Type 2</v>
      </c>
      <c r="E182">
        <f>IFERROR(INDEX(_xlfn._xlws.FILTER(All_Detail!F$2:F$740,All_Detail!J$2:J$740="Hold"),1),"")</f>
        <v>1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 t="str">
        <f>IFERROR(INDEX(_xlfn._xlws.FILTER(All_Detail!P$2:P$740,All_Detail!J$2:J$740="Hold"),1),"")</f>
        <v>*ยกเลิก 1 ตัว หน้างานติดตั้งไม่ได้ (คอนเฟริม By พี่โจ้)</v>
      </c>
    </row>
    <row r="183" spans="1:10" ht="14.25" customHeight="1">
      <c r="A183" t="str">
        <f>IFERROR(INDEX(_xlfn._xlws.FILTER(All_Detail!B$2:B$740,All_Detail!J$2:J$740="Hold"),2),"")</f>
        <v>D1-041</v>
      </c>
      <c r="B183" t="str">
        <f>IFERROR(INDEX(_xlfn._xlws.FILTER(All_Detail!C$2:C$740,All_Detail!J$2:J$740="Hold"),2),"")</f>
        <v>Concourse B</v>
      </c>
      <c r="C183" t="str">
        <f>IFERROR(INDEX(_xlfn._xlws.FILTER(All_Detail!D$2:D$740,All_Detail!J$2:J$740="Hold"),2),"")</f>
        <v>B1-024</v>
      </c>
      <c r="D183" t="str">
        <f>IFERROR(INDEX(_xlfn._xlws.FILTER(All_Detail!E$2:E$740,All_Detail!J$2:J$740="Hold"),2),"")</f>
        <v>Aggregation Switch Type 2</v>
      </c>
      <c r="E183">
        <f>IFERROR(INDEX(_xlfn._xlws.FILTER(All_Detail!F$2:F$740,All_Detail!J$2:J$740="Hold"),2),"")</f>
        <v>2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 t="str">
        <f>IFERROR(INDEX(_xlfn._xlws.FILTER(All_Detail!P$2:P$740,All_Detail!J$2:J$740="Hold"),2),"")</f>
        <v>*ยังไม่ได้ติด 1 ตัว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B2-031</v>
      </c>
      <c r="D184" t="str">
        <f>IFERROR(INDEX(_xlfn._xlws.FILTER(All_Detail!E$2:E$740,All_Detail!J$2:J$740="Hold"),3),"")</f>
        <v>Access Switch Type 2</v>
      </c>
      <c r="E184">
        <f>IFERROR(INDEX(_xlfn._xlws.FILTER(All_Detail!F$2:F$740,All_Detail!J$2:J$740="Hold"),3),"")</f>
        <v>1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BPDU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Concourse B</v>
      </c>
      <c r="C185" t="str">
        <f>IFERROR(INDEX(_xlfn._xlws.FILTER(All_Detail!D$2:D$740,All_Detail!J$2:J$740="Hold"),4),"")</f>
        <v>B2-031</v>
      </c>
      <c r="D185" t="str">
        <f>IFERROR(INDEX(_xlfn._xlws.FILTER(All_Detail!E$2:E$740,All_Detail!J$2:J$740="Hold"),4),"")</f>
        <v>Access Switch Type 4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>
        <f>IFERROR(INDEX(_xlfn._xlws.FILTER(All_Detail!P$2:P$740,All_Detail!J$2:J$740="Hold"),4),"")</f>
        <v>0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Power house 01R</v>
      </c>
      <c r="C186" t="str">
        <f>IFERROR(INDEX(_xlfn._xlws.FILTER(All_Detail!D$2:D$740,All_Detail!J$2:J$740="Hold"),5),"")</f>
        <v>ห้องเครื่อง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BPDU</v>
      </c>
    </row>
    <row r="187" spans="1:10" ht="14.25" customHeight="1">
      <c r="A187" t="str">
        <f>IFERROR(INDEX(_xlfn._xlws.FILTER(All_Detail!B$2:B$740,All_Detail!J$2:J$740="Hold"),6),"")</f>
        <v>CFZ</v>
      </c>
      <c r="B187" t="str">
        <f>IFERROR(INDEX(_xlfn._xlws.FILTER(All_Detail!C$2:C$740,All_Detail!J$2:J$740="Hold"),6),"")</f>
        <v>อาคาร BC-1</v>
      </c>
      <c r="C187" t="str">
        <f>IFERROR(INDEX(_xlfn._xlws.FILTER(All_Detail!D$2:D$740,All_Detail!J$2:J$740="Hold"),6),"")</f>
        <v>BC-1 FL.1</v>
      </c>
      <c r="D187" t="str">
        <f>IFERROR(INDEX(_xlfn._xlws.FILTER(All_Detail!E$2:E$740,All_Detail!J$2:J$740="Hold"),6),"")</f>
        <v>Access Switch Type 2</v>
      </c>
      <c r="E187">
        <f>IFERROR(INDEX(_xlfn._xlws.FILTER(All_Detail!F$2:F$740,All_Detail!J$2:J$740="Hold"),6),"")</f>
        <v>1</v>
      </c>
      <c r="F187" s="31">
        <f>IFERROR(INDEX(_xlfn._xlws.FILTER(All_Detail!I$2:I$740,All_Detail!J$2:J$740="Hold"),6),"")</f>
        <v>46174</v>
      </c>
      <c r="G187" t="str">
        <f>IFERROR(INDEX(_xlfn._xlws.FILTER(All_Detail!J$2:J$740,All_Detail!J$2:J$740="Hold"),6),"")</f>
        <v>Hold</v>
      </c>
      <c r="H187">
        <f>IFERROR(INDEX(_xlfn._xlws.FILTER(All_Detail!P$2:P$740,All_Detail!J$2:J$740="Hold"),6),"")</f>
        <v>0</v>
      </c>
    </row>
    <row r="188" spans="1:10" ht="14.25" customHeight="1">
      <c r="A188" t="str">
        <f>IFERROR(INDEX(_xlfn._xlws.FILTER(All_Detail!B$2:B$740,All_Detail!J$2:J$740="Hold"),7),"")</f>
        <v>CFZ</v>
      </c>
      <c r="B188" t="str">
        <f>IFERROR(INDEX(_xlfn._xlws.FILTER(All_Detail!C$2:C$740,All_Detail!J$2:J$740="Hold"),7),"")</f>
        <v>อาคาร BC-1</v>
      </c>
      <c r="C188" t="str">
        <f>IFERROR(INDEX(_xlfn._xlws.FILTER(All_Detail!D$2:D$740,All_Detail!J$2:J$740="Hold"),7),"")</f>
        <v>ส่วนบริการกลาง</v>
      </c>
      <c r="D188" t="str">
        <f>IFERROR(INDEX(_xlfn._xlws.FILTER(All_Detail!E$2:E$740,All_Detail!J$2:J$740="Hold"),7),"")</f>
        <v>Access Switch Type 2</v>
      </c>
      <c r="E188">
        <f>IFERROR(INDEX(_xlfn._xlws.FILTER(All_Detail!F$2:F$740,All_Detail!J$2:J$740="Hold"),7),"")</f>
        <v>1</v>
      </c>
      <c r="F188" s="31">
        <f>IFERROR(INDEX(_xlfn._xlws.FILTER(All_Detail!I$2:I$740,All_Detail!J$2:J$740="Hold"),7),"")</f>
        <v>46174</v>
      </c>
      <c r="G188" t="str">
        <f>IFERROR(INDEX(_xlfn._xlws.FILTER(All_Detail!J$2:J$740,All_Detail!J$2:J$740="Hold"),7),"")</f>
        <v>Hold</v>
      </c>
      <c r="H188">
        <f>IFERROR(INDEX(_xlfn._xlws.FILTER(All_Detail!P$2:P$740,All_Detail!J$2:J$740="Hold"),7),"")</f>
        <v>0</v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tabSelected="1" topLeftCell="A689" zoomScaleNormal="100" workbookViewId="0">
      <selection activeCell="E707" sqref="E707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710937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1</v>
      </c>
      <c r="B2" s="35" t="s">
        <v>20</v>
      </c>
      <c r="C2" s="36" t="s">
        <v>72</v>
      </c>
      <c r="D2" s="37" t="s">
        <v>73</v>
      </c>
      <c r="E2" s="37" t="s">
        <v>74</v>
      </c>
      <c r="F2" s="37">
        <v>176</v>
      </c>
      <c r="G2" s="37"/>
      <c r="H2" s="87"/>
      <c r="I2" s="87">
        <v>46105</v>
      </c>
      <c r="J2" s="37" t="s">
        <v>4</v>
      </c>
      <c r="K2" s="38">
        <f>F2-G2</f>
        <v>176</v>
      </c>
      <c r="L2" s="39">
        <f>IF(F2=0,"",G2/F2)</f>
        <v>0</v>
      </c>
      <c r="M2" s="40">
        <f ca="1">I2-TODAY()</f>
        <v>-2</v>
      </c>
      <c r="N2">
        <f>_xlfn.ISOWEEKNUM(I2)</f>
        <v>13</v>
      </c>
      <c r="O2" t="str">
        <f>IF(ISNUMBER(SEARCH("Access Point",E2)),"AP",IF(OR(ISNUMBER(SEARCH("Switch",E2)),ISNUMBER(SEARCH("Control Type",E2))),"Switch","Infra"))</f>
        <v>AP</v>
      </c>
    </row>
    <row r="3" spans="1:16" ht="14.25" customHeight="1">
      <c r="A3">
        <v>2</v>
      </c>
      <c r="B3" s="35" t="s">
        <v>20</v>
      </c>
      <c r="C3" s="36" t="s">
        <v>72</v>
      </c>
      <c r="D3" s="37" t="s">
        <v>75</v>
      </c>
      <c r="E3" s="37" t="s">
        <v>76</v>
      </c>
      <c r="F3" s="37">
        <v>4</v>
      </c>
      <c r="G3" s="37">
        <v>4</v>
      </c>
      <c r="H3" s="87">
        <v>46073</v>
      </c>
      <c r="I3" s="87">
        <v>46073</v>
      </c>
      <c r="J3" s="37" t="s">
        <v>77</v>
      </c>
      <c r="K3" s="38">
        <f>F3-G3</f>
        <v>0</v>
      </c>
      <c r="L3" s="39">
        <f>IF(F3=0,"",G3/F3)</f>
        <v>1</v>
      </c>
      <c r="M3" s="40">
        <f ca="1">I3-TODAY()</f>
        <v>-34</v>
      </c>
      <c r="N3">
        <f>_xlfn.ISOWEEKNUM(I3)</f>
        <v>8</v>
      </c>
      <c r="O3" t="str">
        <f>IF(ISNUMBER(SEARCH("Access Point",E3)),"AP",IF(OR(ISNUMBER(SEARCH("Switch",E3)),ISNUMBER(SEARCH("Control Type",E3))),"Switch","Infra"))</f>
        <v>Switch</v>
      </c>
    </row>
    <row r="4" spans="1:16" ht="14.25" customHeight="1">
      <c r="A4">
        <v>3</v>
      </c>
      <c r="B4" s="35" t="s">
        <v>20</v>
      </c>
      <c r="C4" s="36" t="s">
        <v>72</v>
      </c>
      <c r="D4" s="37" t="s">
        <v>78</v>
      </c>
      <c r="E4" s="37" t="s">
        <v>79</v>
      </c>
      <c r="F4" s="37">
        <v>2</v>
      </c>
      <c r="G4" s="37"/>
      <c r="H4" s="87"/>
      <c r="I4" s="87">
        <v>46129</v>
      </c>
      <c r="J4" s="37" t="s">
        <v>4</v>
      </c>
      <c r="K4" s="38">
        <f>F4-G4</f>
        <v>2</v>
      </c>
      <c r="L4" s="39">
        <f>IF(F4=0,"",G4/F4)</f>
        <v>0</v>
      </c>
      <c r="M4" s="40">
        <f ca="1">I4-TODAY()</f>
        <v>22</v>
      </c>
      <c r="N4">
        <f>_xlfn.ISOWEEKNUM(I4)</f>
        <v>16</v>
      </c>
      <c r="O4" t="str">
        <f>IF(ISNUMBER(SEARCH("Access Point",E4)),"AP",IF(OR(ISNUMBER(SEARCH("Switch",E4)),ISNUMBER(SEARCH("Control Type",E4))),"Switch","Infra"))</f>
        <v>Switch</v>
      </c>
    </row>
    <row r="5" spans="1:16" ht="14.25" customHeight="1">
      <c r="A5">
        <v>4</v>
      </c>
      <c r="B5" s="35" t="s">
        <v>20</v>
      </c>
      <c r="C5" s="36" t="s">
        <v>72</v>
      </c>
      <c r="D5" s="37" t="s">
        <v>80</v>
      </c>
      <c r="E5" s="37" t="s">
        <v>81</v>
      </c>
      <c r="F5" s="37">
        <v>2</v>
      </c>
      <c r="G5" s="37">
        <v>2</v>
      </c>
      <c r="H5" s="87">
        <v>46063</v>
      </c>
      <c r="I5" s="87">
        <v>46070</v>
      </c>
      <c r="J5" s="37" t="s">
        <v>77</v>
      </c>
      <c r="K5" s="38">
        <f>F5-G5</f>
        <v>0</v>
      </c>
      <c r="L5" s="39">
        <f>IF(F5=0,"",G5/F5)</f>
        <v>1</v>
      </c>
      <c r="M5" s="40">
        <f ca="1">I5-TODAY()</f>
        <v>-37</v>
      </c>
      <c r="N5">
        <f>_xlfn.ISOWEEKNUM(I5)</f>
        <v>8</v>
      </c>
      <c r="O5" t="str">
        <f>IF(ISNUMBER(SEARCH("Access Point",E5)),"AP",IF(OR(ISNUMBER(SEARCH("Switch",E5)),ISNUMBER(SEARCH("Control Type",E5))),"Switch","Infra"))</f>
        <v>Switch</v>
      </c>
    </row>
    <row r="6" spans="1:16" ht="14.25" customHeight="1">
      <c r="A6">
        <v>5</v>
      </c>
      <c r="B6" s="35" t="s">
        <v>20</v>
      </c>
      <c r="C6" s="36" t="s">
        <v>72</v>
      </c>
      <c r="D6" s="37" t="s">
        <v>82</v>
      </c>
      <c r="E6" s="37" t="s">
        <v>83</v>
      </c>
      <c r="F6" s="37">
        <v>5</v>
      </c>
      <c r="G6" s="37"/>
      <c r="H6" s="87"/>
      <c r="I6" s="87">
        <v>46129</v>
      </c>
      <c r="J6" s="37" t="s">
        <v>4</v>
      </c>
      <c r="K6" s="38">
        <f>F6-G6</f>
        <v>5</v>
      </c>
      <c r="L6" s="39">
        <f>IF(F6=0,"",G6/F6)</f>
        <v>0</v>
      </c>
      <c r="M6" s="40">
        <f ca="1">I6-TODAY()</f>
        <v>22</v>
      </c>
      <c r="N6">
        <f>_xlfn.ISOWEEKNUM(I6)</f>
        <v>16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</v>
      </c>
      <c r="B7" s="35" t="s">
        <v>20</v>
      </c>
      <c r="C7" s="36" t="s">
        <v>72</v>
      </c>
      <c r="D7" s="37" t="s">
        <v>82</v>
      </c>
      <c r="E7" s="37" t="s">
        <v>84</v>
      </c>
      <c r="F7" s="37">
        <v>1</v>
      </c>
      <c r="G7" s="37"/>
      <c r="H7" s="87"/>
      <c r="I7" s="87">
        <v>46129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22</v>
      </c>
      <c r="N7">
        <f>_xlfn.ISOWEEKNUM(I7)</f>
        <v>16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7</v>
      </c>
      <c r="B8" s="35" t="s">
        <v>20</v>
      </c>
      <c r="C8" s="36" t="s">
        <v>72</v>
      </c>
      <c r="D8" s="37" t="s">
        <v>85</v>
      </c>
      <c r="E8" s="37" t="s">
        <v>76</v>
      </c>
      <c r="F8" s="37">
        <v>4</v>
      </c>
      <c r="G8" s="37">
        <v>4</v>
      </c>
      <c r="H8" s="87">
        <v>46072</v>
      </c>
      <c r="I8" s="87">
        <v>46072</v>
      </c>
      <c r="J8" s="37" t="s">
        <v>77</v>
      </c>
      <c r="K8" s="38">
        <f>F8-G8</f>
        <v>0</v>
      </c>
      <c r="L8" s="39">
        <f>IF(F8=0,"",G8/F8)</f>
        <v>1</v>
      </c>
      <c r="M8" s="40">
        <f ca="1">I8-TODAY()</f>
        <v>-35</v>
      </c>
      <c r="N8">
        <f>_xlfn.ISOWEEKNUM(I8)</f>
        <v>8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8</v>
      </c>
      <c r="B9" s="35" t="s">
        <v>20</v>
      </c>
      <c r="C9" s="36" t="s">
        <v>72</v>
      </c>
      <c r="D9" s="37" t="s">
        <v>86</v>
      </c>
      <c r="E9" s="37" t="s">
        <v>83</v>
      </c>
      <c r="F9" s="37">
        <v>3</v>
      </c>
      <c r="G9" s="37">
        <v>3</v>
      </c>
      <c r="H9" s="87">
        <v>46090</v>
      </c>
      <c r="I9" s="87">
        <v>46090</v>
      </c>
      <c r="J9" s="37" t="s">
        <v>77</v>
      </c>
      <c r="K9" s="38">
        <f>F9-G9</f>
        <v>0</v>
      </c>
      <c r="L9" s="39">
        <f>IF(F9=0,"",G9/F9)</f>
        <v>1</v>
      </c>
      <c r="M9" s="40">
        <f ca="1">I9-TODAY()</f>
        <v>-17</v>
      </c>
      <c r="N9">
        <f>_xlfn.ISOWEEKNUM(I9)</f>
        <v>11</v>
      </c>
      <c r="O9" t="str">
        <f>IF(ISNUMBER(SEARCH("Access Point",E9)),"AP",IF(OR(ISNUMBER(SEARCH("Switch",E9)),ISNUMBER(SEARCH("Control Type",E9))),"Switch","Infra"))</f>
        <v>Switch</v>
      </c>
    </row>
    <row r="10" spans="1:16" ht="14.25" customHeight="1">
      <c r="A10">
        <v>9</v>
      </c>
      <c r="B10" s="35" t="s">
        <v>20</v>
      </c>
      <c r="C10" s="36" t="s">
        <v>72</v>
      </c>
      <c r="D10" s="37" t="s">
        <v>86</v>
      </c>
      <c r="E10" s="37" t="s">
        <v>84</v>
      </c>
      <c r="F10" s="37">
        <v>7</v>
      </c>
      <c r="G10" s="37">
        <v>7</v>
      </c>
      <c r="H10" s="87">
        <v>46090</v>
      </c>
      <c r="I10" s="87">
        <v>46090</v>
      </c>
      <c r="J10" s="37" t="s">
        <v>77</v>
      </c>
      <c r="K10" s="38">
        <f>F10-G10</f>
        <v>0</v>
      </c>
      <c r="L10" s="39">
        <f>IF(F10=0,"",G10/F10)</f>
        <v>1</v>
      </c>
      <c r="M10" s="40">
        <f ca="1">I10-TODAY()</f>
        <v>-17</v>
      </c>
      <c r="N10">
        <f>_xlfn.ISOWEEKNUM(I10)</f>
        <v>11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10</v>
      </c>
      <c r="B11" s="35" t="s">
        <v>20</v>
      </c>
      <c r="C11" s="36" t="s">
        <v>72</v>
      </c>
      <c r="D11" s="37" t="s">
        <v>87</v>
      </c>
      <c r="E11" s="37" t="s">
        <v>83</v>
      </c>
      <c r="F11" s="37">
        <v>5</v>
      </c>
      <c r="G11" s="37">
        <v>5</v>
      </c>
      <c r="H11" s="87">
        <v>46072</v>
      </c>
      <c r="I11" s="87">
        <v>46072</v>
      </c>
      <c r="J11" s="37" t="s">
        <v>77</v>
      </c>
      <c r="K11" s="38">
        <f>F11-G11</f>
        <v>0</v>
      </c>
      <c r="L11" s="39">
        <f>IF(F11=0,"",G11/F11)</f>
        <v>1</v>
      </c>
      <c r="M11" s="40">
        <f ca="1">I11-TODAY()</f>
        <v>-35</v>
      </c>
      <c r="N11">
        <f>_xlfn.ISOWEEKNUM(I11)</f>
        <v>8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11</v>
      </c>
      <c r="B12" s="35" t="s">
        <v>20</v>
      </c>
      <c r="C12" s="36" t="s">
        <v>72</v>
      </c>
      <c r="D12" s="37" t="s">
        <v>87</v>
      </c>
      <c r="E12" s="37" t="s">
        <v>79</v>
      </c>
      <c r="F12" s="37">
        <v>2</v>
      </c>
      <c r="G12" s="37">
        <v>2</v>
      </c>
      <c r="H12" s="87">
        <v>46072</v>
      </c>
      <c r="I12" s="87">
        <v>46072</v>
      </c>
      <c r="J12" s="37" t="s">
        <v>77</v>
      </c>
      <c r="K12" s="38">
        <f>F12-G12</f>
        <v>0</v>
      </c>
      <c r="L12" s="39">
        <f>IF(F12=0,"",G12/F12)</f>
        <v>1</v>
      </c>
      <c r="M12" s="40">
        <f ca="1">I12-TODAY()</f>
        <v>-35</v>
      </c>
      <c r="N12">
        <f>_xlfn.ISOWEEKNUM(I12)</f>
        <v>8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12</v>
      </c>
      <c r="B13" s="35" t="s">
        <v>20</v>
      </c>
      <c r="C13" s="36" t="s">
        <v>72</v>
      </c>
      <c r="D13" s="37" t="s">
        <v>87</v>
      </c>
      <c r="E13" s="37" t="s">
        <v>84</v>
      </c>
      <c r="F13" s="37">
        <v>1</v>
      </c>
      <c r="G13" s="37">
        <v>1</v>
      </c>
      <c r="H13" s="87">
        <v>46072</v>
      </c>
      <c r="I13" s="87">
        <v>46072</v>
      </c>
      <c r="J13" s="37" t="s">
        <v>77</v>
      </c>
      <c r="K13" s="38">
        <f>F13-G13</f>
        <v>0</v>
      </c>
      <c r="L13" s="39">
        <f>IF(F13=0,"",G13/F13)</f>
        <v>1</v>
      </c>
      <c r="M13" s="40">
        <f ca="1">I13-TODAY()</f>
        <v>-35</v>
      </c>
      <c r="N13">
        <f>_xlfn.ISOWEEKNUM(I13)</f>
        <v>8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12</v>
      </c>
      <c r="B14" s="35" t="s">
        <v>20</v>
      </c>
      <c r="C14" s="36" t="s">
        <v>72</v>
      </c>
      <c r="D14" s="37" t="s">
        <v>87</v>
      </c>
      <c r="E14" s="37" t="s">
        <v>74</v>
      </c>
      <c r="F14" s="37">
        <v>12</v>
      </c>
      <c r="G14" s="37">
        <v>12</v>
      </c>
      <c r="H14" s="87">
        <v>46072</v>
      </c>
      <c r="I14" s="87">
        <v>46072</v>
      </c>
      <c r="J14" s="37" t="s">
        <v>77</v>
      </c>
      <c r="K14" s="38">
        <f>F14-G14</f>
        <v>0</v>
      </c>
      <c r="L14" s="39">
        <f>IF(F14=0,"",G14/F14)</f>
        <v>1</v>
      </c>
      <c r="M14" s="40">
        <f ca="1">I14-TODAY()</f>
        <v>-35</v>
      </c>
      <c r="N14">
        <f>_xlfn.ISOWEEKNUM(I14)</f>
        <v>8</v>
      </c>
      <c r="O14" t="str">
        <f>IF(ISNUMBER(SEARCH("Access Point",E14)),"AP",IF(OR(ISNUMBER(SEARCH("Switch",E14)),ISNUMBER(SEARCH("Control Type",E14))),"Switch","Infra"))</f>
        <v>AP</v>
      </c>
      <c r="P14" s="41" t="s">
        <v>88</v>
      </c>
    </row>
    <row r="15" spans="1:16" ht="14.25" customHeight="1">
      <c r="A15">
        <v>13</v>
      </c>
      <c r="B15" s="35" t="s">
        <v>20</v>
      </c>
      <c r="C15" s="36" t="s">
        <v>72</v>
      </c>
      <c r="D15" s="37" t="s">
        <v>89</v>
      </c>
      <c r="E15" s="37" t="s">
        <v>76</v>
      </c>
      <c r="F15" s="37">
        <v>4</v>
      </c>
      <c r="G15" s="37">
        <v>4</v>
      </c>
      <c r="H15" s="87">
        <v>46069</v>
      </c>
      <c r="I15" s="87">
        <v>46069</v>
      </c>
      <c r="J15" s="37" t="s">
        <v>77</v>
      </c>
      <c r="K15" s="38">
        <f>F15-G15</f>
        <v>0</v>
      </c>
      <c r="L15" s="39">
        <f>IF(F15=0,"",G15/F15)</f>
        <v>1</v>
      </c>
      <c r="M15" s="40">
        <f ca="1">I15-TODAY()</f>
        <v>-38</v>
      </c>
      <c r="N15">
        <f>_xlfn.ISOWEEKNUM(I15)</f>
        <v>8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14</v>
      </c>
      <c r="B16" s="35" t="s">
        <v>20</v>
      </c>
      <c r="C16" s="36" t="s">
        <v>72</v>
      </c>
      <c r="D16" s="37" t="s">
        <v>90</v>
      </c>
      <c r="E16" s="37" t="s">
        <v>83</v>
      </c>
      <c r="F16" s="37">
        <v>1</v>
      </c>
      <c r="G16" s="37">
        <v>1</v>
      </c>
      <c r="H16" s="87">
        <v>46071</v>
      </c>
      <c r="I16" s="87">
        <v>46071</v>
      </c>
      <c r="J16" s="37" t="s">
        <v>77</v>
      </c>
      <c r="K16" s="38">
        <f>F16-G16</f>
        <v>0</v>
      </c>
      <c r="L16" s="39">
        <f>IF(F16=0,"",G16/F16)</f>
        <v>1</v>
      </c>
      <c r="M16" s="40">
        <f ca="1">I16-TODAY()</f>
        <v>-36</v>
      </c>
      <c r="N16">
        <f>_xlfn.ISOWEEKNUM(I16)</f>
        <v>8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customHeight="1">
      <c r="A17">
        <v>15</v>
      </c>
      <c r="B17" s="35" t="s">
        <v>20</v>
      </c>
      <c r="C17" s="36" t="s">
        <v>72</v>
      </c>
      <c r="D17" s="37" t="s">
        <v>90</v>
      </c>
      <c r="E17" s="37" t="s">
        <v>84</v>
      </c>
      <c r="F17" s="37">
        <v>2</v>
      </c>
      <c r="G17" s="37">
        <v>2</v>
      </c>
      <c r="H17" s="87">
        <v>46071</v>
      </c>
      <c r="I17" s="87">
        <v>46071</v>
      </c>
      <c r="J17" s="37" t="s">
        <v>77</v>
      </c>
      <c r="K17" s="38">
        <f>F17-G17</f>
        <v>0</v>
      </c>
      <c r="L17" s="39">
        <f>IF(F17=0,"",G17/F17)</f>
        <v>1</v>
      </c>
      <c r="M17" s="40">
        <f ca="1">I17-TODAY()</f>
        <v>-36</v>
      </c>
      <c r="N17">
        <f>_xlfn.ISOWEEKNUM(I17)</f>
        <v>8</v>
      </c>
      <c r="O17" t="str">
        <f>IF(ISNUMBER(SEARCH("Access Point",E17)),"AP",IF(OR(ISNUMBER(SEARCH("Switch",E17)),ISNUMBER(SEARCH("Control Type",E17))),"Switch","Infra"))</f>
        <v>Switch</v>
      </c>
    </row>
    <row r="18" spans="1:16" ht="14.25" customHeight="1">
      <c r="A18">
        <v>16</v>
      </c>
      <c r="B18" s="35" t="s">
        <v>20</v>
      </c>
      <c r="C18" s="36" t="s">
        <v>72</v>
      </c>
      <c r="D18" s="37" t="s">
        <v>90</v>
      </c>
      <c r="E18" s="37" t="s">
        <v>74</v>
      </c>
      <c r="F18" s="37">
        <v>9</v>
      </c>
      <c r="G18" s="37">
        <v>9</v>
      </c>
      <c r="H18" s="87">
        <v>46071</v>
      </c>
      <c r="I18" s="87">
        <v>46071</v>
      </c>
      <c r="J18" s="37" t="s">
        <v>77</v>
      </c>
      <c r="K18" s="38">
        <f>F18-G18</f>
        <v>0</v>
      </c>
      <c r="L18" s="39">
        <f>IF(F18=0,"",G18/F18)</f>
        <v>1</v>
      </c>
      <c r="M18" s="40">
        <f ca="1">I18-TODAY()</f>
        <v>-36</v>
      </c>
      <c r="N18">
        <f>_xlfn.ISOWEEKNUM(I18)</f>
        <v>8</v>
      </c>
      <c r="O18" t="str">
        <f>IF(ISNUMBER(SEARCH("Access Point",E18)),"AP",IF(OR(ISNUMBER(SEARCH("Switch",E18)),ISNUMBER(SEARCH("Control Type",E18))),"Switch","Infra"))</f>
        <v>AP</v>
      </c>
      <c r="P18" s="41" t="s">
        <v>88</v>
      </c>
    </row>
    <row r="19" spans="1:16" ht="14.25" customHeight="1">
      <c r="A19">
        <v>17</v>
      </c>
      <c r="B19" s="35" t="s">
        <v>20</v>
      </c>
      <c r="C19" s="36" t="s">
        <v>72</v>
      </c>
      <c r="D19" s="37" t="s">
        <v>91</v>
      </c>
      <c r="E19" s="37" t="s">
        <v>83</v>
      </c>
      <c r="F19" s="37">
        <v>4</v>
      </c>
      <c r="G19" s="37">
        <v>4</v>
      </c>
      <c r="H19" s="87">
        <v>46091</v>
      </c>
      <c r="I19" s="87">
        <v>46091</v>
      </c>
      <c r="J19" s="37" t="s">
        <v>77</v>
      </c>
      <c r="K19" s="38">
        <f>F19-G19</f>
        <v>0</v>
      </c>
      <c r="L19" s="39">
        <f>IF(F19=0,"",G19/F19)</f>
        <v>1</v>
      </c>
      <c r="M19" s="40">
        <f ca="1">I19-TODAY()</f>
        <v>-16</v>
      </c>
      <c r="N19">
        <f>_xlfn.ISOWEEKNUM(I19)</f>
        <v>11</v>
      </c>
      <c r="O19" t="str">
        <f>IF(ISNUMBER(SEARCH("Access Point",E19)),"AP",IF(OR(ISNUMBER(SEARCH("Switch",E19)),ISNUMBER(SEARCH("Control Type",E19))),"Switch","Infra"))</f>
        <v>Switch</v>
      </c>
    </row>
    <row r="20" spans="1:16" ht="14.25" customHeight="1">
      <c r="A20">
        <v>18</v>
      </c>
      <c r="B20" s="35" t="s">
        <v>20</v>
      </c>
      <c r="C20" s="36" t="s">
        <v>72</v>
      </c>
      <c r="D20" s="37" t="s">
        <v>91</v>
      </c>
      <c r="E20" s="37" t="s">
        <v>84</v>
      </c>
      <c r="F20" s="37">
        <v>1</v>
      </c>
      <c r="G20" s="37">
        <v>1</v>
      </c>
      <c r="H20" s="87">
        <v>46091</v>
      </c>
      <c r="I20" s="87">
        <v>46091</v>
      </c>
      <c r="J20" s="37" t="s">
        <v>77</v>
      </c>
      <c r="K20" s="38">
        <f>F20-G20</f>
        <v>0</v>
      </c>
      <c r="L20" s="39">
        <f>IF(F20=0,"",G20/F20)</f>
        <v>1</v>
      </c>
      <c r="M20" s="40">
        <f ca="1">I20-TODAY()</f>
        <v>-16</v>
      </c>
      <c r="N20">
        <f>_xlfn.ISOWEEKNUM(I20)</f>
        <v>11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19</v>
      </c>
      <c r="B21" s="35" t="s">
        <v>20</v>
      </c>
      <c r="C21" s="36" t="s">
        <v>72</v>
      </c>
      <c r="D21" s="37" t="s">
        <v>92</v>
      </c>
      <c r="E21" s="37" t="s">
        <v>76</v>
      </c>
      <c r="F21" s="37">
        <v>2</v>
      </c>
      <c r="G21" s="37">
        <v>2</v>
      </c>
      <c r="H21" s="87">
        <v>46069</v>
      </c>
      <c r="I21" s="87">
        <v>46069</v>
      </c>
      <c r="J21" s="37" t="s">
        <v>77</v>
      </c>
      <c r="K21" s="38">
        <f>F21-G21</f>
        <v>0</v>
      </c>
      <c r="L21" s="39">
        <f>IF(F21=0,"",G21/F21)</f>
        <v>1</v>
      </c>
      <c r="M21" s="40">
        <f ca="1">I21-TODAY()</f>
        <v>-38</v>
      </c>
      <c r="N21">
        <f>_xlfn.ISOWEEKNUM(I21)</f>
        <v>8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20</v>
      </c>
      <c r="B22" s="35" t="s">
        <v>20</v>
      </c>
      <c r="C22" s="36" t="s">
        <v>72</v>
      </c>
      <c r="D22" s="37" t="s">
        <v>93</v>
      </c>
      <c r="E22" s="37" t="s">
        <v>83</v>
      </c>
      <c r="F22" s="37">
        <v>2</v>
      </c>
      <c r="G22" s="37">
        <v>2</v>
      </c>
      <c r="H22" s="87">
        <v>46070</v>
      </c>
      <c r="I22" s="87">
        <v>46070</v>
      </c>
      <c r="J22" s="37" t="s">
        <v>77</v>
      </c>
      <c r="K22" s="38">
        <f>F22-G22</f>
        <v>0</v>
      </c>
      <c r="L22" s="39">
        <f>IF(F22=0,"",G22/F22)</f>
        <v>1</v>
      </c>
      <c r="M22" s="40">
        <f ca="1">I22-TODAY()</f>
        <v>-37</v>
      </c>
      <c r="N22">
        <f>_xlfn.ISOWEEKNUM(I22)</f>
        <v>8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customHeight="1">
      <c r="A23">
        <v>21</v>
      </c>
      <c r="B23" s="35" t="s">
        <v>20</v>
      </c>
      <c r="C23" s="36" t="s">
        <v>72</v>
      </c>
      <c r="D23" s="37" t="s">
        <v>93</v>
      </c>
      <c r="E23" s="37" t="s">
        <v>84</v>
      </c>
      <c r="F23" s="37">
        <v>4</v>
      </c>
      <c r="G23" s="37">
        <v>4</v>
      </c>
      <c r="H23" s="87">
        <v>46070</v>
      </c>
      <c r="I23" s="87">
        <v>46070</v>
      </c>
      <c r="J23" s="37" t="s">
        <v>77</v>
      </c>
      <c r="K23" s="38">
        <f>F23-G23</f>
        <v>0</v>
      </c>
      <c r="L23" s="39">
        <f>IF(F23=0,"",G23/F23)</f>
        <v>1</v>
      </c>
      <c r="M23" s="40">
        <f ca="1">I23-TODAY()</f>
        <v>-37</v>
      </c>
      <c r="N23">
        <f>_xlfn.ISOWEEKNUM(I23)</f>
        <v>8</v>
      </c>
      <c r="O23" t="str">
        <f>IF(ISNUMBER(SEARCH("Access Point",E23)),"AP",IF(OR(ISNUMBER(SEARCH("Switch",E23)),ISNUMBER(SEARCH("Control Type",E23))),"Switch","Infra"))</f>
        <v>Switch</v>
      </c>
    </row>
    <row r="24" spans="1:16" ht="14.25" customHeight="1">
      <c r="A24">
        <v>21</v>
      </c>
      <c r="B24" s="35" t="s">
        <v>20</v>
      </c>
      <c r="C24" s="36" t="s">
        <v>72</v>
      </c>
      <c r="D24" s="37" t="s">
        <v>93</v>
      </c>
      <c r="E24" s="37" t="s">
        <v>74</v>
      </c>
      <c r="F24" s="37">
        <v>15</v>
      </c>
      <c r="G24" s="37">
        <v>15</v>
      </c>
      <c r="H24" s="87">
        <v>46070</v>
      </c>
      <c r="I24" s="87">
        <v>46070</v>
      </c>
      <c r="J24" s="37" t="s">
        <v>77</v>
      </c>
      <c r="K24" s="38">
        <f>F24-G24</f>
        <v>0</v>
      </c>
      <c r="L24" s="39">
        <f>IF(F24=0,"",G24/F24)</f>
        <v>1</v>
      </c>
      <c r="M24" s="40">
        <f ca="1">I24-TODAY()</f>
        <v>-37</v>
      </c>
      <c r="N24">
        <f>_xlfn.ISOWEEKNUM(I24)</f>
        <v>8</v>
      </c>
      <c r="O24" t="str">
        <f>IF(ISNUMBER(SEARCH("Access Point",E24)),"AP",IF(OR(ISNUMBER(SEARCH("Switch",E24)),ISNUMBER(SEARCH("Control Type",E24))),"Switch","Infra"))</f>
        <v>AP</v>
      </c>
      <c r="P24" s="41" t="s">
        <v>88</v>
      </c>
    </row>
    <row r="25" spans="1:16" ht="14.25" customHeight="1">
      <c r="A25">
        <v>22</v>
      </c>
      <c r="B25" s="35" t="s">
        <v>20</v>
      </c>
      <c r="C25" s="36" t="s">
        <v>72</v>
      </c>
      <c r="D25" s="37" t="s">
        <v>94</v>
      </c>
      <c r="E25" s="37" t="s">
        <v>83</v>
      </c>
      <c r="F25" s="37">
        <v>2</v>
      </c>
      <c r="G25" s="37">
        <v>2</v>
      </c>
      <c r="H25" s="87">
        <v>46091</v>
      </c>
      <c r="I25" s="87">
        <v>46091</v>
      </c>
      <c r="J25" s="37" t="s">
        <v>77</v>
      </c>
      <c r="K25" s="38">
        <f>F25-G25</f>
        <v>0</v>
      </c>
      <c r="L25" s="39">
        <f>IF(F25=0,"",G25/F25)</f>
        <v>1</v>
      </c>
      <c r="M25" s="40">
        <f ca="1">I25-TODAY()</f>
        <v>-16</v>
      </c>
      <c r="N25">
        <f>_xlfn.ISOWEEKNUM(I25)</f>
        <v>11</v>
      </c>
      <c r="O25" t="str">
        <f>IF(ISNUMBER(SEARCH("Access Point",E25)),"AP",IF(OR(ISNUMBER(SEARCH("Switch",E25)),ISNUMBER(SEARCH("Control Type",E25))),"Switch","Infra"))</f>
        <v>Switch</v>
      </c>
    </row>
    <row r="26" spans="1:16" ht="14.25" customHeight="1">
      <c r="A26">
        <v>23</v>
      </c>
      <c r="B26" s="35" t="s">
        <v>20</v>
      </c>
      <c r="C26" s="36" t="s">
        <v>72</v>
      </c>
      <c r="D26" s="37" t="s">
        <v>94</v>
      </c>
      <c r="E26" s="37" t="s">
        <v>84</v>
      </c>
      <c r="F26" s="37">
        <v>1</v>
      </c>
      <c r="G26" s="37">
        <v>1</v>
      </c>
      <c r="H26" s="87">
        <v>46091</v>
      </c>
      <c r="I26" s="87">
        <v>46091</v>
      </c>
      <c r="J26" s="37" t="s">
        <v>77</v>
      </c>
      <c r="K26" s="38">
        <f>F26-G26</f>
        <v>0</v>
      </c>
      <c r="L26" s="39">
        <f>IF(F26=0,"",G26/F26)</f>
        <v>1</v>
      </c>
      <c r="M26" s="40">
        <f ca="1">I26-TODAY()</f>
        <v>-16</v>
      </c>
      <c r="N26">
        <f>_xlfn.ISOWEEKNUM(I26)</f>
        <v>11</v>
      </c>
      <c r="O26" t="str">
        <f>IF(ISNUMBER(SEARCH("Access Point",E26)),"AP",IF(OR(ISNUMBER(SEARCH("Switch",E26)),ISNUMBER(SEARCH("Control Type",E26))),"Switch","Infra"))</f>
        <v>Switch</v>
      </c>
    </row>
    <row r="27" spans="1:16" ht="14.25" customHeight="1">
      <c r="A27">
        <v>24</v>
      </c>
      <c r="B27" s="35" t="s">
        <v>20</v>
      </c>
      <c r="C27" s="36" t="s">
        <v>72</v>
      </c>
      <c r="D27" s="37" t="s">
        <v>95</v>
      </c>
      <c r="E27" s="37" t="s">
        <v>83</v>
      </c>
      <c r="F27" s="37">
        <v>4</v>
      </c>
      <c r="G27" s="37">
        <v>4</v>
      </c>
      <c r="H27" s="87">
        <v>46099</v>
      </c>
      <c r="I27" s="87">
        <v>46099</v>
      </c>
      <c r="J27" s="37" t="s">
        <v>77</v>
      </c>
      <c r="K27" s="38">
        <f>F27-G27</f>
        <v>0</v>
      </c>
      <c r="L27" s="39">
        <f>IF(F27=0,"",G27/F27)</f>
        <v>1</v>
      </c>
      <c r="M27" s="40">
        <f ca="1">I27-TODAY()</f>
        <v>-8</v>
      </c>
      <c r="N27">
        <f>_xlfn.ISOWEEKNUM(I27)</f>
        <v>12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25</v>
      </c>
      <c r="B28" s="35" t="s">
        <v>20</v>
      </c>
      <c r="C28" s="36" t="s">
        <v>72</v>
      </c>
      <c r="D28" s="37" t="s">
        <v>95</v>
      </c>
      <c r="E28" s="37" t="s">
        <v>84</v>
      </c>
      <c r="F28" s="37">
        <v>3</v>
      </c>
      <c r="G28" s="37">
        <v>3</v>
      </c>
      <c r="H28" s="87">
        <v>46099</v>
      </c>
      <c r="I28" s="87">
        <v>46099</v>
      </c>
      <c r="J28" s="37" t="s">
        <v>77</v>
      </c>
      <c r="K28" s="38">
        <f>F28-G28</f>
        <v>0</v>
      </c>
      <c r="L28" s="39">
        <f>IF(F28=0,"",G28/F28)</f>
        <v>1</v>
      </c>
      <c r="M28" s="40">
        <f ca="1">I28-TODAY()</f>
        <v>-8</v>
      </c>
      <c r="N28">
        <f>_xlfn.ISOWEEKNUM(I28)</f>
        <v>12</v>
      </c>
      <c r="O28" t="str">
        <f>IF(ISNUMBER(SEARCH("Access Point",E28)),"AP",IF(OR(ISNUMBER(SEARCH("Switch",E28)),ISNUMBER(SEARCH("Control Type",E28))),"Switch","Infra"))</f>
        <v>Switch</v>
      </c>
    </row>
    <row r="29" spans="1:16" ht="14.25" customHeight="1">
      <c r="A29">
        <v>26</v>
      </c>
      <c r="B29" s="35" t="s">
        <v>20</v>
      </c>
      <c r="C29" s="36" t="s">
        <v>72</v>
      </c>
      <c r="D29" s="37" t="s">
        <v>96</v>
      </c>
      <c r="E29" s="37" t="s">
        <v>76</v>
      </c>
      <c r="F29" s="37">
        <v>3</v>
      </c>
      <c r="G29" s="37">
        <v>3</v>
      </c>
      <c r="H29" s="87">
        <v>46099</v>
      </c>
      <c r="I29" s="87">
        <v>46099</v>
      </c>
      <c r="J29" s="37" t="s">
        <v>77</v>
      </c>
      <c r="K29" s="38">
        <f>F29-G29</f>
        <v>0</v>
      </c>
      <c r="L29" s="39">
        <f>IF(F29=0,"",G29/F29)</f>
        <v>1</v>
      </c>
      <c r="M29" s="40">
        <f ca="1">I29-TODAY()</f>
        <v>-8</v>
      </c>
      <c r="N29">
        <f>_xlfn.ISOWEEKNUM(I29)</f>
        <v>12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27</v>
      </c>
      <c r="B30" s="35" t="s">
        <v>20</v>
      </c>
      <c r="C30" s="36" t="s">
        <v>72</v>
      </c>
      <c r="D30" s="37" t="s">
        <v>97</v>
      </c>
      <c r="E30" s="37" t="s">
        <v>76</v>
      </c>
      <c r="F30" s="37">
        <v>2</v>
      </c>
      <c r="G30" s="37">
        <v>2</v>
      </c>
      <c r="H30" s="87">
        <v>46073</v>
      </c>
      <c r="I30" s="87">
        <v>46073</v>
      </c>
      <c r="J30" s="37" t="s">
        <v>77</v>
      </c>
      <c r="K30" s="38">
        <f>F30-G30</f>
        <v>0</v>
      </c>
      <c r="L30" s="39">
        <f>IF(F30=0,"",G30/F30)</f>
        <v>1</v>
      </c>
      <c r="M30" s="40">
        <f ca="1">I30-TODAY()</f>
        <v>-34</v>
      </c>
      <c r="N30">
        <f>_xlfn.ISOWEEKNUM(I30)</f>
        <v>8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customHeight="1">
      <c r="A31">
        <v>28</v>
      </c>
      <c r="B31" s="35" t="s">
        <v>20</v>
      </c>
      <c r="C31" s="36" t="s">
        <v>72</v>
      </c>
      <c r="D31" s="37" t="s">
        <v>98</v>
      </c>
      <c r="E31" s="37" t="s">
        <v>84</v>
      </c>
      <c r="F31" s="37">
        <v>1</v>
      </c>
      <c r="G31" s="37">
        <v>1</v>
      </c>
      <c r="H31" s="87">
        <v>46071</v>
      </c>
      <c r="I31" s="87">
        <v>46071</v>
      </c>
      <c r="J31" s="37" t="s">
        <v>77</v>
      </c>
      <c r="K31" s="38">
        <f>F31-G31</f>
        <v>0</v>
      </c>
      <c r="L31" s="39">
        <f>IF(F31=0,"",G31/F31)</f>
        <v>1</v>
      </c>
      <c r="M31" s="40">
        <f ca="1">I31-TODAY()</f>
        <v>-36</v>
      </c>
      <c r="N31">
        <f>_xlfn.ISOWEEKNUM(I31)</f>
        <v>8</v>
      </c>
      <c r="O31" t="str">
        <f>IF(ISNUMBER(SEARCH("Access Point",E31)),"AP",IF(OR(ISNUMBER(SEARCH("Switch",E31)),ISNUMBER(SEARCH("Control Type",E31))),"Switch","Infra"))</f>
        <v>Switch</v>
      </c>
    </row>
    <row r="32" spans="1:16" ht="14.25" customHeight="1">
      <c r="A32">
        <v>29</v>
      </c>
      <c r="B32" s="35" t="s">
        <v>20</v>
      </c>
      <c r="C32" s="36" t="s">
        <v>72</v>
      </c>
      <c r="D32" s="37" t="s">
        <v>99</v>
      </c>
      <c r="E32" s="37" t="s">
        <v>83</v>
      </c>
      <c r="F32" s="37">
        <v>2</v>
      </c>
      <c r="G32" s="37">
        <v>2</v>
      </c>
      <c r="H32" s="87">
        <v>46071</v>
      </c>
      <c r="I32" s="87">
        <v>46071</v>
      </c>
      <c r="J32" s="37" t="s">
        <v>77</v>
      </c>
      <c r="K32" s="38">
        <f>F32-G32</f>
        <v>0</v>
      </c>
      <c r="L32" s="39">
        <f>IF(F32=0,"",G32/F32)</f>
        <v>1</v>
      </c>
      <c r="M32" s="40">
        <f ca="1">I32-TODAY()</f>
        <v>-36</v>
      </c>
      <c r="N32">
        <f>_xlfn.ISOWEEKNUM(I32)</f>
        <v>8</v>
      </c>
      <c r="O32" t="str">
        <f>IF(ISNUMBER(SEARCH("Access Point",E32)),"AP",IF(OR(ISNUMBER(SEARCH("Switch",E32)),ISNUMBER(SEARCH("Control Type",E32))),"Switch","Infra"))</f>
        <v>Switch</v>
      </c>
    </row>
    <row r="33" spans="1:16" ht="14.25" customHeight="1">
      <c r="A33">
        <v>30</v>
      </c>
      <c r="B33" s="35" t="s">
        <v>20</v>
      </c>
      <c r="C33" s="36" t="s">
        <v>72</v>
      </c>
      <c r="D33" s="37" t="s">
        <v>99</v>
      </c>
      <c r="E33" s="37" t="s">
        <v>76</v>
      </c>
      <c r="F33" s="37">
        <v>2</v>
      </c>
      <c r="G33" s="37">
        <v>2</v>
      </c>
      <c r="H33" s="87">
        <v>46071</v>
      </c>
      <c r="I33" s="87">
        <v>46071</v>
      </c>
      <c r="J33" s="37" t="s">
        <v>77</v>
      </c>
      <c r="K33" s="38">
        <f>F33-G33</f>
        <v>0</v>
      </c>
      <c r="L33" s="39">
        <f>IF(F33=0,"",G33/F33)</f>
        <v>1</v>
      </c>
      <c r="M33" s="40">
        <f ca="1">I33-TODAY()</f>
        <v>-36</v>
      </c>
      <c r="N33">
        <f>_xlfn.ISOWEEKNUM(I33)</f>
        <v>8</v>
      </c>
      <c r="O33" t="str">
        <f>IF(ISNUMBER(SEARCH("Access Point",E33)),"AP",IF(OR(ISNUMBER(SEARCH("Switch",E33)),ISNUMBER(SEARCH("Control Type",E33))),"Switch","Infra"))</f>
        <v>Switch</v>
      </c>
    </row>
    <row r="34" spans="1:16" ht="14.25" customHeight="1">
      <c r="A34">
        <v>30</v>
      </c>
      <c r="B34" s="35" t="s">
        <v>20</v>
      </c>
      <c r="C34" s="36" t="s">
        <v>72</v>
      </c>
      <c r="D34" s="37" t="s">
        <v>99</v>
      </c>
      <c r="E34" s="37" t="s">
        <v>74</v>
      </c>
      <c r="F34" s="37">
        <v>7</v>
      </c>
      <c r="G34" s="37">
        <v>7</v>
      </c>
      <c r="H34" s="87">
        <v>46071</v>
      </c>
      <c r="I34" s="87">
        <v>46071</v>
      </c>
      <c r="J34" s="37" t="s">
        <v>77</v>
      </c>
      <c r="K34" s="38">
        <f>F34-G34</f>
        <v>0</v>
      </c>
      <c r="L34" s="39">
        <f>IF(F34=0,"",G34/F34)</f>
        <v>1</v>
      </c>
      <c r="M34" s="40">
        <f ca="1">I34-TODAY()</f>
        <v>-36</v>
      </c>
      <c r="N34">
        <f>_xlfn.ISOWEEKNUM(I34)</f>
        <v>8</v>
      </c>
      <c r="O34" t="str">
        <f>IF(ISNUMBER(SEARCH("Access Point",E34)),"AP",IF(OR(ISNUMBER(SEARCH("Switch",E34)),ISNUMBER(SEARCH("Control Type",E34))),"Switch","Infra"))</f>
        <v>AP</v>
      </c>
      <c r="P34" s="41" t="s">
        <v>88</v>
      </c>
    </row>
    <row r="35" spans="1:16" ht="14.25" customHeight="1">
      <c r="A35">
        <v>31</v>
      </c>
      <c r="B35" s="35" t="s">
        <v>20</v>
      </c>
      <c r="C35" s="36" t="s">
        <v>72</v>
      </c>
      <c r="D35" s="37" t="s">
        <v>100</v>
      </c>
      <c r="E35" s="37" t="s">
        <v>79</v>
      </c>
      <c r="F35" s="37">
        <v>2</v>
      </c>
      <c r="G35" s="37">
        <v>1</v>
      </c>
      <c r="H35" s="87">
        <v>46090</v>
      </c>
      <c r="I35" s="87">
        <v>46090</v>
      </c>
      <c r="J35" s="37" t="s">
        <v>77</v>
      </c>
      <c r="K35" s="38">
        <f>F35-G35</f>
        <v>1</v>
      </c>
      <c r="L35" s="39">
        <f>IF(F35=0,"",G35/F35)</f>
        <v>0.5</v>
      </c>
      <c r="M35" s="40">
        <f ca="1">I35-TODAY()</f>
        <v>-17</v>
      </c>
      <c r="N35">
        <f>_xlfn.ISOWEEKNUM(I35)</f>
        <v>11</v>
      </c>
      <c r="O35" t="str">
        <f>IF(ISNUMBER(SEARCH("Access Point",E35)),"AP",IF(OR(ISNUMBER(SEARCH("Switch",E35)),ISNUMBER(SEARCH("Control Type",E35))),"Switch","Infra"))</f>
        <v>Switch</v>
      </c>
    </row>
    <row r="36" spans="1:16" ht="14.25" customHeight="1">
      <c r="A36">
        <v>32</v>
      </c>
      <c r="B36" s="35" t="s">
        <v>20</v>
      </c>
      <c r="C36" s="36" t="s">
        <v>72</v>
      </c>
      <c r="D36" s="37" t="s">
        <v>100</v>
      </c>
      <c r="E36" s="37" t="s">
        <v>84</v>
      </c>
      <c r="F36" s="37">
        <v>2</v>
      </c>
      <c r="G36" s="37">
        <v>1</v>
      </c>
      <c r="H36" s="87">
        <v>46090</v>
      </c>
      <c r="I36" s="87">
        <v>46090</v>
      </c>
      <c r="J36" s="37" t="s">
        <v>77</v>
      </c>
      <c r="K36" s="38">
        <f>F36-G36</f>
        <v>1</v>
      </c>
      <c r="L36" s="39">
        <f>IF(F36=0,"",G36/F36)</f>
        <v>0.5</v>
      </c>
      <c r="M36" s="40">
        <f ca="1">I36-TODAY()</f>
        <v>-17</v>
      </c>
      <c r="N36">
        <f>_xlfn.ISOWEEKNUM(I36)</f>
        <v>11</v>
      </c>
      <c r="O36" t="str">
        <f>IF(ISNUMBER(SEARCH("Access Point",E36)),"AP",IF(OR(ISNUMBER(SEARCH("Switch",E36)),ISNUMBER(SEARCH("Control Type",E36))),"Switch","Infra"))</f>
        <v>Switch</v>
      </c>
    </row>
    <row r="37" spans="1:16" ht="14.25" customHeight="1">
      <c r="A37">
        <v>33</v>
      </c>
      <c r="B37" s="35" t="s">
        <v>20</v>
      </c>
      <c r="C37" s="36" t="s">
        <v>72</v>
      </c>
      <c r="D37" s="37" t="s">
        <v>101</v>
      </c>
      <c r="E37" s="37" t="s">
        <v>79</v>
      </c>
      <c r="F37" s="37">
        <v>1</v>
      </c>
      <c r="G37" s="37">
        <v>1</v>
      </c>
      <c r="H37" s="87">
        <v>46071</v>
      </c>
      <c r="I37" s="87">
        <v>46071</v>
      </c>
      <c r="J37" s="37" t="s">
        <v>77</v>
      </c>
      <c r="K37" s="38">
        <f>F37-G37</f>
        <v>0</v>
      </c>
      <c r="L37" s="39">
        <f>IF(F37=0,"",G37/F37)</f>
        <v>1</v>
      </c>
      <c r="M37" s="40">
        <f ca="1">I37-TODAY()</f>
        <v>-36</v>
      </c>
      <c r="N37">
        <f>_xlfn.ISOWEEKNUM(I37)</f>
        <v>8</v>
      </c>
      <c r="O37" t="str">
        <f>IF(ISNUMBER(SEARCH("Access Point",E37)),"AP",IF(OR(ISNUMBER(SEARCH("Switch",E37)),ISNUMBER(SEARCH("Control Type",E37))),"Switch","Infra"))</f>
        <v>Switch</v>
      </c>
      <c r="P37" t="s">
        <v>102</v>
      </c>
    </row>
    <row r="38" spans="1:16" ht="14.25" customHeight="1">
      <c r="A38">
        <v>34</v>
      </c>
      <c r="B38" s="35" t="s">
        <v>20</v>
      </c>
      <c r="C38" s="36" t="s">
        <v>72</v>
      </c>
      <c r="D38" s="37" t="s">
        <v>103</v>
      </c>
      <c r="E38" s="37" t="s">
        <v>79</v>
      </c>
      <c r="F38" s="37">
        <v>1</v>
      </c>
      <c r="G38" s="37">
        <v>1</v>
      </c>
      <c r="H38" s="87">
        <v>46070</v>
      </c>
      <c r="I38" s="87">
        <v>46070</v>
      </c>
      <c r="J38" s="37" t="s">
        <v>77</v>
      </c>
      <c r="K38" s="42">
        <f>F38-G38</f>
        <v>0</v>
      </c>
      <c r="L38" s="39">
        <f>IF(F38=0,"",G38/F38)</f>
        <v>1</v>
      </c>
      <c r="M38" s="40">
        <f ca="1">I38-TODAY()</f>
        <v>-37</v>
      </c>
      <c r="N38">
        <f>_xlfn.ISOWEEKNUM(I38)</f>
        <v>8</v>
      </c>
      <c r="O38" t="str">
        <f>IF(ISNUMBER(SEARCH("Access Point",E38)),"AP",IF(OR(ISNUMBER(SEARCH("Switch",E38)),ISNUMBER(SEARCH("Control Type",E38))),"Switch","Infra"))</f>
        <v>Switch</v>
      </c>
      <c r="P38" s="41" t="s">
        <v>104</v>
      </c>
    </row>
    <row r="39" spans="1:16" ht="14.25" customHeight="1">
      <c r="A39">
        <v>35</v>
      </c>
      <c r="B39" s="35" t="s">
        <v>20</v>
      </c>
      <c r="C39" s="36" t="s">
        <v>72</v>
      </c>
      <c r="D39" s="37" t="s">
        <v>103</v>
      </c>
      <c r="E39" s="37" t="s">
        <v>84</v>
      </c>
      <c r="F39" s="37">
        <v>1</v>
      </c>
      <c r="G39" s="37">
        <v>1</v>
      </c>
      <c r="H39" s="87">
        <v>46070</v>
      </c>
      <c r="I39" s="87">
        <v>46070</v>
      </c>
      <c r="J39" s="37" t="s">
        <v>77</v>
      </c>
      <c r="K39" s="38">
        <f>F39-G39</f>
        <v>0</v>
      </c>
      <c r="L39" s="39">
        <f>IF(F39=0,"",G39/F39)</f>
        <v>1</v>
      </c>
      <c r="M39" s="40">
        <f ca="1">I39-TODAY()</f>
        <v>-37</v>
      </c>
      <c r="N39">
        <f>_xlfn.ISOWEEKNUM(I39)</f>
        <v>8</v>
      </c>
      <c r="O39" t="str">
        <f>IF(ISNUMBER(SEARCH("Access Point",E39)),"AP",IF(OR(ISNUMBER(SEARCH("Switch",E39)),ISNUMBER(SEARCH("Control Type",E39))),"Switch","Infra"))</f>
        <v>Switch</v>
      </c>
      <c r="P39" t="s">
        <v>105</v>
      </c>
    </row>
    <row r="40" spans="1:16" ht="14.25" customHeight="1">
      <c r="A40">
        <v>36</v>
      </c>
      <c r="B40" s="35" t="s">
        <v>20</v>
      </c>
      <c r="C40" s="36" t="s">
        <v>72</v>
      </c>
      <c r="D40" s="36" t="s">
        <v>106</v>
      </c>
      <c r="E40" s="37" t="s">
        <v>79</v>
      </c>
      <c r="F40" s="37">
        <v>1</v>
      </c>
      <c r="G40" s="37">
        <v>1</v>
      </c>
      <c r="H40" s="87"/>
      <c r="I40" s="87">
        <v>46174</v>
      </c>
      <c r="J40" s="37" t="s">
        <v>5</v>
      </c>
      <c r="K40" s="38">
        <f>F40-G40</f>
        <v>0</v>
      </c>
      <c r="L40" s="39">
        <f>IF(F40=0,"",G40/F40)</f>
        <v>1</v>
      </c>
      <c r="M40" s="40">
        <f ca="1">I40-TODAY()</f>
        <v>67</v>
      </c>
      <c r="N40">
        <f>_xlfn.ISOWEEKNUM(I40)</f>
        <v>23</v>
      </c>
      <c r="O40" t="str">
        <f>IF(ISNUMBER(SEARCH("Access Point",E40)),"AP",IF(OR(ISNUMBER(SEARCH("Switch",E40)),ISNUMBER(SEARCH("Control Type",E40))),"Switch","Infra"))</f>
        <v>Switch</v>
      </c>
      <c r="P40" s="41" t="s">
        <v>107</v>
      </c>
    </row>
    <row r="41" spans="1:16" ht="14.25" customHeight="1">
      <c r="A41">
        <v>37</v>
      </c>
      <c r="B41" s="35" t="s">
        <v>20</v>
      </c>
      <c r="C41" s="36" t="s">
        <v>72</v>
      </c>
      <c r="D41" s="36" t="s">
        <v>106</v>
      </c>
      <c r="E41" s="37" t="s">
        <v>84</v>
      </c>
      <c r="F41" s="37">
        <v>1</v>
      </c>
      <c r="G41" s="37">
        <v>1</v>
      </c>
      <c r="H41" s="87">
        <v>46090</v>
      </c>
      <c r="I41" s="87">
        <v>46090</v>
      </c>
      <c r="J41" s="37" t="s">
        <v>77</v>
      </c>
      <c r="K41" s="38">
        <f>F41-G41</f>
        <v>0</v>
      </c>
      <c r="L41" s="39">
        <f>IF(F41=0,"",G41/F41)</f>
        <v>1</v>
      </c>
      <c r="M41" s="40">
        <f ca="1">I41-TODAY()</f>
        <v>-17</v>
      </c>
      <c r="N41">
        <f>_xlfn.ISOWEEKNUM(I41)</f>
        <v>11</v>
      </c>
      <c r="O41" t="str">
        <f>IF(ISNUMBER(SEARCH("Access Point",E41)),"AP",IF(OR(ISNUMBER(SEARCH("Switch",E41)),ISNUMBER(SEARCH("Control Type",E41))),"Switch","Infra"))</f>
        <v>Switch</v>
      </c>
    </row>
    <row r="42" spans="1:16" ht="14.25" customHeight="1">
      <c r="A42">
        <v>38</v>
      </c>
      <c r="B42" s="35" t="s">
        <v>20</v>
      </c>
      <c r="C42" s="36" t="s">
        <v>72</v>
      </c>
      <c r="D42" s="36" t="s">
        <v>108</v>
      </c>
      <c r="E42" s="37" t="s">
        <v>79</v>
      </c>
      <c r="F42" s="37">
        <v>1</v>
      </c>
      <c r="G42" s="37">
        <v>1</v>
      </c>
      <c r="H42" s="87">
        <v>46071</v>
      </c>
      <c r="I42" s="87">
        <v>46071</v>
      </c>
      <c r="J42" s="37" t="s">
        <v>77</v>
      </c>
      <c r="K42" s="38">
        <f>F42-G42</f>
        <v>0</v>
      </c>
      <c r="L42" s="39">
        <f>IF(F42=0,"",G42/F42)</f>
        <v>1</v>
      </c>
      <c r="M42" s="40">
        <f ca="1">I42-TODAY()</f>
        <v>-36</v>
      </c>
      <c r="N42">
        <f>_xlfn.ISOWEEKNUM(I42)</f>
        <v>8</v>
      </c>
      <c r="O42" t="str">
        <f>IF(ISNUMBER(SEARCH("Access Point",E42)),"AP",IF(OR(ISNUMBER(SEARCH("Switch",E42)),ISNUMBER(SEARCH("Control Type",E42))),"Switch","Infra"))</f>
        <v>Switch</v>
      </c>
      <c r="P42" t="s">
        <v>109</v>
      </c>
    </row>
    <row r="43" spans="1:16" ht="14.25" customHeight="1">
      <c r="A43">
        <v>39</v>
      </c>
      <c r="B43" s="35" t="s">
        <v>20</v>
      </c>
      <c r="C43" s="36" t="s">
        <v>72</v>
      </c>
      <c r="D43" s="36" t="s">
        <v>108</v>
      </c>
      <c r="E43" s="37" t="s">
        <v>84</v>
      </c>
      <c r="F43" s="37">
        <v>1</v>
      </c>
      <c r="G43" s="37">
        <v>1</v>
      </c>
      <c r="H43" s="87">
        <v>46071</v>
      </c>
      <c r="I43" s="87">
        <v>46071</v>
      </c>
      <c r="J43" s="37" t="s">
        <v>77</v>
      </c>
      <c r="K43" s="38">
        <f>F43-G43</f>
        <v>0</v>
      </c>
      <c r="L43" s="39">
        <f>IF(F43=0,"",G43/F43)</f>
        <v>1</v>
      </c>
      <c r="M43" s="40">
        <f ca="1">I43-TODAY()</f>
        <v>-36</v>
      </c>
      <c r="N43">
        <f>_xlfn.ISOWEEKNUM(I43)</f>
        <v>8</v>
      </c>
      <c r="O43" t="str">
        <f>IF(ISNUMBER(SEARCH("Access Point",E43)),"AP",IF(OR(ISNUMBER(SEARCH("Switch",E43)),ISNUMBER(SEARCH("Control Type",E43))),"Switch","Infra"))</f>
        <v>Switch</v>
      </c>
      <c r="P43" t="s">
        <v>109</v>
      </c>
    </row>
    <row r="44" spans="1:16" ht="14.25" customHeight="1">
      <c r="A44">
        <v>40</v>
      </c>
      <c r="B44" s="35" t="s">
        <v>20</v>
      </c>
      <c r="C44" s="36" t="s">
        <v>72</v>
      </c>
      <c r="D44" s="36" t="s">
        <v>110</v>
      </c>
      <c r="E44" s="37" t="s">
        <v>79</v>
      </c>
      <c r="F44" s="37">
        <v>1</v>
      </c>
      <c r="G44" s="37">
        <v>0</v>
      </c>
      <c r="H44" s="87">
        <v>46070</v>
      </c>
      <c r="I44" s="87">
        <v>46070</v>
      </c>
      <c r="J44" s="37" t="s">
        <v>77</v>
      </c>
      <c r="K44" s="42">
        <f>F44-G44</f>
        <v>1</v>
      </c>
      <c r="L44" s="39">
        <f>IF(F44=0,"",G44/F44)</f>
        <v>0</v>
      </c>
      <c r="M44" s="40">
        <f ca="1">I44-TODAY()</f>
        <v>-37</v>
      </c>
      <c r="N44">
        <f>_xlfn.ISOWEEKNUM(I44)</f>
        <v>8</v>
      </c>
      <c r="O44" t="str">
        <f>IF(ISNUMBER(SEARCH("Access Point",E44)),"AP",IF(OR(ISNUMBER(SEARCH("Switch",E44)),ISNUMBER(SEARCH("Control Type",E44))),"Switch","Infra"))</f>
        <v>Switch</v>
      </c>
      <c r="P44" s="41" t="s">
        <v>111</v>
      </c>
    </row>
    <row r="45" spans="1:16" ht="14.25" customHeight="1">
      <c r="A45">
        <v>41</v>
      </c>
      <c r="B45" s="35" t="s">
        <v>20</v>
      </c>
      <c r="C45" s="36" t="s">
        <v>72</v>
      </c>
      <c r="D45" s="36" t="s">
        <v>110</v>
      </c>
      <c r="E45" s="37" t="s">
        <v>84</v>
      </c>
      <c r="F45" s="37">
        <v>1</v>
      </c>
      <c r="G45" s="37">
        <v>1</v>
      </c>
      <c r="H45" s="87">
        <v>46070</v>
      </c>
      <c r="I45" s="87">
        <v>46070</v>
      </c>
      <c r="J45" s="37" t="s">
        <v>77</v>
      </c>
      <c r="K45" s="38">
        <f>F45-G45</f>
        <v>0</v>
      </c>
      <c r="L45" s="39">
        <f>IF(F45=0,"",G45/F45)</f>
        <v>1</v>
      </c>
      <c r="M45" s="40">
        <f ca="1">I45-TODAY()</f>
        <v>-37</v>
      </c>
      <c r="N45">
        <f>_xlfn.ISOWEEKNUM(I45)</f>
        <v>8</v>
      </c>
      <c r="O45" t="str">
        <f>IF(ISNUMBER(SEARCH("Access Point",E45)),"AP",IF(OR(ISNUMBER(SEARCH("Switch",E45)),ISNUMBER(SEARCH("Control Type",E45))),"Switch","Infra"))</f>
        <v>Switch</v>
      </c>
      <c r="P45" t="s">
        <v>112</v>
      </c>
    </row>
    <row r="46" spans="1:16" ht="14.25" customHeight="1">
      <c r="A46">
        <v>42</v>
      </c>
      <c r="B46" s="35" t="s">
        <v>20</v>
      </c>
      <c r="C46" s="36" t="s">
        <v>72</v>
      </c>
      <c r="D46" s="36" t="s">
        <v>113</v>
      </c>
      <c r="E46" s="37" t="s">
        <v>79</v>
      </c>
      <c r="F46" s="37">
        <v>2</v>
      </c>
      <c r="G46" s="37">
        <v>1</v>
      </c>
      <c r="H46" s="87">
        <v>46070</v>
      </c>
      <c r="I46" s="87">
        <v>46070</v>
      </c>
      <c r="J46" s="37" t="s">
        <v>77</v>
      </c>
      <c r="K46" s="42">
        <f>F46-G46</f>
        <v>1</v>
      </c>
      <c r="L46" s="39">
        <f>IF(F46=0,"",G46/F46)</f>
        <v>0.5</v>
      </c>
      <c r="M46" s="40">
        <f ca="1">I46-TODAY()</f>
        <v>-37</v>
      </c>
      <c r="N46">
        <f>_xlfn.ISOWEEKNUM(I46)</f>
        <v>8</v>
      </c>
      <c r="O46" t="str">
        <f>IF(ISNUMBER(SEARCH("Access Point",E46)),"AP",IF(OR(ISNUMBER(SEARCH("Switch",E46)),ISNUMBER(SEARCH("Control Type",E46))),"Switch","Infra"))</f>
        <v>Switch</v>
      </c>
      <c r="P46" s="41" t="s">
        <v>114</v>
      </c>
    </row>
    <row r="47" spans="1:16" ht="14.25" customHeight="1">
      <c r="A47">
        <v>43</v>
      </c>
      <c r="B47" s="35" t="s">
        <v>20</v>
      </c>
      <c r="C47" s="36" t="s">
        <v>72</v>
      </c>
      <c r="D47" s="36" t="s">
        <v>113</v>
      </c>
      <c r="E47" s="37" t="s">
        <v>84</v>
      </c>
      <c r="F47" s="37">
        <v>1</v>
      </c>
      <c r="G47" s="37">
        <v>1</v>
      </c>
      <c r="H47" s="87">
        <v>46070</v>
      </c>
      <c r="I47" s="87">
        <v>46070</v>
      </c>
      <c r="J47" s="37" t="s">
        <v>77</v>
      </c>
      <c r="K47" s="38">
        <f>F47-G47</f>
        <v>0</v>
      </c>
      <c r="L47" s="39">
        <f>IF(F47=0,"",G47/F47)</f>
        <v>1</v>
      </c>
      <c r="M47" s="40">
        <f ca="1">I47-TODAY()</f>
        <v>-37</v>
      </c>
      <c r="N47">
        <f>_xlfn.ISOWEEKNUM(I47)</f>
        <v>8</v>
      </c>
      <c r="O47" t="str">
        <f>IF(ISNUMBER(SEARCH("Access Point",E47)),"AP",IF(OR(ISNUMBER(SEARCH("Switch",E47)),ISNUMBER(SEARCH("Control Type",E47))),"Switch","Infra"))</f>
        <v>Switch</v>
      </c>
      <c r="P47" t="s">
        <v>112</v>
      </c>
    </row>
    <row r="48" spans="1:16" ht="14.25" customHeight="1">
      <c r="A48">
        <v>44</v>
      </c>
      <c r="B48" s="35" t="s">
        <v>20</v>
      </c>
      <c r="C48" s="36" t="s">
        <v>72</v>
      </c>
      <c r="D48" s="36" t="s">
        <v>115</v>
      </c>
      <c r="E48" s="37" t="s">
        <v>79</v>
      </c>
      <c r="F48" s="37">
        <v>5</v>
      </c>
      <c r="G48" s="37"/>
      <c r="H48" s="87"/>
      <c r="I48" s="87">
        <v>46132</v>
      </c>
      <c r="J48" s="37" t="s">
        <v>4</v>
      </c>
      <c r="K48" s="38">
        <f>F48-G48</f>
        <v>5</v>
      </c>
      <c r="L48" s="39">
        <f>IF(F48=0,"",G48/F48)</f>
        <v>0</v>
      </c>
      <c r="M48" s="40">
        <f ca="1">I48-TODAY()</f>
        <v>25</v>
      </c>
      <c r="N48">
        <f>_xlfn.ISOWEEKNUM(I48)</f>
        <v>17</v>
      </c>
      <c r="O48" t="str">
        <f>IF(ISNUMBER(SEARCH("Access Point",E48)),"AP",IF(OR(ISNUMBER(SEARCH("Switch",E48)),ISNUMBER(SEARCH("Control Type",E48))),"Switch","Infra"))</f>
        <v>Switch</v>
      </c>
    </row>
    <row r="49" spans="1:15" ht="14.25" customHeight="1">
      <c r="A49">
        <v>45</v>
      </c>
      <c r="B49" s="35" t="s">
        <v>20</v>
      </c>
      <c r="C49" s="36" t="s">
        <v>72</v>
      </c>
      <c r="D49" s="36" t="s">
        <v>115</v>
      </c>
      <c r="E49" s="37" t="s">
        <v>76</v>
      </c>
      <c r="F49" s="37">
        <v>1</v>
      </c>
      <c r="G49" s="37"/>
      <c r="H49" s="87"/>
      <c r="I49" s="87">
        <v>46132</v>
      </c>
      <c r="J49" s="37" t="s">
        <v>4</v>
      </c>
      <c r="K49" s="38">
        <f>F49-G49</f>
        <v>1</v>
      </c>
      <c r="L49" s="39">
        <f>IF(F49=0,"",G49/F49)</f>
        <v>0</v>
      </c>
      <c r="M49" s="40">
        <f ca="1">I49-TODAY()</f>
        <v>25</v>
      </c>
      <c r="N49">
        <f>_xlfn.ISOWEEKNUM(I49)</f>
        <v>17</v>
      </c>
      <c r="O49" t="str">
        <f>IF(ISNUMBER(SEARCH("Access Point",E49)),"AP",IF(OR(ISNUMBER(SEARCH("Switch",E49)),ISNUMBER(SEARCH("Control Type",E49))),"Switch","Infra"))</f>
        <v>Switch</v>
      </c>
    </row>
    <row r="50" spans="1:15" ht="14.25" customHeight="1">
      <c r="A50">
        <v>46</v>
      </c>
      <c r="B50" s="35" t="s">
        <v>20</v>
      </c>
      <c r="C50" s="36" t="s">
        <v>72</v>
      </c>
      <c r="D50" s="36" t="s">
        <v>115</v>
      </c>
      <c r="E50" s="37" t="s">
        <v>84</v>
      </c>
      <c r="F50" s="37">
        <v>1</v>
      </c>
      <c r="G50" s="37"/>
      <c r="H50" s="87"/>
      <c r="I50" s="87">
        <v>46132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25</v>
      </c>
      <c r="N50">
        <f>_xlfn.ISOWEEKNUM(I50)</f>
        <v>17</v>
      </c>
      <c r="O50" t="str">
        <f>IF(ISNUMBER(SEARCH("Access Point",E50)),"AP",IF(OR(ISNUMBER(SEARCH("Switch",E50)),ISNUMBER(SEARCH("Control Type",E50))),"Switch","Infra"))</f>
        <v>Switch</v>
      </c>
    </row>
    <row r="51" spans="1:15" ht="14.25" customHeight="1">
      <c r="A51">
        <v>47</v>
      </c>
      <c r="B51" s="35" t="s">
        <v>20</v>
      </c>
      <c r="C51" s="37" t="s">
        <v>116</v>
      </c>
      <c r="D51" s="37" t="s">
        <v>117</v>
      </c>
      <c r="E51" s="37" t="s">
        <v>79</v>
      </c>
      <c r="F51" s="37">
        <v>1</v>
      </c>
      <c r="G51" s="37"/>
      <c r="H51" s="87"/>
      <c r="I51" s="87">
        <v>46105</v>
      </c>
      <c r="J51" s="37" t="s">
        <v>4</v>
      </c>
      <c r="K51" s="38">
        <f>F51-G51</f>
        <v>1</v>
      </c>
      <c r="L51" s="39">
        <f>IF(F51=0,"",G51/F51)</f>
        <v>0</v>
      </c>
      <c r="M51" s="40">
        <f ca="1">I51-TODAY()</f>
        <v>-2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5" ht="14.25" customHeight="1">
      <c r="A52">
        <v>48</v>
      </c>
      <c r="B52" s="35" t="s">
        <v>20</v>
      </c>
      <c r="C52" s="37" t="s">
        <v>116</v>
      </c>
      <c r="D52" s="37" t="s">
        <v>117</v>
      </c>
      <c r="E52" s="37" t="s">
        <v>84</v>
      </c>
      <c r="F52" s="37">
        <v>1</v>
      </c>
      <c r="G52" s="37"/>
      <c r="H52" s="87"/>
      <c r="I52" s="87">
        <v>46105</v>
      </c>
      <c r="J52" s="37" t="s">
        <v>4</v>
      </c>
      <c r="K52" s="38">
        <f>F52-G52</f>
        <v>1</v>
      </c>
      <c r="L52" s="39">
        <f>IF(F52=0,"",G52/F52)</f>
        <v>0</v>
      </c>
      <c r="M52" s="40">
        <f ca="1">I52-TODAY()</f>
        <v>-2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5" ht="14.25" customHeight="1">
      <c r="A53">
        <v>49</v>
      </c>
      <c r="B53" s="35" t="s">
        <v>20</v>
      </c>
      <c r="C53" s="37" t="s">
        <v>116</v>
      </c>
      <c r="D53" s="37" t="s">
        <v>117</v>
      </c>
      <c r="E53" s="37" t="s">
        <v>118</v>
      </c>
      <c r="F53" s="37">
        <v>1</v>
      </c>
      <c r="G53" s="37"/>
      <c r="H53" s="87"/>
      <c r="I53" s="87">
        <v>46105</v>
      </c>
      <c r="J53" s="37" t="s">
        <v>4</v>
      </c>
      <c r="K53" s="38">
        <f>F53-G53</f>
        <v>1</v>
      </c>
      <c r="L53" s="39">
        <f>IF(F53=0,"",G53/F53)</f>
        <v>0</v>
      </c>
      <c r="M53" s="40">
        <f ca="1">I53-TODAY()</f>
        <v>-2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5" ht="14.25" customHeight="1">
      <c r="A54">
        <v>50</v>
      </c>
      <c r="B54" s="35" t="s">
        <v>20</v>
      </c>
      <c r="C54" s="37" t="s">
        <v>116</v>
      </c>
      <c r="D54" s="37" t="s">
        <v>119</v>
      </c>
      <c r="E54" s="37" t="s">
        <v>79</v>
      </c>
      <c r="F54" s="37">
        <v>2</v>
      </c>
      <c r="G54" s="37"/>
      <c r="H54" s="87"/>
      <c r="I54" s="87">
        <v>46105</v>
      </c>
      <c r="J54" s="37" t="s">
        <v>4</v>
      </c>
      <c r="K54" s="38">
        <f>F54-G54</f>
        <v>2</v>
      </c>
      <c r="L54" s="39">
        <f>IF(F54=0,"",G54/F54)</f>
        <v>0</v>
      </c>
      <c r="M54" s="40">
        <f ca="1">I54-TODAY()</f>
        <v>-2</v>
      </c>
      <c r="N54">
        <f>_xlfn.ISOWEEKNUM(I54)</f>
        <v>13</v>
      </c>
      <c r="O54" t="str">
        <f>IF(ISNUMBER(SEARCH("Access Point",E54)),"AP",IF(OR(ISNUMBER(SEARCH("Switch",E54)),ISNUMBER(SEARCH("Control Type",E54))),"Switch","Infra"))</f>
        <v>Switch</v>
      </c>
    </row>
    <row r="55" spans="1:15" ht="14.25" customHeight="1">
      <c r="A55">
        <v>51</v>
      </c>
      <c r="B55" s="35" t="s">
        <v>20</v>
      </c>
      <c r="C55" s="37" t="s">
        <v>116</v>
      </c>
      <c r="D55" s="37" t="s">
        <v>119</v>
      </c>
      <c r="E55" s="37" t="s">
        <v>84</v>
      </c>
      <c r="F55" s="37">
        <v>1</v>
      </c>
      <c r="G55" s="37"/>
      <c r="H55" s="87"/>
      <c r="I55" s="87">
        <v>46105</v>
      </c>
      <c r="J55" s="37" t="s">
        <v>4</v>
      </c>
      <c r="K55" s="38">
        <f>F55-G55</f>
        <v>1</v>
      </c>
      <c r="L55" s="39">
        <f>IF(F55=0,"",G55/F55)</f>
        <v>0</v>
      </c>
      <c r="M55" s="40">
        <f ca="1">I55-TODAY()</f>
        <v>-2</v>
      </c>
      <c r="N55">
        <f>_xlfn.ISOWEEKNUM(I55)</f>
        <v>13</v>
      </c>
      <c r="O55" t="str">
        <f>IF(ISNUMBER(SEARCH("Access Point",E55)),"AP",IF(OR(ISNUMBER(SEARCH("Switch",E55)),ISNUMBER(SEARCH("Control Type",E55))),"Switch","Infra"))</f>
        <v>Switch</v>
      </c>
    </row>
    <row r="56" spans="1:15" ht="14.25" customHeight="1">
      <c r="A56">
        <v>52</v>
      </c>
      <c r="B56" s="35" t="s">
        <v>20</v>
      </c>
      <c r="C56" s="37" t="s">
        <v>116</v>
      </c>
      <c r="D56" s="37" t="s">
        <v>119</v>
      </c>
      <c r="E56" s="37" t="s">
        <v>120</v>
      </c>
      <c r="F56" s="37">
        <v>1</v>
      </c>
      <c r="G56" s="37"/>
      <c r="H56" s="87"/>
      <c r="I56" s="87">
        <v>46105</v>
      </c>
      <c r="J56" s="37" t="s">
        <v>4</v>
      </c>
      <c r="K56" s="38">
        <f>F56-G56</f>
        <v>1</v>
      </c>
      <c r="L56" s="39">
        <f>IF(F56=0,"",G56/F56)</f>
        <v>0</v>
      </c>
      <c r="M56" s="40">
        <f ca="1">I56-TODAY()</f>
        <v>-2</v>
      </c>
      <c r="N56">
        <f>_xlfn.ISOWEEKNUM(I56)</f>
        <v>13</v>
      </c>
      <c r="O56" t="str">
        <f>IF(ISNUMBER(SEARCH("Access Point",E56)),"AP",IF(OR(ISNUMBER(SEARCH("Switch",E56)),ISNUMBER(SEARCH("Control Type",E56))),"Switch","Infra"))</f>
        <v>Switch</v>
      </c>
    </row>
    <row r="57" spans="1:15" ht="14.25" customHeight="1">
      <c r="A57">
        <v>53</v>
      </c>
      <c r="B57" s="35" t="s">
        <v>20</v>
      </c>
      <c r="C57" s="37" t="s">
        <v>116</v>
      </c>
      <c r="D57" s="37" t="s">
        <v>121</v>
      </c>
      <c r="E57" s="37" t="s">
        <v>79</v>
      </c>
      <c r="F57" s="37">
        <v>2</v>
      </c>
      <c r="G57" s="37"/>
      <c r="H57" s="87"/>
      <c r="I57" s="87">
        <v>46105</v>
      </c>
      <c r="J57" s="37" t="s">
        <v>4</v>
      </c>
      <c r="K57" s="38">
        <f>F57-G57</f>
        <v>2</v>
      </c>
      <c r="L57" s="39">
        <f>IF(F57=0,"",G57/F57)</f>
        <v>0</v>
      </c>
      <c r="M57" s="40">
        <f ca="1">I57-TODAY()</f>
        <v>-2</v>
      </c>
      <c r="N57">
        <f>_xlfn.ISOWEEKNUM(I57)</f>
        <v>13</v>
      </c>
      <c r="O57" t="str">
        <f>IF(ISNUMBER(SEARCH("Access Point",E57)),"AP",IF(OR(ISNUMBER(SEARCH("Switch",E57)),ISNUMBER(SEARCH("Control Type",E57))),"Switch","Infra"))</f>
        <v>Switch</v>
      </c>
    </row>
    <row r="58" spans="1:15" ht="14.25" customHeight="1">
      <c r="A58">
        <v>54</v>
      </c>
      <c r="B58" s="35" t="s">
        <v>20</v>
      </c>
      <c r="C58" s="37" t="s">
        <v>116</v>
      </c>
      <c r="D58" s="37" t="s">
        <v>121</v>
      </c>
      <c r="E58" s="37" t="s">
        <v>84</v>
      </c>
      <c r="F58" s="37">
        <v>1</v>
      </c>
      <c r="G58" s="37"/>
      <c r="H58" s="87"/>
      <c r="I58" s="87">
        <v>46105</v>
      </c>
      <c r="J58" s="37" t="s">
        <v>4</v>
      </c>
      <c r="K58" s="38">
        <f>F58-G58</f>
        <v>1</v>
      </c>
      <c r="L58" s="39">
        <f>IF(F58=0,"",G58/F58)</f>
        <v>0</v>
      </c>
      <c r="M58" s="40">
        <f ca="1">I58-TODAY()</f>
        <v>-2</v>
      </c>
      <c r="N58">
        <f>_xlfn.ISOWEEKNUM(I58)</f>
        <v>13</v>
      </c>
      <c r="O58" t="str">
        <f>IF(ISNUMBER(SEARCH("Access Point",E58)),"AP",IF(OR(ISNUMBER(SEARCH("Switch",E58)),ISNUMBER(SEARCH("Control Type",E58))),"Switch","Infra"))</f>
        <v>Switch</v>
      </c>
    </row>
    <row r="59" spans="1:15" ht="14.25" customHeight="1">
      <c r="A59">
        <v>55</v>
      </c>
      <c r="B59" s="35" t="s">
        <v>20</v>
      </c>
      <c r="C59" s="37" t="s">
        <v>116</v>
      </c>
      <c r="D59" s="37" t="s">
        <v>121</v>
      </c>
      <c r="E59" s="37" t="s">
        <v>120</v>
      </c>
      <c r="F59" s="37">
        <v>1</v>
      </c>
      <c r="G59" s="37"/>
      <c r="H59" s="87"/>
      <c r="I59" s="87">
        <v>46105</v>
      </c>
      <c r="J59" s="37" t="s">
        <v>4</v>
      </c>
      <c r="K59" s="38">
        <f>F59-G59</f>
        <v>1</v>
      </c>
      <c r="L59" s="39">
        <f>IF(F59=0,"",G59/F59)</f>
        <v>0</v>
      </c>
      <c r="M59" s="40">
        <f ca="1">I59-TODAY()</f>
        <v>-2</v>
      </c>
      <c r="N59">
        <f>_xlfn.ISOWEEKNUM(I59)</f>
        <v>13</v>
      </c>
      <c r="O59" t="str">
        <f>IF(ISNUMBER(SEARCH("Access Point",E59)),"AP",IF(OR(ISNUMBER(SEARCH("Switch",E59)),ISNUMBER(SEARCH("Control Type",E59))),"Switch","Infra"))</f>
        <v>Switch</v>
      </c>
    </row>
    <row r="60" spans="1:15" ht="14.25" customHeight="1">
      <c r="A60">
        <v>56</v>
      </c>
      <c r="B60" s="35" t="s">
        <v>20</v>
      </c>
      <c r="C60" s="37" t="s">
        <v>116</v>
      </c>
      <c r="D60" s="37" t="s">
        <v>122</v>
      </c>
      <c r="E60" s="37" t="s">
        <v>79</v>
      </c>
      <c r="F60" s="37">
        <v>2</v>
      </c>
      <c r="G60" s="37"/>
      <c r="H60" s="87"/>
      <c r="I60" s="87">
        <v>46105</v>
      </c>
      <c r="J60" s="37" t="s">
        <v>4</v>
      </c>
      <c r="K60" s="38">
        <f>F60-G60</f>
        <v>2</v>
      </c>
      <c r="L60" s="39">
        <f>IF(F60=0,"",G60/F60)</f>
        <v>0</v>
      </c>
      <c r="M60" s="40">
        <f ca="1">I60-TODAY()</f>
        <v>-2</v>
      </c>
      <c r="N60">
        <f>_xlfn.ISOWEEKNUM(I60)</f>
        <v>13</v>
      </c>
      <c r="O60" t="str">
        <f>IF(ISNUMBER(SEARCH("Access Point",E60)),"AP",IF(OR(ISNUMBER(SEARCH("Switch",E60)),ISNUMBER(SEARCH("Control Type",E60))),"Switch","Infra"))</f>
        <v>Switch</v>
      </c>
    </row>
    <row r="61" spans="1:15" ht="14.25" customHeight="1">
      <c r="A61">
        <v>57</v>
      </c>
      <c r="B61" s="35" t="s">
        <v>20</v>
      </c>
      <c r="C61" s="37" t="s">
        <v>116</v>
      </c>
      <c r="D61" s="37" t="s">
        <v>122</v>
      </c>
      <c r="E61" s="37" t="s">
        <v>84</v>
      </c>
      <c r="F61" s="37">
        <v>1</v>
      </c>
      <c r="G61" s="37"/>
      <c r="H61" s="87"/>
      <c r="I61" s="87">
        <v>46105</v>
      </c>
      <c r="J61" s="37" t="s">
        <v>4</v>
      </c>
      <c r="K61" s="38">
        <f>F61-G61</f>
        <v>1</v>
      </c>
      <c r="L61" s="39">
        <f>IF(F61=0,"",G61/F61)</f>
        <v>0</v>
      </c>
      <c r="M61" s="40">
        <f ca="1">I61-TODAY()</f>
        <v>-2</v>
      </c>
      <c r="N61">
        <f>_xlfn.ISOWEEKNUM(I61)</f>
        <v>13</v>
      </c>
      <c r="O61" t="str">
        <f>IF(ISNUMBER(SEARCH("Access Point",E61)),"AP",IF(OR(ISNUMBER(SEARCH("Switch",E61)),ISNUMBER(SEARCH("Control Type",E61))),"Switch","Infra"))</f>
        <v>Switch</v>
      </c>
    </row>
    <row r="62" spans="1:15" ht="14.25" customHeight="1">
      <c r="A62">
        <v>58</v>
      </c>
      <c r="B62" s="35" t="s">
        <v>20</v>
      </c>
      <c r="C62" s="37" t="s">
        <v>116</v>
      </c>
      <c r="D62" s="37" t="s">
        <v>122</v>
      </c>
      <c r="E62" s="37" t="s">
        <v>120</v>
      </c>
      <c r="F62" s="37">
        <v>1</v>
      </c>
      <c r="G62" s="37"/>
      <c r="H62" s="87"/>
      <c r="I62" s="87">
        <v>46105</v>
      </c>
      <c r="J62" s="37" t="s">
        <v>4</v>
      </c>
      <c r="K62" s="38">
        <f>F62-G62</f>
        <v>1</v>
      </c>
      <c r="L62" s="39">
        <f>IF(F62=0,"",G62/F62)</f>
        <v>0</v>
      </c>
      <c r="M62" s="40">
        <f ca="1">I62-TODAY()</f>
        <v>-2</v>
      </c>
      <c r="N62">
        <f>_xlfn.ISOWEEKNUM(I62)</f>
        <v>13</v>
      </c>
      <c r="O62" t="str">
        <f>IF(ISNUMBER(SEARCH("Access Point",E62)),"AP",IF(OR(ISNUMBER(SEARCH("Switch",E62)),ISNUMBER(SEARCH("Control Type",E62))),"Switch","Infra"))</f>
        <v>Switch</v>
      </c>
    </row>
    <row r="63" spans="1:15" ht="14.25" customHeight="1">
      <c r="A63">
        <v>59</v>
      </c>
      <c r="B63" s="35" t="s">
        <v>20</v>
      </c>
      <c r="C63" s="37" t="s">
        <v>116</v>
      </c>
      <c r="D63" s="37" t="s">
        <v>123</v>
      </c>
      <c r="E63" s="37" t="s">
        <v>79</v>
      </c>
      <c r="F63" s="37">
        <v>1</v>
      </c>
      <c r="G63" s="37"/>
      <c r="H63" s="87"/>
      <c r="I63" s="87">
        <v>46106</v>
      </c>
      <c r="J63" s="37" t="s">
        <v>4</v>
      </c>
      <c r="K63" s="38">
        <f>F63-G63</f>
        <v>1</v>
      </c>
      <c r="L63" s="39">
        <f>IF(F63=0,"",G63/F63)</f>
        <v>0</v>
      </c>
      <c r="M63" s="40">
        <f ca="1">I63-TODAY()</f>
        <v>-1</v>
      </c>
      <c r="N63">
        <f>_xlfn.ISOWEEKNUM(I63)</f>
        <v>13</v>
      </c>
      <c r="O63" t="str">
        <f>IF(ISNUMBER(SEARCH("Access Point",E63)),"AP",IF(OR(ISNUMBER(SEARCH("Switch",E63)),ISNUMBER(SEARCH("Control Type",E63))),"Switch","Infra"))</f>
        <v>Switch</v>
      </c>
    </row>
    <row r="64" spans="1:15" ht="14.25" customHeight="1">
      <c r="A64">
        <v>60</v>
      </c>
      <c r="B64" s="35" t="s">
        <v>20</v>
      </c>
      <c r="C64" s="37" t="s">
        <v>116</v>
      </c>
      <c r="D64" s="37" t="s">
        <v>123</v>
      </c>
      <c r="E64" s="37" t="s">
        <v>84</v>
      </c>
      <c r="F64" s="37">
        <v>1</v>
      </c>
      <c r="G64" s="37"/>
      <c r="H64" s="87"/>
      <c r="I64" s="87">
        <v>46106</v>
      </c>
      <c r="J64" s="37" t="s">
        <v>4</v>
      </c>
      <c r="K64" s="38">
        <f>F64-G64</f>
        <v>1</v>
      </c>
      <c r="L64" s="39">
        <f>IF(F64=0,"",G64/F64)</f>
        <v>0</v>
      </c>
      <c r="M64" s="40">
        <f ca="1">I64-TODAY()</f>
        <v>-1</v>
      </c>
      <c r="N64">
        <f>_xlfn.ISOWEEKNUM(I64)</f>
        <v>13</v>
      </c>
      <c r="O64" t="str">
        <f>IF(ISNUMBER(SEARCH("Access Point",E64)),"AP",IF(OR(ISNUMBER(SEARCH("Switch",E64)),ISNUMBER(SEARCH("Control Type",E64))),"Switch","Infra"))</f>
        <v>Switch</v>
      </c>
    </row>
    <row r="65" spans="1:16" ht="14.25" customHeight="1">
      <c r="A65">
        <v>61</v>
      </c>
      <c r="B65" s="35" t="s">
        <v>20</v>
      </c>
      <c r="C65" s="37" t="s">
        <v>116</v>
      </c>
      <c r="D65" s="37" t="s">
        <v>123</v>
      </c>
      <c r="E65" s="37" t="s">
        <v>120</v>
      </c>
      <c r="F65" s="37">
        <v>1</v>
      </c>
      <c r="G65" s="37"/>
      <c r="H65" s="87"/>
      <c r="I65" s="87">
        <v>46106</v>
      </c>
      <c r="J65" s="37" t="s">
        <v>4</v>
      </c>
      <c r="K65" s="38">
        <f>F65-G65</f>
        <v>1</v>
      </c>
      <c r="L65" s="39">
        <f>IF(F65=0,"",G65/F65)</f>
        <v>0</v>
      </c>
      <c r="M65" s="40">
        <f ca="1">I65-TODAY()</f>
        <v>-1</v>
      </c>
      <c r="N65">
        <f>_xlfn.ISOWEEKNUM(I65)</f>
        <v>13</v>
      </c>
      <c r="O65" t="str">
        <f>IF(ISNUMBER(SEARCH("Access Point",E65)),"AP",IF(OR(ISNUMBER(SEARCH("Switch",E65)),ISNUMBER(SEARCH("Control Type",E65))),"Switch","Infra"))</f>
        <v>Switch</v>
      </c>
    </row>
    <row r="66" spans="1:16" ht="14.25" customHeight="1">
      <c r="A66">
        <v>62</v>
      </c>
      <c r="B66" s="35" t="s">
        <v>20</v>
      </c>
      <c r="C66" s="37" t="s">
        <v>116</v>
      </c>
      <c r="D66" s="37" t="s">
        <v>124</v>
      </c>
      <c r="E66" s="37" t="s">
        <v>79</v>
      </c>
      <c r="F66" s="37">
        <v>2</v>
      </c>
      <c r="G66" s="37"/>
      <c r="H66" s="87"/>
      <c r="I66" s="87">
        <v>46106</v>
      </c>
      <c r="J66" s="37" t="s">
        <v>4</v>
      </c>
      <c r="K66" s="38">
        <f>F66-G66</f>
        <v>2</v>
      </c>
      <c r="L66" s="39">
        <f>IF(F66=0,"",G66/F66)</f>
        <v>0</v>
      </c>
      <c r="M66" s="40">
        <f ca="1">I66-TODAY()</f>
        <v>-1</v>
      </c>
      <c r="N66">
        <f>_xlfn.ISOWEEKNUM(I66)</f>
        <v>13</v>
      </c>
      <c r="O66" t="str">
        <f>IF(ISNUMBER(SEARCH("Access Point",E66)),"AP",IF(OR(ISNUMBER(SEARCH("Switch",E66)),ISNUMBER(SEARCH("Control Type",E66))),"Switch","Infra"))</f>
        <v>Switch</v>
      </c>
    </row>
    <row r="67" spans="1:16" ht="14.25" customHeight="1">
      <c r="A67">
        <v>63</v>
      </c>
      <c r="B67" s="35" t="s">
        <v>20</v>
      </c>
      <c r="C67" s="37" t="s">
        <v>116</v>
      </c>
      <c r="D67" s="37" t="s">
        <v>124</v>
      </c>
      <c r="E67" s="37" t="s">
        <v>84</v>
      </c>
      <c r="F67" s="37">
        <v>1</v>
      </c>
      <c r="G67" s="37"/>
      <c r="H67" s="87"/>
      <c r="I67" s="87">
        <v>46106</v>
      </c>
      <c r="J67" s="37" t="s">
        <v>4</v>
      </c>
      <c r="K67" s="38">
        <f>F67-G67</f>
        <v>1</v>
      </c>
      <c r="L67" s="39">
        <f>IF(F67=0,"",G67/F67)</f>
        <v>0</v>
      </c>
      <c r="M67" s="40">
        <f ca="1">I67-TODAY()</f>
        <v>-1</v>
      </c>
      <c r="N67">
        <f>_xlfn.ISOWEEKNUM(I67)</f>
        <v>13</v>
      </c>
      <c r="O67" t="str">
        <f>IF(ISNUMBER(SEARCH("Access Point",E67)),"AP",IF(OR(ISNUMBER(SEARCH("Switch",E67)),ISNUMBER(SEARCH("Control Type",E67))),"Switch","Infra"))</f>
        <v>Switch</v>
      </c>
    </row>
    <row r="68" spans="1:16" ht="14.25" customHeight="1">
      <c r="A68">
        <v>64</v>
      </c>
      <c r="B68" s="35" t="s">
        <v>20</v>
      </c>
      <c r="C68" s="37" t="s">
        <v>116</v>
      </c>
      <c r="D68" s="37" t="s">
        <v>124</v>
      </c>
      <c r="E68" s="37" t="s">
        <v>118</v>
      </c>
      <c r="F68" s="37">
        <v>1</v>
      </c>
      <c r="G68" s="37"/>
      <c r="H68" s="87"/>
      <c r="I68" s="87">
        <v>46106</v>
      </c>
      <c r="J68" s="37" t="s">
        <v>4</v>
      </c>
      <c r="K68" s="38">
        <f>F68-G68</f>
        <v>1</v>
      </c>
      <c r="L68" s="39">
        <f>IF(F68=0,"",G68/F68)</f>
        <v>0</v>
      </c>
      <c r="M68" s="40">
        <f ca="1">I68-TODAY()</f>
        <v>-1</v>
      </c>
      <c r="N68">
        <f>_xlfn.ISOWEEKNUM(I68)</f>
        <v>13</v>
      </c>
      <c r="O68" t="str">
        <f>IF(ISNUMBER(SEARCH("Access Point",E68)),"AP",IF(OR(ISNUMBER(SEARCH("Switch",E68)),ISNUMBER(SEARCH("Control Type",E68))),"Switch","Infra"))</f>
        <v>Switch</v>
      </c>
    </row>
    <row r="69" spans="1:16" ht="14.25" customHeight="1">
      <c r="A69">
        <v>65</v>
      </c>
      <c r="B69" s="35" t="s">
        <v>20</v>
      </c>
      <c r="C69" s="37" t="s">
        <v>116</v>
      </c>
      <c r="D69" s="37" t="s">
        <v>20</v>
      </c>
      <c r="E69" s="37" t="s">
        <v>79</v>
      </c>
      <c r="F69" s="37">
        <v>7</v>
      </c>
      <c r="G69" s="37">
        <v>7</v>
      </c>
      <c r="H69" s="87">
        <v>46063</v>
      </c>
      <c r="I69" s="87">
        <v>46063</v>
      </c>
      <c r="J69" s="37" t="s">
        <v>77</v>
      </c>
      <c r="K69" s="38">
        <f>F69-G69</f>
        <v>0</v>
      </c>
      <c r="L69" s="39">
        <f>IF(F69=0,"",G69/F69)</f>
        <v>1</v>
      </c>
      <c r="M69" s="40">
        <f ca="1">I69-TODAY()</f>
        <v>-44</v>
      </c>
      <c r="N69">
        <f>_xlfn.ISOWEEKNUM(I69)</f>
        <v>7</v>
      </c>
      <c r="O69" t="str">
        <f>IF(ISNUMBER(SEARCH("Access Point",E69)),"AP",IF(OR(ISNUMBER(SEARCH("Switch",E69)),ISNUMBER(SEARCH("Control Type",E69))),"Switch","Infra"))</f>
        <v>Switch</v>
      </c>
    </row>
    <row r="70" spans="1:16" ht="14.25" customHeight="1">
      <c r="A70">
        <v>66</v>
      </c>
      <c r="B70" s="35" t="s">
        <v>20</v>
      </c>
      <c r="C70" s="37" t="s">
        <v>116</v>
      </c>
      <c r="D70" s="37" t="s">
        <v>20</v>
      </c>
      <c r="E70" s="37" t="s">
        <v>84</v>
      </c>
      <c r="F70" s="37">
        <v>1</v>
      </c>
      <c r="G70" s="37">
        <v>1</v>
      </c>
      <c r="H70" s="87">
        <v>46063</v>
      </c>
      <c r="I70" s="87">
        <v>46063</v>
      </c>
      <c r="J70" s="37" t="s">
        <v>77</v>
      </c>
      <c r="K70" s="38">
        <f>F70-G70</f>
        <v>0</v>
      </c>
      <c r="L70" s="39">
        <f>IF(F70=0,"",G70/F70)</f>
        <v>1</v>
      </c>
      <c r="M70" s="40">
        <f ca="1">I70-TODAY()</f>
        <v>-44</v>
      </c>
      <c r="N70">
        <f>_xlfn.ISOWEEKNUM(I70)</f>
        <v>7</v>
      </c>
      <c r="O70" t="str">
        <f>IF(ISNUMBER(SEARCH("Access Point",E70)),"AP",IF(OR(ISNUMBER(SEARCH("Switch",E70)),ISNUMBER(SEARCH("Control Type",E70))),"Switch","Infra"))</f>
        <v>Switch</v>
      </c>
    </row>
    <row r="71" spans="1:16" ht="14.25" customHeight="1">
      <c r="A71">
        <v>67</v>
      </c>
      <c r="B71" s="35" t="s">
        <v>20</v>
      </c>
      <c r="C71" s="37" t="s">
        <v>116</v>
      </c>
      <c r="D71" s="37" t="s">
        <v>20</v>
      </c>
      <c r="E71" s="37" t="s">
        <v>120</v>
      </c>
      <c r="F71" s="37">
        <v>3</v>
      </c>
      <c r="G71" s="37">
        <v>3</v>
      </c>
      <c r="H71" s="87">
        <v>46063</v>
      </c>
      <c r="I71" s="87">
        <v>46063</v>
      </c>
      <c r="J71" s="37" t="s">
        <v>77</v>
      </c>
      <c r="K71" s="38">
        <f>F71-G71</f>
        <v>0</v>
      </c>
      <c r="L71" s="39">
        <f>IF(F71=0,"",G71/F71)</f>
        <v>1</v>
      </c>
      <c r="M71" s="40">
        <f ca="1">I71-TODAY()</f>
        <v>-44</v>
      </c>
      <c r="N71">
        <f>_xlfn.ISOWEEKNUM(I71)</f>
        <v>7</v>
      </c>
      <c r="O71" t="str">
        <f>IF(ISNUMBER(SEARCH("Access Point",E71)),"AP",IF(OR(ISNUMBER(SEARCH("Switch",E71)),ISNUMBER(SEARCH("Control Type",E71))),"Switch","Infra"))</f>
        <v>Switch</v>
      </c>
    </row>
    <row r="72" spans="1:16" ht="14.25" customHeight="1">
      <c r="A72">
        <v>68</v>
      </c>
      <c r="B72" s="35" t="s">
        <v>20</v>
      </c>
      <c r="C72" s="37" t="s">
        <v>116</v>
      </c>
      <c r="D72" s="37" t="s">
        <v>20</v>
      </c>
      <c r="E72" s="37" t="s">
        <v>118</v>
      </c>
      <c r="F72" s="37">
        <v>1</v>
      </c>
      <c r="G72" s="37">
        <v>1</v>
      </c>
      <c r="H72" s="87">
        <v>46063</v>
      </c>
      <c r="I72" s="87">
        <v>46063</v>
      </c>
      <c r="J72" s="37" t="s">
        <v>77</v>
      </c>
      <c r="K72" s="38">
        <f>F72-G72</f>
        <v>0</v>
      </c>
      <c r="L72" s="39">
        <f>IF(F72=0,"",G72/F72)</f>
        <v>1</v>
      </c>
      <c r="M72" s="40">
        <f ca="1">I72-TODAY()</f>
        <v>-44</v>
      </c>
      <c r="N72">
        <f>_xlfn.ISOWEEKNUM(I72)</f>
        <v>7</v>
      </c>
      <c r="O72" t="str">
        <f>IF(ISNUMBER(SEARCH("Access Point",E72)),"AP",IF(OR(ISNUMBER(SEARCH("Switch",E72)),ISNUMBER(SEARCH("Control Type",E72))),"Switch","Infra"))</f>
        <v>Switch</v>
      </c>
    </row>
    <row r="73" spans="1:16" ht="14.25" customHeight="1">
      <c r="A73">
        <v>69</v>
      </c>
      <c r="B73" s="35" t="s">
        <v>20</v>
      </c>
      <c r="C73" s="37" t="s">
        <v>116</v>
      </c>
      <c r="D73" s="37" t="s">
        <v>20</v>
      </c>
      <c r="E73" s="37" t="s">
        <v>125</v>
      </c>
      <c r="F73" s="37">
        <v>2</v>
      </c>
      <c r="G73" s="37">
        <v>2</v>
      </c>
      <c r="H73" s="87">
        <v>46063</v>
      </c>
      <c r="I73" s="87">
        <v>46063</v>
      </c>
      <c r="J73" s="37" t="s">
        <v>77</v>
      </c>
      <c r="K73" s="38">
        <f>F73-G73</f>
        <v>0</v>
      </c>
      <c r="L73" s="39">
        <f>IF(F73=0,"",G73/F73)</f>
        <v>1</v>
      </c>
      <c r="M73" s="40">
        <f ca="1">I73-TODAY()</f>
        <v>-44</v>
      </c>
      <c r="N73">
        <f>_xlfn.ISOWEEKNUM(I73)</f>
        <v>7</v>
      </c>
      <c r="O73" t="str">
        <f>IF(ISNUMBER(SEARCH("Access Point",E73)),"AP",IF(OR(ISNUMBER(SEARCH("Switch",E73)),ISNUMBER(SEARCH("Control Type",E73))),"Switch","Infra"))</f>
        <v>Switch</v>
      </c>
    </row>
    <row r="74" spans="1:16" ht="14.25" customHeight="1">
      <c r="A74">
        <v>70</v>
      </c>
      <c r="B74" s="35" t="s">
        <v>20</v>
      </c>
      <c r="C74" s="37" t="s">
        <v>116</v>
      </c>
      <c r="D74" s="37" t="s">
        <v>20</v>
      </c>
      <c r="E74" s="37" t="s">
        <v>126</v>
      </c>
      <c r="F74" s="37">
        <v>2</v>
      </c>
      <c r="G74" s="37">
        <v>2</v>
      </c>
      <c r="H74" s="87">
        <v>46063</v>
      </c>
      <c r="I74" s="87">
        <v>46063</v>
      </c>
      <c r="J74" s="37" t="s">
        <v>77</v>
      </c>
      <c r="K74" s="38">
        <f>F74-G74</f>
        <v>0</v>
      </c>
      <c r="L74" s="39">
        <f>IF(F74=0,"",G74/F74)</f>
        <v>1</v>
      </c>
      <c r="M74" s="40">
        <f ca="1">I74-TODAY()</f>
        <v>-44</v>
      </c>
      <c r="N74">
        <f>_xlfn.ISOWEEKNUM(I74)</f>
        <v>7</v>
      </c>
      <c r="O74" t="str">
        <f>IF(ISNUMBER(SEARCH("Access Point",E74)),"AP",IF(OR(ISNUMBER(SEARCH("Switch",E74)),ISNUMBER(SEARCH("Control Type",E74))),"Switch","Infra"))</f>
        <v>Switch</v>
      </c>
    </row>
    <row r="75" spans="1:16" ht="14.25" customHeight="1">
      <c r="A75">
        <v>71</v>
      </c>
      <c r="B75" s="35" t="s">
        <v>20</v>
      </c>
      <c r="C75" s="37" t="s">
        <v>116</v>
      </c>
      <c r="D75" s="37" t="s">
        <v>20</v>
      </c>
      <c r="E75" s="37" t="s">
        <v>127</v>
      </c>
      <c r="F75" s="37">
        <v>1</v>
      </c>
      <c r="G75" s="37">
        <v>1</v>
      </c>
      <c r="H75" s="87">
        <v>46063</v>
      </c>
      <c r="I75" s="87">
        <v>46063</v>
      </c>
      <c r="J75" s="37" t="s">
        <v>77</v>
      </c>
      <c r="K75" s="38">
        <f>F75-G75</f>
        <v>0</v>
      </c>
      <c r="L75" s="39">
        <f>IF(F75=0,"",G75/F75)</f>
        <v>1</v>
      </c>
      <c r="M75" s="40">
        <f ca="1">I75-TODAY()</f>
        <v>-44</v>
      </c>
      <c r="N75">
        <f>_xlfn.ISOWEEKNUM(I75)</f>
        <v>7</v>
      </c>
      <c r="O75" t="str">
        <f>IF(ISNUMBER(SEARCH("Access Point",E75)),"AP",IF(OR(ISNUMBER(SEARCH("Switch",E75)),ISNUMBER(SEARCH("Control Type",E75))),"Switch","Infra"))</f>
        <v>Switch</v>
      </c>
    </row>
    <row r="76" spans="1:16" ht="14.25" customHeight="1">
      <c r="A76">
        <v>72</v>
      </c>
      <c r="B76" s="35" t="s">
        <v>20</v>
      </c>
      <c r="C76" s="37" t="s">
        <v>116</v>
      </c>
      <c r="D76" s="37" t="s">
        <v>20</v>
      </c>
      <c r="E76" s="37" t="s">
        <v>128</v>
      </c>
      <c r="F76" s="37">
        <v>2</v>
      </c>
      <c r="G76" s="37">
        <v>2</v>
      </c>
      <c r="H76" s="87">
        <v>46063</v>
      </c>
      <c r="I76" s="87">
        <v>46063</v>
      </c>
      <c r="J76" s="37" t="s">
        <v>77</v>
      </c>
      <c r="K76" s="38">
        <f>F76-G76</f>
        <v>0</v>
      </c>
      <c r="L76" s="39">
        <f>IF(F76=0,"",G76/F76)</f>
        <v>1</v>
      </c>
      <c r="M76" s="40">
        <f ca="1">I76-TODAY()</f>
        <v>-44</v>
      </c>
      <c r="N76">
        <f>_xlfn.ISOWEEKNUM(I76)</f>
        <v>7</v>
      </c>
      <c r="O76" t="str">
        <f>IF(ISNUMBER(SEARCH("Access Point",E76)),"AP",IF(OR(ISNUMBER(SEARCH("Switch",E76)),ISNUMBER(SEARCH("Control Type",E76))),"Switch","Infra"))</f>
        <v>Infra</v>
      </c>
    </row>
    <row r="77" spans="1:16" ht="14.25" customHeight="1">
      <c r="A77">
        <v>73</v>
      </c>
      <c r="B77" s="35" t="s">
        <v>20</v>
      </c>
      <c r="C77" s="37" t="s">
        <v>116</v>
      </c>
      <c r="D77" s="37" t="s">
        <v>20</v>
      </c>
      <c r="E77" s="37" t="s">
        <v>129</v>
      </c>
      <c r="F77" s="37">
        <v>2</v>
      </c>
      <c r="G77" s="37">
        <v>2</v>
      </c>
      <c r="H77" s="87">
        <v>46063</v>
      </c>
      <c r="I77" s="87">
        <v>46063</v>
      </c>
      <c r="J77" s="37" t="s">
        <v>77</v>
      </c>
      <c r="K77" s="38">
        <f>F77-G77</f>
        <v>0</v>
      </c>
      <c r="L77" s="39">
        <f>IF(F77=0,"",G77/F77)</f>
        <v>1</v>
      </c>
      <c r="M77" s="40">
        <f ca="1">I77-TODAY()</f>
        <v>-44</v>
      </c>
      <c r="N77">
        <f>_xlfn.ISOWEEKNUM(I77)</f>
        <v>7</v>
      </c>
      <c r="O77" t="str">
        <f>IF(ISNUMBER(SEARCH("Access Point",E77)),"AP",IF(OR(ISNUMBER(SEARCH("Switch",E77)),ISNUMBER(SEARCH("Control Type",E77))),"Switch","Infra"))</f>
        <v>Infra</v>
      </c>
      <c r="P77" s="43" t="s">
        <v>130</v>
      </c>
    </row>
    <row r="78" spans="1:16" ht="14.25" customHeight="1">
      <c r="A78">
        <v>74</v>
      </c>
      <c r="B78" s="35" t="s">
        <v>20</v>
      </c>
      <c r="C78" s="37" t="s">
        <v>116</v>
      </c>
      <c r="D78" s="37" t="s">
        <v>131</v>
      </c>
      <c r="E78" s="37" t="s">
        <v>79</v>
      </c>
      <c r="F78" s="37">
        <v>1</v>
      </c>
      <c r="G78" s="37"/>
      <c r="H78" s="87"/>
      <c r="I78" s="87">
        <v>46106</v>
      </c>
      <c r="J78" s="37" t="s">
        <v>4</v>
      </c>
      <c r="K78" s="38">
        <f>F78-G78</f>
        <v>1</v>
      </c>
      <c r="L78" s="39">
        <f>IF(F78=0,"",G78/F78)</f>
        <v>0</v>
      </c>
      <c r="M78" s="40">
        <f ca="1">I78-TODAY()</f>
        <v>-1</v>
      </c>
      <c r="N78">
        <f>_xlfn.ISOWEEKNUM(I78)</f>
        <v>13</v>
      </c>
      <c r="O78" t="str">
        <f>IF(ISNUMBER(SEARCH("Access Point",E78)),"AP",IF(OR(ISNUMBER(SEARCH("Switch",E78)),ISNUMBER(SEARCH("Control Type",E78))),"Switch","Infra"))</f>
        <v>Switch</v>
      </c>
    </row>
    <row r="79" spans="1:16" ht="14.25" customHeight="1">
      <c r="A79">
        <v>75</v>
      </c>
      <c r="B79" s="35" t="s">
        <v>20</v>
      </c>
      <c r="C79" s="37" t="s">
        <v>116</v>
      </c>
      <c r="D79" s="37" t="s">
        <v>131</v>
      </c>
      <c r="E79" s="37" t="s">
        <v>84</v>
      </c>
      <c r="F79" s="37">
        <v>1</v>
      </c>
      <c r="G79" s="37"/>
      <c r="H79" s="87"/>
      <c r="I79" s="87">
        <v>46106</v>
      </c>
      <c r="J79" s="37" t="s">
        <v>4</v>
      </c>
      <c r="K79" s="38">
        <f>F79-G79</f>
        <v>1</v>
      </c>
      <c r="L79" s="39">
        <f>IF(F79=0,"",G79/F79)</f>
        <v>0</v>
      </c>
      <c r="M79" s="40">
        <f ca="1">I79-TODAY()</f>
        <v>-1</v>
      </c>
      <c r="N79">
        <f>_xlfn.ISOWEEKNUM(I79)</f>
        <v>13</v>
      </c>
      <c r="O79" t="str">
        <f>IF(ISNUMBER(SEARCH("Access Point",E79)),"AP",IF(OR(ISNUMBER(SEARCH("Switch",E79)),ISNUMBER(SEARCH("Control Type",E79))),"Switch","Infra"))</f>
        <v>Switch</v>
      </c>
    </row>
    <row r="80" spans="1:16" ht="14.25" customHeight="1">
      <c r="A80">
        <v>76</v>
      </c>
      <c r="B80" s="35" t="s">
        <v>20</v>
      </c>
      <c r="C80" s="37" t="s">
        <v>116</v>
      </c>
      <c r="D80" s="37" t="s">
        <v>131</v>
      </c>
      <c r="E80" s="37" t="s">
        <v>118</v>
      </c>
      <c r="F80" s="37">
        <v>1</v>
      </c>
      <c r="G80" s="37"/>
      <c r="H80" s="87"/>
      <c r="I80" s="87">
        <v>46106</v>
      </c>
      <c r="J80" s="37" t="s">
        <v>4</v>
      </c>
      <c r="K80" s="38">
        <f>F80-G80</f>
        <v>1</v>
      </c>
      <c r="L80" s="39">
        <f>IF(F80=0,"",G80/F80)</f>
        <v>0</v>
      </c>
      <c r="M80" s="40">
        <f ca="1">I80-TODAY()</f>
        <v>-1</v>
      </c>
      <c r="N80">
        <f>_xlfn.ISOWEEKNUM(I80)</f>
        <v>13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77</v>
      </c>
      <c r="B81" s="35" t="s">
        <v>20</v>
      </c>
      <c r="C81" s="37" t="s">
        <v>116</v>
      </c>
      <c r="D81" s="37" t="s">
        <v>132</v>
      </c>
      <c r="E81" s="37" t="s">
        <v>79</v>
      </c>
      <c r="F81" s="37">
        <v>1</v>
      </c>
      <c r="G81" s="37"/>
      <c r="H81" s="87"/>
      <c r="I81" s="87">
        <v>46107</v>
      </c>
      <c r="J81" s="37" t="s">
        <v>4</v>
      </c>
      <c r="K81" s="38">
        <f>F81-G81</f>
        <v>1</v>
      </c>
      <c r="L81" s="39">
        <f>IF(F81=0,"",G81/F81)</f>
        <v>0</v>
      </c>
      <c r="M81" s="40">
        <f ca="1">I81-TODAY()</f>
        <v>0</v>
      </c>
      <c r="N81">
        <f>_xlfn.ISOWEEKNUM(I81)</f>
        <v>13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78</v>
      </c>
      <c r="B82" s="35" t="s">
        <v>20</v>
      </c>
      <c r="C82" s="37" t="s">
        <v>116</v>
      </c>
      <c r="D82" s="37" t="s">
        <v>132</v>
      </c>
      <c r="E82" s="37" t="s">
        <v>84</v>
      </c>
      <c r="F82" s="37">
        <v>1</v>
      </c>
      <c r="G82" s="37"/>
      <c r="H82" s="87"/>
      <c r="I82" s="87">
        <v>46107</v>
      </c>
      <c r="J82" s="37" t="s">
        <v>4</v>
      </c>
      <c r="K82" s="38">
        <f>F82-G82</f>
        <v>1</v>
      </c>
      <c r="L82" s="39">
        <f>IF(F82=0,"",G82/F82)</f>
        <v>0</v>
      </c>
      <c r="M82" s="40">
        <f ca="1">I82-TODAY()</f>
        <v>0</v>
      </c>
      <c r="N82">
        <f>_xlfn.ISOWEEKNUM(I82)</f>
        <v>13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79</v>
      </c>
      <c r="B83" s="35" t="s">
        <v>20</v>
      </c>
      <c r="C83" s="37" t="s">
        <v>116</v>
      </c>
      <c r="D83" s="37" t="s">
        <v>132</v>
      </c>
      <c r="E83" s="37" t="s">
        <v>118</v>
      </c>
      <c r="F83" s="37">
        <v>1</v>
      </c>
      <c r="G83" s="37"/>
      <c r="H83" s="87"/>
      <c r="I83" s="87">
        <v>46107</v>
      </c>
      <c r="J83" s="37" t="s">
        <v>4</v>
      </c>
      <c r="K83" s="38">
        <f>F83-G83</f>
        <v>1</v>
      </c>
      <c r="L83" s="39">
        <f>IF(F83=0,"",G83/F83)</f>
        <v>0</v>
      </c>
      <c r="M83" s="40">
        <f ca="1">I83-TODAY()</f>
        <v>0</v>
      </c>
      <c r="N83">
        <f>_xlfn.ISOWEEKNUM(I83)</f>
        <v>13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80</v>
      </c>
      <c r="B84" s="35" t="s">
        <v>20</v>
      </c>
      <c r="C84" s="37" t="s">
        <v>116</v>
      </c>
      <c r="D84" s="37" t="s">
        <v>23</v>
      </c>
      <c r="E84" s="37" t="s">
        <v>79</v>
      </c>
      <c r="F84" s="37">
        <v>6</v>
      </c>
      <c r="G84" s="37"/>
      <c r="H84" s="87"/>
      <c r="I84" s="87">
        <v>46107</v>
      </c>
      <c r="J84" s="37" t="s">
        <v>4</v>
      </c>
      <c r="K84" s="38">
        <f>F84-G84</f>
        <v>6</v>
      </c>
      <c r="L84" s="39">
        <f>IF(F84=0,"",G84/F84)</f>
        <v>0</v>
      </c>
      <c r="M84" s="40">
        <f ca="1">I84-TODAY()</f>
        <v>0</v>
      </c>
      <c r="N84">
        <f>_xlfn.ISOWEEKNUM(I84)</f>
        <v>13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customHeight="1">
      <c r="A85">
        <v>81</v>
      </c>
      <c r="B85" s="35" t="s">
        <v>20</v>
      </c>
      <c r="C85" s="37" t="s">
        <v>116</v>
      </c>
      <c r="D85" s="37" t="s">
        <v>23</v>
      </c>
      <c r="E85" s="37" t="s">
        <v>84</v>
      </c>
      <c r="F85" s="37">
        <v>1</v>
      </c>
      <c r="G85" s="37"/>
      <c r="H85" s="87"/>
      <c r="I85" s="87">
        <v>46107</v>
      </c>
      <c r="J85" s="37" t="s">
        <v>4</v>
      </c>
      <c r="K85" s="38">
        <f>F85-G85</f>
        <v>1</v>
      </c>
      <c r="L85" s="39">
        <f>IF(F85=0,"",G85/F85)</f>
        <v>0</v>
      </c>
      <c r="M85" s="40">
        <f ca="1">I85-TODAY()</f>
        <v>0</v>
      </c>
      <c r="N85">
        <f>_xlfn.ISOWEEKNUM(I85)</f>
        <v>13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customHeight="1">
      <c r="A86">
        <v>82</v>
      </c>
      <c r="B86" s="35" t="s">
        <v>20</v>
      </c>
      <c r="C86" s="37" t="s">
        <v>116</v>
      </c>
      <c r="D86" s="37" t="s">
        <v>23</v>
      </c>
      <c r="E86" s="37" t="s">
        <v>120</v>
      </c>
      <c r="F86" s="37">
        <v>2</v>
      </c>
      <c r="G86" s="37"/>
      <c r="H86" s="87"/>
      <c r="I86" s="87">
        <v>46107</v>
      </c>
      <c r="J86" s="37" t="s">
        <v>4</v>
      </c>
      <c r="K86" s="38">
        <f>F86-G86</f>
        <v>2</v>
      </c>
      <c r="L86" s="39">
        <f>IF(F86=0,"",G86/F86)</f>
        <v>0</v>
      </c>
      <c r="M86" s="40">
        <f ca="1">I86-TODAY()</f>
        <v>0</v>
      </c>
      <c r="N86">
        <f>_xlfn.ISOWEEKNUM(I86)</f>
        <v>13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83</v>
      </c>
      <c r="B87" s="35" t="s">
        <v>20</v>
      </c>
      <c r="C87" s="37" t="s">
        <v>116</v>
      </c>
      <c r="D87" s="37" t="s">
        <v>23</v>
      </c>
      <c r="E87" s="37" t="s">
        <v>118</v>
      </c>
      <c r="F87" s="37">
        <v>1</v>
      </c>
      <c r="G87" s="37"/>
      <c r="H87" s="87"/>
      <c r="I87" s="87">
        <v>46107</v>
      </c>
      <c r="J87" s="37" t="s">
        <v>4</v>
      </c>
      <c r="K87" s="38">
        <f>F87-G87</f>
        <v>1</v>
      </c>
      <c r="L87" s="39">
        <f>IF(F87=0,"",G87/F87)</f>
        <v>0</v>
      </c>
      <c r="M87" s="40">
        <f ca="1">I87-TODAY()</f>
        <v>0</v>
      </c>
      <c r="N87">
        <f>_xlfn.ISOWEEKNUM(I87)</f>
        <v>13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customHeight="1">
      <c r="A88">
        <v>84</v>
      </c>
      <c r="B88" s="35" t="s">
        <v>20</v>
      </c>
      <c r="C88" s="37" t="s">
        <v>116</v>
      </c>
      <c r="D88" s="37" t="s">
        <v>23</v>
      </c>
      <c r="E88" s="37" t="s">
        <v>125</v>
      </c>
      <c r="F88" s="37">
        <v>2</v>
      </c>
      <c r="G88" s="37">
        <v>2</v>
      </c>
      <c r="H88" s="87">
        <v>46063</v>
      </c>
      <c r="I88" s="87">
        <v>46063</v>
      </c>
      <c r="J88" s="37" t="s">
        <v>77</v>
      </c>
      <c r="K88" s="38">
        <f>F88-G88</f>
        <v>0</v>
      </c>
      <c r="L88" s="39">
        <f>IF(F88=0,"",G88/F88)</f>
        <v>1</v>
      </c>
      <c r="M88" s="40">
        <f ca="1">I88-TODAY()</f>
        <v>-44</v>
      </c>
      <c r="N88">
        <f>_xlfn.ISOWEEKNUM(I88)</f>
        <v>7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customHeight="1">
      <c r="A89">
        <v>85</v>
      </c>
      <c r="B89" s="35" t="s">
        <v>20</v>
      </c>
      <c r="C89" s="37" t="s">
        <v>116</v>
      </c>
      <c r="D89" s="37" t="s">
        <v>23</v>
      </c>
      <c r="E89" s="37" t="s">
        <v>126</v>
      </c>
      <c r="F89" s="37">
        <v>2</v>
      </c>
      <c r="G89" s="37">
        <v>2</v>
      </c>
      <c r="H89" s="87">
        <v>46063</v>
      </c>
      <c r="I89" s="87">
        <v>46063</v>
      </c>
      <c r="J89" s="37" t="s">
        <v>77</v>
      </c>
      <c r="K89" s="38">
        <f>F89-G89</f>
        <v>0</v>
      </c>
      <c r="L89" s="39">
        <f>IF(F89=0,"",G89/F89)</f>
        <v>1</v>
      </c>
      <c r="M89" s="40">
        <f ca="1">I89-TODAY()</f>
        <v>-44</v>
      </c>
      <c r="N89">
        <f>_xlfn.ISOWEEKNUM(I89)</f>
        <v>7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customHeight="1">
      <c r="A90">
        <v>86</v>
      </c>
      <c r="B90" s="35" t="s">
        <v>20</v>
      </c>
      <c r="C90" s="37" t="s">
        <v>116</v>
      </c>
      <c r="D90" s="37" t="s">
        <v>23</v>
      </c>
      <c r="E90" s="37" t="s">
        <v>127</v>
      </c>
      <c r="F90" s="37">
        <v>1</v>
      </c>
      <c r="G90" s="37">
        <v>1</v>
      </c>
      <c r="H90" s="87">
        <v>46063</v>
      </c>
      <c r="I90" s="87">
        <v>46063</v>
      </c>
      <c r="J90" s="37" t="s">
        <v>77</v>
      </c>
      <c r="K90" s="38">
        <f>F90-G90</f>
        <v>0</v>
      </c>
      <c r="L90" s="39">
        <f>IF(F90=0,"",G90/F90)</f>
        <v>1</v>
      </c>
      <c r="M90" s="40">
        <f ca="1">I90-TODAY()</f>
        <v>-44</v>
      </c>
      <c r="N90">
        <f>_xlfn.ISOWEEKNUM(I90)</f>
        <v>7</v>
      </c>
      <c r="O90" t="str">
        <f>IF(ISNUMBER(SEARCH("Access Point",E90)),"AP",IF(OR(ISNUMBER(SEARCH("Switch",E90)),ISNUMBER(SEARCH("Control Type",E90))),"Switch","Infra"))</f>
        <v>Switch</v>
      </c>
      <c r="P90" s="43" t="s">
        <v>133</v>
      </c>
    </row>
    <row r="91" spans="1:16" ht="14.25" customHeight="1">
      <c r="A91">
        <v>87</v>
      </c>
      <c r="B91" s="37" t="s">
        <v>23</v>
      </c>
      <c r="C91" s="37" t="s">
        <v>116</v>
      </c>
      <c r="D91" s="37" t="s">
        <v>23</v>
      </c>
      <c r="E91" s="37" t="s">
        <v>129</v>
      </c>
      <c r="F91" s="37">
        <v>2</v>
      </c>
      <c r="G91" s="37">
        <v>2</v>
      </c>
      <c r="H91" s="87">
        <v>46063</v>
      </c>
      <c r="I91" s="87">
        <v>46063</v>
      </c>
      <c r="J91" s="37" t="s">
        <v>77</v>
      </c>
      <c r="K91" s="38">
        <f>F91-G91</f>
        <v>0</v>
      </c>
      <c r="L91" s="39">
        <f>IF(F91=0,"",G91/F91)</f>
        <v>1</v>
      </c>
      <c r="M91" s="40">
        <f ca="1">I91-TODAY()</f>
        <v>-44</v>
      </c>
      <c r="N91">
        <f>_xlfn.ISOWEEKNUM(I91)</f>
        <v>7</v>
      </c>
      <c r="O91" t="str">
        <f>IF(ISNUMBER(SEARCH("Access Point",E91)),"AP",IF(OR(ISNUMBER(SEARCH("Switch",E91)),ISNUMBER(SEARCH("Control Type",E91))),"Switch","Infra"))</f>
        <v>Infra</v>
      </c>
      <c r="P91" s="43" t="s">
        <v>130</v>
      </c>
    </row>
    <row r="92" spans="1:16" ht="14.25" customHeight="1">
      <c r="A92">
        <v>88</v>
      </c>
      <c r="B92" s="35" t="s">
        <v>20</v>
      </c>
      <c r="C92" s="37" t="s">
        <v>116</v>
      </c>
      <c r="D92" s="37" t="s">
        <v>134</v>
      </c>
      <c r="E92" s="37" t="s">
        <v>79</v>
      </c>
      <c r="F92" s="37">
        <v>2</v>
      </c>
      <c r="G92" s="37">
        <v>2</v>
      </c>
      <c r="H92" s="87">
        <v>46070</v>
      </c>
      <c r="I92" s="87">
        <v>46070</v>
      </c>
      <c r="J92" s="37" t="s">
        <v>77</v>
      </c>
      <c r="K92" s="38">
        <f>F92-G92</f>
        <v>0</v>
      </c>
      <c r="L92" s="39">
        <f>IF(F92=0,"",G92/F92)</f>
        <v>1</v>
      </c>
      <c r="M92" s="40">
        <f ca="1">I92-TODAY()</f>
        <v>-37</v>
      </c>
      <c r="N92">
        <f>_xlfn.ISOWEEKNUM(I92)</f>
        <v>8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89</v>
      </c>
      <c r="B93" s="35" t="s">
        <v>20</v>
      </c>
      <c r="C93" s="37" t="s">
        <v>116</v>
      </c>
      <c r="D93" s="37" t="s">
        <v>134</v>
      </c>
      <c r="E93" s="37" t="s">
        <v>84</v>
      </c>
      <c r="F93" s="37">
        <v>1</v>
      </c>
      <c r="G93" s="37">
        <v>1</v>
      </c>
      <c r="H93" s="87">
        <v>46070</v>
      </c>
      <c r="I93" s="87">
        <v>46070</v>
      </c>
      <c r="J93" s="37" t="s">
        <v>77</v>
      </c>
      <c r="K93" s="38">
        <f>F93-G93</f>
        <v>0</v>
      </c>
      <c r="L93" s="39">
        <f>IF(F93=0,"",G93/F93)</f>
        <v>1</v>
      </c>
      <c r="M93" s="40">
        <f ca="1">I93-TODAY()</f>
        <v>-37</v>
      </c>
      <c r="N93">
        <f>_xlfn.ISOWEEKNUM(I93)</f>
        <v>8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customHeight="1">
      <c r="A94">
        <v>90</v>
      </c>
      <c r="B94" s="35" t="s">
        <v>20</v>
      </c>
      <c r="C94" s="37" t="s">
        <v>116</v>
      </c>
      <c r="D94" s="37" t="s">
        <v>135</v>
      </c>
      <c r="E94" s="37" t="s">
        <v>79</v>
      </c>
      <c r="F94" s="37">
        <v>1</v>
      </c>
      <c r="G94" s="37"/>
      <c r="H94" s="87"/>
      <c r="I94" s="87">
        <v>46108</v>
      </c>
      <c r="J94" s="37" t="s">
        <v>4</v>
      </c>
      <c r="K94" s="38">
        <f>F94-G94</f>
        <v>1</v>
      </c>
      <c r="L94" s="39">
        <f>IF(F94=0,"",G94/F94)</f>
        <v>0</v>
      </c>
      <c r="M94" s="40">
        <f ca="1">I94-TODAY()</f>
        <v>1</v>
      </c>
      <c r="N94">
        <f>_xlfn.ISOWEEKNUM(I94)</f>
        <v>13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91</v>
      </c>
      <c r="B95" s="35" t="s">
        <v>20</v>
      </c>
      <c r="C95" s="37" t="s">
        <v>116</v>
      </c>
      <c r="D95" s="37" t="s">
        <v>135</v>
      </c>
      <c r="E95" s="37" t="s">
        <v>84</v>
      </c>
      <c r="F95" s="37">
        <v>1</v>
      </c>
      <c r="G95" s="37"/>
      <c r="H95" s="87"/>
      <c r="I95" s="87">
        <v>46108</v>
      </c>
      <c r="J95" s="37" t="s">
        <v>4</v>
      </c>
      <c r="K95" s="38">
        <f>F95-G95</f>
        <v>1</v>
      </c>
      <c r="L95" s="39">
        <f>IF(F95=0,"",G95/F95)</f>
        <v>0</v>
      </c>
      <c r="M95" s="40">
        <f ca="1">I95-TODAY()</f>
        <v>1</v>
      </c>
      <c r="N95">
        <f>_xlfn.ISOWEEKNUM(I95)</f>
        <v>13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92</v>
      </c>
      <c r="B96" s="35" t="s">
        <v>20</v>
      </c>
      <c r="C96" s="37" t="s">
        <v>116</v>
      </c>
      <c r="D96" s="37" t="s">
        <v>136</v>
      </c>
      <c r="E96" s="37" t="s">
        <v>79</v>
      </c>
      <c r="F96" s="37">
        <v>1</v>
      </c>
      <c r="G96" s="37"/>
      <c r="H96" s="87"/>
      <c r="I96" s="87">
        <v>46108</v>
      </c>
      <c r="J96" s="37" t="s">
        <v>4</v>
      </c>
      <c r="K96" s="38">
        <f>F96-G96</f>
        <v>1</v>
      </c>
      <c r="L96" s="39">
        <f>IF(F96=0,"",G96/F96)</f>
        <v>0</v>
      </c>
      <c r="M96" s="40">
        <f ca="1">I96-TODAY()</f>
        <v>1</v>
      </c>
      <c r="N96">
        <f>_xlfn.ISOWEEKNUM(I96)</f>
        <v>13</v>
      </c>
      <c r="O96" t="str">
        <f>IF(ISNUMBER(SEARCH("Access Point",E96)),"AP",IF(OR(ISNUMBER(SEARCH("Switch",E96)),ISNUMBER(SEARCH("Control Type",E96))),"Switch","Infra"))</f>
        <v>Switch</v>
      </c>
    </row>
    <row r="97" spans="1:15" ht="14.25" customHeight="1">
      <c r="A97">
        <v>93</v>
      </c>
      <c r="B97" s="35" t="s">
        <v>20</v>
      </c>
      <c r="C97" s="37" t="s">
        <v>116</v>
      </c>
      <c r="D97" s="37" t="s">
        <v>136</v>
      </c>
      <c r="E97" s="37" t="s">
        <v>84</v>
      </c>
      <c r="F97" s="37">
        <v>1</v>
      </c>
      <c r="G97" s="37"/>
      <c r="H97" s="87"/>
      <c r="I97" s="87">
        <v>46108</v>
      </c>
      <c r="J97" s="37" t="s">
        <v>4</v>
      </c>
      <c r="K97" s="38">
        <f>F97-G97</f>
        <v>1</v>
      </c>
      <c r="L97" s="39">
        <f>IF(F97=0,"",G97/F97)</f>
        <v>0</v>
      </c>
      <c r="M97" s="40">
        <f ca="1">I97-TODAY()</f>
        <v>1</v>
      </c>
      <c r="N97">
        <f>_xlfn.ISOWEEKNUM(I97)</f>
        <v>13</v>
      </c>
      <c r="O97" t="str">
        <f>IF(ISNUMBER(SEARCH("Access Point",E97)),"AP",IF(OR(ISNUMBER(SEARCH("Switch",E97)),ISNUMBER(SEARCH("Control Type",E97))),"Switch","Infra"))</f>
        <v>Switch</v>
      </c>
    </row>
    <row r="98" spans="1:15" ht="14.25" customHeight="1">
      <c r="A98">
        <v>94</v>
      </c>
      <c r="B98" s="35" t="s">
        <v>20</v>
      </c>
      <c r="C98" s="37" t="s">
        <v>116</v>
      </c>
      <c r="D98" s="37" t="s">
        <v>137</v>
      </c>
      <c r="E98" s="37" t="s">
        <v>79</v>
      </c>
      <c r="F98" s="37">
        <v>1</v>
      </c>
      <c r="G98" s="37"/>
      <c r="H98" s="87"/>
      <c r="I98" s="87">
        <v>46108</v>
      </c>
      <c r="J98" s="37" t="s">
        <v>4</v>
      </c>
      <c r="K98" s="38">
        <f>F98-G98</f>
        <v>1</v>
      </c>
      <c r="L98" s="39">
        <f>IF(F98=0,"",G98/F98)</f>
        <v>0</v>
      </c>
      <c r="M98" s="40">
        <f ca="1">I98-TODAY()</f>
        <v>1</v>
      </c>
      <c r="N98">
        <f>_xlfn.ISOWEEKNUM(I98)</f>
        <v>13</v>
      </c>
      <c r="O98" t="str">
        <f>IF(ISNUMBER(SEARCH("Access Point",E98)),"AP",IF(OR(ISNUMBER(SEARCH("Switch",E98)),ISNUMBER(SEARCH("Control Type",E98))),"Switch","Infra"))</f>
        <v>Switch</v>
      </c>
    </row>
    <row r="99" spans="1:15" ht="14.25" customHeight="1">
      <c r="A99">
        <v>95</v>
      </c>
      <c r="B99" s="35" t="s">
        <v>20</v>
      </c>
      <c r="C99" s="37" t="s">
        <v>116</v>
      </c>
      <c r="D99" s="37" t="s">
        <v>137</v>
      </c>
      <c r="E99" s="37" t="s">
        <v>84</v>
      </c>
      <c r="F99" s="37">
        <v>1</v>
      </c>
      <c r="G99" s="37"/>
      <c r="H99" s="87"/>
      <c r="I99" s="87">
        <v>46108</v>
      </c>
      <c r="J99" s="37" t="s">
        <v>4</v>
      </c>
      <c r="K99" s="38">
        <f>F99-G99</f>
        <v>1</v>
      </c>
      <c r="L99" s="39">
        <f>IF(F99=0,"",G99/F99)</f>
        <v>0</v>
      </c>
      <c r="M99" s="40">
        <f ca="1">I99-TODAY()</f>
        <v>1</v>
      </c>
      <c r="N99">
        <f>_xlfn.ISOWEEKNUM(I99)</f>
        <v>13</v>
      </c>
      <c r="O99" t="str">
        <f>IF(ISNUMBER(SEARCH("Access Point",E99)),"AP",IF(OR(ISNUMBER(SEARCH("Switch",E99)),ISNUMBER(SEARCH("Control Type",E99))),"Switch","Infra"))</f>
        <v>Switch</v>
      </c>
    </row>
    <row r="100" spans="1:15" ht="14.25" customHeight="1">
      <c r="A100">
        <v>96</v>
      </c>
      <c r="B100" s="35" t="s">
        <v>20</v>
      </c>
      <c r="C100" s="37" t="s">
        <v>116</v>
      </c>
      <c r="D100" s="37" t="s">
        <v>138</v>
      </c>
      <c r="E100" s="37" t="s">
        <v>79</v>
      </c>
      <c r="F100" s="37">
        <v>1</v>
      </c>
      <c r="G100" s="37"/>
      <c r="H100" s="87"/>
      <c r="I100" s="87">
        <v>46108</v>
      </c>
      <c r="J100" s="37" t="s">
        <v>4</v>
      </c>
      <c r="K100" s="38">
        <f>F100-G100</f>
        <v>1</v>
      </c>
      <c r="L100" s="39">
        <f>IF(F100=0,"",G100/F100)</f>
        <v>0</v>
      </c>
      <c r="M100" s="40">
        <f ca="1">I100-TODAY()</f>
        <v>1</v>
      </c>
      <c r="N100">
        <f>_xlfn.ISOWEEKNUM(I100)</f>
        <v>13</v>
      </c>
      <c r="O100" t="str">
        <f>IF(ISNUMBER(SEARCH("Access Point",E100)),"AP",IF(OR(ISNUMBER(SEARCH("Switch",E100)),ISNUMBER(SEARCH("Control Type",E100))),"Switch","Infra"))</f>
        <v>Switch</v>
      </c>
    </row>
    <row r="101" spans="1:15" ht="14.25" customHeight="1">
      <c r="A101">
        <v>97</v>
      </c>
      <c r="B101" s="35" t="s">
        <v>20</v>
      </c>
      <c r="C101" s="37" t="s">
        <v>116</v>
      </c>
      <c r="D101" s="37" t="s">
        <v>138</v>
      </c>
      <c r="E101" s="37" t="s">
        <v>84</v>
      </c>
      <c r="F101" s="37">
        <v>1</v>
      </c>
      <c r="G101" s="37"/>
      <c r="H101" s="87"/>
      <c r="I101" s="87">
        <v>46108</v>
      </c>
      <c r="J101" s="37" t="s">
        <v>4</v>
      </c>
      <c r="K101" s="38">
        <f>F101-G101</f>
        <v>1</v>
      </c>
      <c r="L101" s="39">
        <f>IF(F101=0,"",G101/F101)</f>
        <v>0</v>
      </c>
      <c r="M101" s="40">
        <f ca="1">I101-TODAY()</f>
        <v>1</v>
      </c>
      <c r="N101">
        <f>_xlfn.ISOWEEKNUM(I101)</f>
        <v>13</v>
      </c>
      <c r="O101" t="str">
        <f>IF(ISNUMBER(SEARCH("Access Point",E101)),"AP",IF(OR(ISNUMBER(SEARCH("Switch",E101)),ISNUMBER(SEARCH("Control Type",E101))),"Switch","Infra"))</f>
        <v>Switch</v>
      </c>
    </row>
    <row r="102" spans="1:15" ht="14.25" customHeight="1">
      <c r="A102">
        <v>98</v>
      </c>
      <c r="B102" s="35" t="s">
        <v>20</v>
      </c>
      <c r="C102" s="37" t="s">
        <v>116</v>
      </c>
      <c r="D102" s="37" t="s">
        <v>139</v>
      </c>
      <c r="E102" s="37" t="s">
        <v>79</v>
      </c>
      <c r="F102" s="37">
        <v>1</v>
      </c>
      <c r="G102" s="37"/>
      <c r="H102" s="87"/>
      <c r="I102" s="87">
        <v>46108</v>
      </c>
      <c r="J102" s="37" t="s">
        <v>4</v>
      </c>
      <c r="K102" s="38">
        <f>F102-G102</f>
        <v>1</v>
      </c>
      <c r="L102" s="39">
        <f>IF(F102=0,"",G102/F102)</f>
        <v>0</v>
      </c>
      <c r="M102" s="40">
        <f ca="1">I102-TODAY()</f>
        <v>1</v>
      </c>
      <c r="N102">
        <f>_xlfn.ISOWEEKNUM(I102)</f>
        <v>13</v>
      </c>
      <c r="O102" t="str">
        <f>IF(ISNUMBER(SEARCH("Access Point",E102)),"AP",IF(OR(ISNUMBER(SEARCH("Switch",E102)),ISNUMBER(SEARCH("Control Type",E102))),"Switch","Infra"))</f>
        <v>Switch</v>
      </c>
    </row>
    <row r="103" spans="1:15" ht="14.25" customHeight="1">
      <c r="A103">
        <v>99</v>
      </c>
      <c r="B103" s="35" t="s">
        <v>20</v>
      </c>
      <c r="C103" s="37" t="s">
        <v>116</v>
      </c>
      <c r="D103" s="37" t="s">
        <v>139</v>
      </c>
      <c r="E103" s="37" t="s">
        <v>84</v>
      </c>
      <c r="F103" s="37">
        <v>1</v>
      </c>
      <c r="G103" s="37"/>
      <c r="H103" s="87"/>
      <c r="I103" s="87">
        <v>46108</v>
      </c>
      <c r="J103" s="37" t="s">
        <v>4</v>
      </c>
      <c r="K103" s="38">
        <f>F103-G103</f>
        <v>1</v>
      </c>
      <c r="L103" s="39">
        <f>IF(F103=0,"",G103/F103)</f>
        <v>0</v>
      </c>
      <c r="M103" s="40">
        <f ca="1">I103-TODAY()</f>
        <v>1</v>
      </c>
      <c r="N103">
        <f>_xlfn.ISOWEEKNUM(I103)</f>
        <v>13</v>
      </c>
      <c r="O103" t="str">
        <f>IF(ISNUMBER(SEARCH("Access Point",E103)),"AP",IF(OR(ISNUMBER(SEARCH("Switch",E103)),ISNUMBER(SEARCH("Control Type",E103))),"Switch","Infra"))</f>
        <v>Switch</v>
      </c>
    </row>
    <row r="104" spans="1:15" ht="14.25" customHeight="1">
      <c r="A104">
        <v>100</v>
      </c>
      <c r="B104" s="35" t="s">
        <v>20</v>
      </c>
      <c r="C104" s="37" t="s">
        <v>116</v>
      </c>
      <c r="D104" s="37" t="s">
        <v>140</v>
      </c>
      <c r="E104" s="37" t="s">
        <v>79</v>
      </c>
      <c r="F104" s="37">
        <v>1</v>
      </c>
      <c r="G104" s="37"/>
      <c r="H104" s="87"/>
      <c r="I104" s="87">
        <v>46111</v>
      </c>
      <c r="J104" s="37" t="s">
        <v>4</v>
      </c>
      <c r="K104" s="38">
        <f>F104-G104</f>
        <v>1</v>
      </c>
      <c r="L104" s="39">
        <f>IF(F104=0,"",G104/F104)</f>
        <v>0</v>
      </c>
      <c r="M104" s="40">
        <f ca="1">I104-TODAY()</f>
        <v>4</v>
      </c>
      <c r="N104">
        <f>_xlfn.ISOWEEKNUM(I104)</f>
        <v>14</v>
      </c>
      <c r="O104" t="str">
        <f>IF(ISNUMBER(SEARCH("Access Point",E104)),"AP",IF(OR(ISNUMBER(SEARCH("Switch",E104)),ISNUMBER(SEARCH("Control Type",E104))),"Switch","Infra"))</f>
        <v>Switch</v>
      </c>
    </row>
    <row r="105" spans="1:15" ht="14.25" customHeight="1">
      <c r="A105">
        <v>101</v>
      </c>
      <c r="B105" s="35" t="s">
        <v>20</v>
      </c>
      <c r="C105" s="37" t="s">
        <v>116</v>
      </c>
      <c r="D105" s="37" t="s">
        <v>140</v>
      </c>
      <c r="E105" s="37" t="s">
        <v>84</v>
      </c>
      <c r="F105" s="37">
        <v>1</v>
      </c>
      <c r="G105" s="37"/>
      <c r="H105" s="87"/>
      <c r="I105" s="87">
        <v>46111</v>
      </c>
      <c r="J105" s="37" t="s">
        <v>4</v>
      </c>
      <c r="K105" s="38">
        <f>F105-G105</f>
        <v>1</v>
      </c>
      <c r="L105" s="39">
        <f>IF(F105=0,"",G105/F105)</f>
        <v>0</v>
      </c>
      <c r="M105" s="40">
        <f ca="1">I105-TODAY()</f>
        <v>4</v>
      </c>
      <c r="N105">
        <f>_xlfn.ISOWEEKNUM(I105)</f>
        <v>14</v>
      </c>
      <c r="O105" t="str">
        <f>IF(ISNUMBER(SEARCH("Access Point",E105)),"AP",IF(OR(ISNUMBER(SEARCH("Switch",E105)),ISNUMBER(SEARCH("Control Type",E105))),"Switch","Infra"))</f>
        <v>Switch</v>
      </c>
    </row>
    <row r="106" spans="1:15" ht="14.25" customHeight="1">
      <c r="A106">
        <v>102</v>
      </c>
      <c r="B106" s="35" t="s">
        <v>20</v>
      </c>
      <c r="C106" s="37" t="s">
        <v>116</v>
      </c>
      <c r="D106" s="37" t="s">
        <v>141</v>
      </c>
      <c r="E106" s="37" t="s">
        <v>79</v>
      </c>
      <c r="F106" s="37">
        <v>1</v>
      </c>
      <c r="G106" s="37"/>
      <c r="H106" s="87"/>
      <c r="I106" s="87">
        <v>46111</v>
      </c>
      <c r="J106" s="37" t="s">
        <v>4</v>
      </c>
      <c r="K106" s="38">
        <f>F106-G106</f>
        <v>1</v>
      </c>
      <c r="L106" s="39">
        <f>IF(F106=0,"",G106/F106)</f>
        <v>0</v>
      </c>
      <c r="M106" s="40">
        <f ca="1">I106-TODAY()</f>
        <v>4</v>
      </c>
      <c r="N106">
        <f>_xlfn.ISOWEEKNUM(I106)</f>
        <v>14</v>
      </c>
      <c r="O106" t="str">
        <f>IF(ISNUMBER(SEARCH("Access Point",E106)),"AP",IF(OR(ISNUMBER(SEARCH("Switch",E106)),ISNUMBER(SEARCH("Control Type",E106))),"Switch","Infra"))</f>
        <v>Switch</v>
      </c>
    </row>
    <row r="107" spans="1:15" ht="14.25" customHeight="1">
      <c r="A107">
        <v>103</v>
      </c>
      <c r="B107" s="35" t="s">
        <v>20</v>
      </c>
      <c r="C107" s="37" t="s">
        <v>116</v>
      </c>
      <c r="D107" s="37" t="s">
        <v>141</v>
      </c>
      <c r="E107" s="37" t="s">
        <v>84</v>
      </c>
      <c r="F107" s="37">
        <v>1</v>
      </c>
      <c r="G107" s="37"/>
      <c r="H107" s="87"/>
      <c r="I107" s="87">
        <v>46111</v>
      </c>
      <c r="J107" s="37" t="s">
        <v>4</v>
      </c>
      <c r="K107" s="38">
        <f>F107-G107</f>
        <v>1</v>
      </c>
      <c r="L107" s="39">
        <f>IF(F107=0,"",G107/F107)</f>
        <v>0</v>
      </c>
      <c r="M107" s="40">
        <f ca="1">I107-TODAY()</f>
        <v>4</v>
      </c>
      <c r="N107">
        <f>_xlfn.ISOWEEKNUM(I107)</f>
        <v>14</v>
      </c>
      <c r="O107" t="str">
        <f>IF(ISNUMBER(SEARCH("Access Point",E107)),"AP",IF(OR(ISNUMBER(SEARCH("Switch",E107)),ISNUMBER(SEARCH("Control Type",E107))),"Switch","Infra"))</f>
        <v>Switch</v>
      </c>
    </row>
    <row r="108" spans="1:15" ht="14.25" customHeight="1">
      <c r="A108">
        <v>104</v>
      </c>
      <c r="B108" s="35" t="s">
        <v>20</v>
      </c>
      <c r="C108" s="37" t="s">
        <v>116</v>
      </c>
      <c r="D108" s="37" t="s">
        <v>142</v>
      </c>
      <c r="E108" s="37" t="s">
        <v>79</v>
      </c>
      <c r="F108" s="37">
        <v>1</v>
      </c>
      <c r="G108" s="37"/>
      <c r="H108" s="87"/>
      <c r="I108" s="87">
        <v>46111</v>
      </c>
      <c r="J108" s="37" t="s">
        <v>4</v>
      </c>
      <c r="K108" s="38">
        <f>F108-G108</f>
        <v>1</v>
      </c>
      <c r="L108" s="39">
        <f>IF(F108=0,"",G108/F108)</f>
        <v>0</v>
      </c>
      <c r="M108" s="40">
        <f ca="1">I108-TODAY()</f>
        <v>4</v>
      </c>
      <c r="N108">
        <f>_xlfn.ISOWEEKNUM(I108)</f>
        <v>14</v>
      </c>
      <c r="O108" t="str">
        <f>IF(ISNUMBER(SEARCH("Access Point",E108)),"AP",IF(OR(ISNUMBER(SEARCH("Switch",E108)),ISNUMBER(SEARCH("Control Type",E108))),"Switch","Infra"))</f>
        <v>Switch</v>
      </c>
    </row>
    <row r="109" spans="1:15" ht="14.25" customHeight="1">
      <c r="A109">
        <v>105</v>
      </c>
      <c r="B109" s="35" t="s">
        <v>20</v>
      </c>
      <c r="C109" s="37" t="s">
        <v>116</v>
      </c>
      <c r="D109" s="37" t="s">
        <v>142</v>
      </c>
      <c r="E109" s="37" t="s">
        <v>84</v>
      </c>
      <c r="F109" s="37">
        <v>1</v>
      </c>
      <c r="G109" s="37"/>
      <c r="H109" s="87"/>
      <c r="I109" s="87">
        <v>46111</v>
      </c>
      <c r="J109" s="37" t="s">
        <v>4</v>
      </c>
      <c r="K109" s="38">
        <f>F109-G109</f>
        <v>1</v>
      </c>
      <c r="L109" s="39">
        <f>IF(F109=0,"",G109/F109)</f>
        <v>0</v>
      </c>
      <c r="M109" s="40">
        <f ca="1">I109-TODAY()</f>
        <v>4</v>
      </c>
      <c r="N109">
        <f>_xlfn.ISOWEEKNUM(I109)</f>
        <v>14</v>
      </c>
      <c r="O109" t="str">
        <f>IF(ISNUMBER(SEARCH("Access Point",E109)),"AP",IF(OR(ISNUMBER(SEARCH("Switch",E109)),ISNUMBER(SEARCH("Control Type",E109))),"Switch","Infra"))</f>
        <v>Switch</v>
      </c>
    </row>
    <row r="110" spans="1:15" ht="14.25" customHeight="1">
      <c r="A110">
        <v>106</v>
      </c>
      <c r="B110" s="35" t="s">
        <v>20</v>
      </c>
      <c r="C110" s="37" t="s">
        <v>116</v>
      </c>
      <c r="D110" s="37" t="s">
        <v>143</v>
      </c>
      <c r="E110" s="37" t="s">
        <v>79</v>
      </c>
      <c r="F110" s="37">
        <v>2</v>
      </c>
      <c r="G110" s="37"/>
      <c r="H110" s="87"/>
      <c r="I110" s="87">
        <v>46111</v>
      </c>
      <c r="J110" s="37" t="s">
        <v>4</v>
      </c>
      <c r="K110" s="38">
        <f>F110-G110</f>
        <v>2</v>
      </c>
      <c r="L110" s="39">
        <f>IF(F110=0,"",G110/F110)</f>
        <v>0</v>
      </c>
      <c r="M110" s="40">
        <f ca="1">I110-TODAY()</f>
        <v>4</v>
      </c>
      <c r="N110">
        <f>_xlfn.ISOWEEKNUM(I110)</f>
        <v>14</v>
      </c>
      <c r="O110" t="str">
        <f>IF(ISNUMBER(SEARCH("Access Point",E110)),"AP",IF(OR(ISNUMBER(SEARCH("Switch",E110)),ISNUMBER(SEARCH("Control Type",E110))),"Switch","Infra"))</f>
        <v>Switch</v>
      </c>
    </row>
    <row r="111" spans="1:15" ht="14.25" customHeight="1">
      <c r="A111">
        <v>107</v>
      </c>
      <c r="B111" s="35" t="s">
        <v>20</v>
      </c>
      <c r="C111" s="37" t="s">
        <v>116</v>
      </c>
      <c r="D111" s="37" t="s">
        <v>143</v>
      </c>
      <c r="E111" s="37" t="s">
        <v>84</v>
      </c>
      <c r="F111" s="37">
        <v>1</v>
      </c>
      <c r="G111" s="37"/>
      <c r="H111" s="87"/>
      <c r="I111" s="87">
        <v>46111</v>
      </c>
      <c r="J111" s="37" t="s">
        <v>4</v>
      </c>
      <c r="K111" s="38">
        <f>F111-G111</f>
        <v>1</v>
      </c>
      <c r="L111" s="39">
        <f>IF(F111=0,"",G111/F111)</f>
        <v>0</v>
      </c>
      <c r="M111" s="40">
        <f ca="1">I111-TODAY()</f>
        <v>4</v>
      </c>
      <c r="N111">
        <f>_xlfn.ISOWEEKNUM(I111)</f>
        <v>14</v>
      </c>
      <c r="O111" t="str">
        <f>IF(ISNUMBER(SEARCH("Access Point",E111)),"AP",IF(OR(ISNUMBER(SEARCH("Switch",E111)),ISNUMBER(SEARCH("Control Type",E111))),"Switch","Infra"))</f>
        <v>Switch</v>
      </c>
    </row>
    <row r="112" spans="1:15" ht="14.25" customHeight="1">
      <c r="A112">
        <v>108</v>
      </c>
      <c r="B112" s="35" t="s">
        <v>20</v>
      </c>
      <c r="C112" s="37" t="s">
        <v>116</v>
      </c>
      <c r="D112" s="37" t="s">
        <v>144</v>
      </c>
      <c r="E112" s="37" t="s">
        <v>79</v>
      </c>
      <c r="F112" s="37">
        <v>2</v>
      </c>
      <c r="G112" s="37">
        <v>2</v>
      </c>
      <c r="H112" s="87">
        <v>46100</v>
      </c>
      <c r="I112" s="87">
        <v>46100</v>
      </c>
      <c r="J112" s="37" t="s">
        <v>77</v>
      </c>
      <c r="K112" s="38">
        <f>F112-G112</f>
        <v>0</v>
      </c>
      <c r="L112" s="39">
        <f>IF(F112=0,"",G112/F112)</f>
        <v>1</v>
      </c>
      <c r="M112" s="40">
        <f ca="1">I112-TODAY()</f>
        <v>-7</v>
      </c>
      <c r="N112">
        <f>_xlfn.ISOWEEKNUM(I112)</f>
        <v>12</v>
      </c>
      <c r="O112" t="str">
        <f>IF(ISNUMBER(SEARCH("Access Point",E112)),"AP",IF(OR(ISNUMBER(SEARCH("Switch",E112)),ISNUMBER(SEARCH("Control Type",E112))),"Switch","Infra"))</f>
        <v>Switch</v>
      </c>
    </row>
    <row r="113" spans="1:15" ht="14.25" customHeight="1">
      <c r="A113">
        <v>109</v>
      </c>
      <c r="B113" s="35" t="s">
        <v>20</v>
      </c>
      <c r="C113" s="37" t="s">
        <v>116</v>
      </c>
      <c r="D113" s="37" t="s">
        <v>144</v>
      </c>
      <c r="E113" s="37" t="s">
        <v>84</v>
      </c>
      <c r="F113" s="37">
        <v>1</v>
      </c>
      <c r="G113" s="37">
        <v>1</v>
      </c>
      <c r="H113" s="87">
        <v>46100</v>
      </c>
      <c r="I113" s="87">
        <v>46100</v>
      </c>
      <c r="J113" s="37" t="s">
        <v>77</v>
      </c>
      <c r="K113" s="38">
        <f>F113-G113</f>
        <v>0</v>
      </c>
      <c r="L113" s="39">
        <f>IF(F113=0,"",G113/F113)</f>
        <v>1</v>
      </c>
      <c r="M113" s="40">
        <f ca="1">I113-TODAY()</f>
        <v>-7</v>
      </c>
      <c r="N113">
        <f>_xlfn.ISOWEEKNUM(I113)</f>
        <v>12</v>
      </c>
      <c r="O113" t="str">
        <f>IF(ISNUMBER(SEARCH("Access Point",E113)),"AP",IF(OR(ISNUMBER(SEARCH("Switch",E113)),ISNUMBER(SEARCH("Control Type",E113))),"Switch","Infra"))</f>
        <v>Switch</v>
      </c>
    </row>
    <row r="114" spans="1:15" ht="14.25" customHeight="1">
      <c r="A114">
        <v>110</v>
      </c>
      <c r="B114" s="35" t="s">
        <v>20</v>
      </c>
      <c r="C114" s="37" t="s">
        <v>116</v>
      </c>
      <c r="D114" s="37" t="s">
        <v>144</v>
      </c>
      <c r="E114" s="37" t="s">
        <v>120</v>
      </c>
      <c r="F114" s="37">
        <v>1</v>
      </c>
      <c r="G114" s="37">
        <v>1</v>
      </c>
      <c r="H114" s="87">
        <v>46100</v>
      </c>
      <c r="I114" s="87">
        <v>46100</v>
      </c>
      <c r="J114" s="37" t="s">
        <v>77</v>
      </c>
      <c r="K114" s="38">
        <f>F114-G114</f>
        <v>0</v>
      </c>
      <c r="L114" s="39">
        <f>IF(F114=0,"",G114/F114)</f>
        <v>1</v>
      </c>
      <c r="M114" s="40">
        <f ca="1">I114-TODAY()</f>
        <v>-7</v>
      </c>
      <c r="N114">
        <f>_xlfn.ISOWEEKNUM(I114)</f>
        <v>12</v>
      </c>
      <c r="O114" t="str">
        <f>IF(ISNUMBER(SEARCH("Access Point",E114)),"AP",IF(OR(ISNUMBER(SEARCH("Switch",E114)),ISNUMBER(SEARCH("Control Type",E114))),"Switch","Infra"))</f>
        <v>Switch</v>
      </c>
    </row>
    <row r="115" spans="1:15" ht="14.25" customHeight="1">
      <c r="A115">
        <v>111</v>
      </c>
      <c r="B115" s="35" t="s">
        <v>20</v>
      </c>
      <c r="C115" s="37" t="s">
        <v>116</v>
      </c>
      <c r="D115" s="37" t="s">
        <v>145</v>
      </c>
      <c r="E115" s="37" t="s">
        <v>79</v>
      </c>
      <c r="F115" s="37">
        <v>2</v>
      </c>
      <c r="G115" s="37"/>
      <c r="H115" s="87"/>
      <c r="I115" s="87">
        <v>46111</v>
      </c>
      <c r="J115" s="37" t="s">
        <v>4</v>
      </c>
      <c r="K115" s="38">
        <f>F115-G115</f>
        <v>2</v>
      </c>
      <c r="L115" s="39">
        <f>IF(F115=0,"",G115/F115)</f>
        <v>0</v>
      </c>
      <c r="M115" s="40">
        <f ca="1">I115-TODAY()</f>
        <v>4</v>
      </c>
      <c r="N115">
        <f>_xlfn.ISOWEEKNUM(I115)</f>
        <v>14</v>
      </c>
      <c r="O115" t="str">
        <f>IF(ISNUMBER(SEARCH("Access Point",E115)),"AP",IF(OR(ISNUMBER(SEARCH("Switch",E115)),ISNUMBER(SEARCH("Control Type",E115))),"Switch","Infra"))</f>
        <v>Switch</v>
      </c>
    </row>
    <row r="116" spans="1:15" ht="14.25" customHeight="1">
      <c r="A116">
        <v>112</v>
      </c>
      <c r="B116" s="35" t="s">
        <v>20</v>
      </c>
      <c r="C116" s="37" t="s">
        <v>116</v>
      </c>
      <c r="D116" s="37" t="s">
        <v>145</v>
      </c>
      <c r="E116" s="37" t="s">
        <v>84</v>
      </c>
      <c r="F116" s="37">
        <v>2</v>
      </c>
      <c r="G116" s="37"/>
      <c r="H116" s="87"/>
      <c r="I116" s="87">
        <v>46111</v>
      </c>
      <c r="J116" s="37" t="s">
        <v>4</v>
      </c>
      <c r="K116" s="38">
        <f>F116-G116</f>
        <v>2</v>
      </c>
      <c r="L116" s="39">
        <f>IF(F116=0,"",G116/F116)</f>
        <v>0</v>
      </c>
      <c r="M116" s="40">
        <f ca="1">I116-TODAY()</f>
        <v>4</v>
      </c>
      <c r="N116">
        <f>_xlfn.ISOWEEKNUM(I116)</f>
        <v>14</v>
      </c>
      <c r="O116" t="str">
        <f>IF(ISNUMBER(SEARCH("Access Point",E116)),"AP",IF(OR(ISNUMBER(SEARCH("Switch",E116)),ISNUMBER(SEARCH("Control Type",E116))),"Switch","Infra"))</f>
        <v>Switch</v>
      </c>
    </row>
    <row r="117" spans="1:15" ht="14.25" customHeight="1">
      <c r="A117">
        <v>113</v>
      </c>
      <c r="B117" s="35" t="s">
        <v>20</v>
      </c>
      <c r="C117" s="37" t="s">
        <v>116</v>
      </c>
      <c r="D117" s="37" t="s">
        <v>145</v>
      </c>
      <c r="E117" s="37" t="s">
        <v>120</v>
      </c>
      <c r="F117" s="37">
        <v>1</v>
      </c>
      <c r="G117" s="37"/>
      <c r="H117" s="87"/>
      <c r="I117" s="87">
        <v>46111</v>
      </c>
      <c r="J117" s="37" t="s">
        <v>4</v>
      </c>
      <c r="K117" s="38">
        <f>F117-G117</f>
        <v>1</v>
      </c>
      <c r="L117" s="39">
        <f>IF(F117=0,"",G117/F117)</f>
        <v>0</v>
      </c>
      <c r="M117" s="40">
        <f ca="1">I117-TODAY()</f>
        <v>4</v>
      </c>
      <c r="N117">
        <f>_xlfn.ISOWEEKNUM(I117)</f>
        <v>14</v>
      </c>
      <c r="O117" t="str">
        <f>IF(ISNUMBER(SEARCH("Access Point",E117)),"AP",IF(OR(ISNUMBER(SEARCH("Switch",E117)),ISNUMBER(SEARCH("Control Type",E117))),"Switch","Infra"))</f>
        <v>Switch</v>
      </c>
    </row>
    <row r="118" spans="1:15" ht="14.25" customHeight="1">
      <c r="A118">
        <v>114</v>
      </c>
      <c r="B118" s="35" t="s">
        <v>20</v>
      </c>
      <c r="C118" s="37" t="s">
        <v>116</v>
      </c>
      <c r="D118" s="37" t="s">
        <v>146</v>
      </c>
      <c r="E118" s="37" t="s">
        <v>79</v>
      </c>
      <c r="F118" s="37">
        <v>1</v>
      </c>
      <c r="G118" s="37"/>
      <c r="H118" s="87"/>
      <c r="I118" s="87">
        <v>46112</v>
      </c>
      <c r="J118" s="37" t="s">
        <v>4</v>
      </c>
      <c r="K118" s="38">
        <f>F118-G118</f>
        <v>1</v>
      </c>
      <c r="L118" s="39">
        <f>IF(F118=0,"",G118/F118)</f>
        <v>0</v>
      </c>
      <c r="M118" s="40">
        <f ca="1">I118-TODAY()</f>
        <v>5</v>
      </c>
      <c r="N118">
        <f>_xlfn.ISOWEEKNUM(I118)</f>
        <v>14</v>
      </c>
      <c r="O118" t="str">
        <f>IF(ISNUMBER(SEARCH("Access Point",E118)),"AP",IF(OR(ISNUMBER(SEARCH("Switch",E118)),ISNUMBER(SEARCH("Control Type",E118))),"Switch","Infra"))</f>
        <v>Switch</v>
      </c>
    </row>
    <row r="119" spans="1:15" ht="14.25" customHeight="1">
      <c r="A119">
        <v>115</v>
      </c>
      <c r="B119" s="35" t="s">
        <v>20</v>
      </c>
      <c r="C119" s="37" t="s">
        <v>116</v>
      </c>
      <c r="D119" s="37" t="s">
        <v>146</v>
      </c>
      <c r="E119" s="37" t="s">
        <v>84</v>
      </c>
      <c r="F119" s="37">
        <v>1</v>
      </c>
      <c r="G119" s="37"/>
      <c r="H119" s="87"/>
      <c r="I119" s="87">
        <v>46112</v>
      </c>
      <c r="J119" s="37" t="s">
        <v>4</v>
      </c>
      <c r="K119" s="38">
        <f>F119-G119</f>
        <v>1</v>
      </c>
      <c r="L119" s="39">
        <f>IF(F119=0,"",G119/F119)</f>
        <v>0</v>
      </c>
      <c r="M119" s="40">
        <f ca="1">I119-TODAY()</f>
        <v>5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Switch</v>
      </c>
    </row>
    <row r="120" spans="1:15" ht="14.25" customHeight="1">
      <c r="A120">
        <v>116</v>
      </c>
      <c r="B120" s="35" t="s">
        <v>20</v>
      </c>
      <c r="C120" s="37" t="s">
        <v>116</v>
      </c>
      <c r="D120" s="37" t="s">
        <v>147</v>
      </c>
      <c r="E120" s="37" t="s">
        <v>79</v>
      </c>
      <c r="F120" s="37">
        <v>1</v>
      </c>
      <c r="G120" s="37"/>
      <c r="H120" s="87"/>
      <c r="I120" s="87">
        <v>46112</v>
      </c>
      <c r="J120" s="37" t="s">
        <v>4</v>
      </c>
      <c r="K120" s="38">
        <f>F120-G120</f>
        <v>1</v>
      </c>
      <c r="L120" s="39">
        <f>IF(F120=0,"",G120/F120)</f>
        <v>0</v>
      </c>
      <c r="M120" s="40">
        <f ca="1">I120-TODAY()</f>
        <v>5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5" ht="14.25" customHeight="1">
      <c r="A121">
        <v>117</v>
      </c>
      <c r="B121" s="35" t="s">
        <v>20</v>
      </c>
      <c r="C121" s="37" t="s">
        <v>116</v>
      </c>
      <c r="D121" s="37" t="s">
        <v>147</v>
      </c>
      <c r="E121" s="37" t="s">
        <v>84</v>
      </c>
      <c r="F121" s="37">
        <v>1</v>
      </c>
      <c r="G121" s="37"/>
      <c r="H121" s="87"/>
      <c r="I121" s="87">
        <v>46112</v>
      </c>
      <c r="J121" s="37" t="s">
        <v>4</v>
      </c>
      <c r="K121" s="38">
        <f>F121-G121</f>
        <v>1</v>
      </c>
      <c r="L121" s="39">
        <f>IF(F121=0,"",G121/F121)</f>
        <v>0</v>
      </c>
      <c r="M121" s="40">
        <f ca="1">I121-TODAY()</f>
        <v>5</v>
      </c>
      <c r="N121">
        <f>_xlfn.ISOWEEKNUM(I121)</f>
        <v>14</v>
      </c>
      <c r="O121" t="str">
        <f>IF(ISNUMBER(SEARCH("Access Point",E121)),"AP",IF(OR(ISNUMBER(SEARCH("Switch",E121)),ISNUMBER(SEARCH("Control Type",E121))),"Switch","Infra"))</f>
        <v>Switch</v>
      </c>
    </row>
    <row r="122" spans="1:15" ht="14.25" customHeight="1">
      <c r="A122">
        <v>118</v>
      </c>
      <c r="B122" s="35" t="s">
        <v>20</v>
      </c>
      <c r="C122" s="37" t="s">
        <v>116</v>
      </c>
      <c r="D122" s="37" t="s">
        <v>148</v>
      </c>
      <c r="E122" s="37" t="s">
        <v>79</v>
      </c>
      <c r="F122" s="37">
        <v>1</v>
      </c>
      <c r="G122" s="37"/>
      <c r="H122" s="87"/>
      <c r="I122" s="87">
        <v>46112</v>
      </c>
      <c r="J122" s="37" t="s">
        <v>4</v>
      </c>
      <c r="K122" s="38">
        <f>F122-G122</f>
        <v>1</v>
      </c>
      <c r="L122" s="39">
        <f>IF(F122=0,"",G122/F122)</f>
        <v>0</v>
      </c>
      <c r="M122" s="40">
        <f ca="1">I122-TODAY()</f>
        <v>5</v>
      </c>
      <c r="N122">
        <f>_xlfn.ISOWEEKNUM(I122)</f>
        <v>14</v>
      </c>
      <c r="O122" t="str">
        <f>IF(ISNUMBER(SEARCH("Access Point",E122)),"AP",IF(OR(ISNUMBER(SEARCH("Switch",E122)),ISNUMBER(SEARCH("Control Type",E122))),"Switch","Infra"))</f>
        <v>Switch</v>
      </c>
    </row>
    <row r="123" spans="1:15" ht="14.25" customHeight="1">
      <c r="A123">
        <v>119</v>
      </c>
      <c r="B123" s="35" t="s">
        <v>20</v>
      </c>
      <c r="C123" s="37" t="s">
        <v>116</v>
      </c>
      <c r="D123" s="37" t="s">
        <v>149</v>
      </c>
      <c r="E123" s="37" t="s">
        <v>79</v>
      </c>
      <c r="F123" s="37">
        <v>1</v>
      </c>
      <c r="G123" s="37"/>
      <c r="H123" s="87"/>
      <c r="I123" s="87">
        <v>46112</v>
      </c>
      <c r="J123" s="37" t="s">
        <v>4</v>
      </c>
      <c r="K123" s="38">
        <f>F123-G123</f>
        <v>1</v>
      </c>
      <c r="L123" s="39">
        <f>IF(F123=0,"",G123/F123)</f>
        <v>0</v>
      </c>
      <c r="M123" s="40">
        <f ca="1">I123-TODAY()</f>
        <v>5</v>
      </c>
      <c r="N123">
        <f>_xlfn.ISOWEEKNUM(I123)</f>
        <v>14</v>
      </c>
      <c r="O123" t="str">
        <f>IF(ISNUMBER(SEARCH("Access Point",E123)),"AP",IF(OR(ISNUMBER(SEARCH("Switch",E123)),ISNUMBER(SEARCH("Control Type",E123))),"Switch","Infra"))</f>
        <v>Switch</v>
      </c>
    </row>
    <row r="124" spans="1:15" ht="14.25" customHeight="1">
      <c r="A124">
        <v>120</v>
      </c>
      <c r="B124" s="35" t="s">
        <v>20</v>
      </c>
      <c r="C124" s="37" t="s">
        <v>116</v>
      </c>
      <c r="D124" s="37" t="s">
        <v>150</v>
      </c>
      <c r="E124" s="37" t="s">
        <v>79</v>
      </c>
      <c r="F124" s="37">
        <v>1</v>
      </c>
      <c r="G124" s="37"/>
      <c r="H124" s="87"/>
      <c r="I124" s="87">
        <v>46112</v>
      </c>
      <c r="J124" s="37" t="s">
        <v>4</v>
      </c>
      <c r="K124" s="38">
        <f>F124-G124</f>
        <v>1</v>
      </c>
      <c r="L124" s="39">
        <f>IF(F124=0,"",G124/F124)</f>
        <v>0</v>
      </c>
      <c r="M124" s="40">
        <f ca="1">I124-TODAY()</f>
        <v>5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5" ht="14.25" customHeight="1">
      <c r="A125">
        <v>121</v>
      </c>
      <c r="B125" s="35" t="s">
        <v>20</v>
      </c>
      <c r="C125" s="37" t="s">
        <v>116</v>
      </c>
      <c r="D125" s="37" t="s">
        <v>151</v>
      </c>
      <c r="E125" s="37" t="s">
        <v>79</v>
      </c>
      <c r="F125" s="37">
        <v>1</v>
      </c>
      <c r="G125" s="37"/>
      <c r="H125" s="87"/>
      <c r="I125" s="87">
        <v>46112</v>
      </c>
      <c r="J125" s="37" t="s">
        <v>4</v>
      </c>
      <c r="K125" s="38">
        <f>F125-G125</f>
        <v>1</v>
      </c>
      <c r="L125" s="39">
        <f>IF(F125=0,"",G125/F125)</f>
        <v>0</v>
      </c>
      <c r="M125" s="40">
        <f ca="1">I125-TODAY()</f>
        <v>5</v>
      </c>
      <c r="N125">
        <f>_xlfn.ISOWEEKNUM(I125)</f>
        <v>14</v>
      </c>
      <c r="O125" t="str">
        <f>IF(ISNUMBER(SEARCH("Access Point",E125)),"AP",IF(OR(ISNUMBER(SEARCH("Switch",E125)),ISNUMBER(SEARCH("Control Type",E125))),"Switch","Infra"))</f>
        <v>Switch</v>
      </c>
    </row>
    <row r="126" spans="1:15" ht="14.25" customHeight="1">
      <c r="A126">
        <v>122</v>
      </c>
      <c r="B126" s="35" t="s">
        <v>20</v>
      </c>
      <c r="C126" s="37" t="s">
        <v>116</v>
      </c>
      <c r="D126" s="37" t="s">
        <v>152</v>
      </c>
      <c r="E126" s="37" t="s">
        <v>79</v>
      </c>
      <c r="F126" s="37">
        <v>1</v>
      </c>
      <c r="G126" s="37"/>
      <c r="H126" s="87"/>
      <c r="I126" s="87">
        <v>46112</v>
      </c>
      <c r="J126" s="37" t="s">
        <v>4</v>
      </c>
      <c r="K126" s="38">
        <f>F126-G126</f>
        <v>1</v>
      </c>
      <c r="L126" s="39">
        <f>IF(F126=0,"",G126/F126)</f>
        <v>0</v>
      </c>
      <c r="M126" s="40">
        <f ca="1">I126-TODAY()</f>
        <v>5</v>
      </c>
      <c r="N126">
        <f>_xlfn.ISOWEEKNUM(I126)</f>
        <v>14</v>
      </c>
      <c r="O126" t="str">
        <f>IF(ISNUMBER(SEARCH("Access Point",E126)),"AP",IF(OR(ISNUMBER(SEARCH("Switch",E126)),ISNUMBER(SEARCH("Control Type",E126))),"Switch","Infra"))</f>
        <v>Switch</v>
      </c>
    </row>
    <row r="127" spans="1:15" ht="14.25" customHeight="1">
      <c r="A127">
        <v>123</v>
      </c>
      <c r="B127" s="35" t="s">
        <v>20</v>
      </c>
      <c r="C127" s="37" t="s">
        <v>153</v>
      </c>
      <c r="D127" s="37" t="s">
        <v>154</v>
      </c>
      <c r="E127" s="37" t="s">
        <v>79</v>
      </c>
      <c r="F127" s="37">
        <v>2</v>
      </c>
      <c r="G127" s="37">
        <v>2</v>
      </c>
      <c r="H127" s="87">
        <v>46097</v>
      </c>
      <c r="I127" s="87">
        <v>46097</v>
      </c>
      <c r="J127" s="37" t="s">
        <v>77</v>
      </c>
      <c r="K127" s="38">
        <f>F127-G127</f>
        <v>0</v>
      </c>
      <c r="L127" s="39">
        <f>IF(F127=0,"",G127/F127)</f>
        <v>1</v>
      </c>
      <c r="M127" s="40">
        <f ca="1">I127-TODAY()</f>
        <v>-10</v>
      </c>
      <c r="N127">
        <f>_xlfn.ISOWEEKNUM(I127)</f>
        <v>12</v>
      </c>
      <c r="O127" t="str">
        <f>IF(ISNUMBER(SEARCH("Access Point",E127)),"AP",IF(OR(ISNUMBER(SEARCH("Switch",E127)),ISNUMBER(SEARCH("Control Type",E127))),"Switch","Infra"))</f>
        <v>Switch</v>
      </c>
    </row>
    <row r="128" spans="1:15" ht="14.25" customHeight="1">
      <c r="A128">
        <v>124</v>
      </c>
      <c r="B128" s="35" t="s">
        <v>20</v>
      </c>
      <c r="C128" s="37" t="s">
        <v>153</v>
      </c>
      <c r="D128" s="37" t="s">
        <v>154</v>
      </c>
      <c r="E128" s="37" t="s">
        <v>84</v>
      </c>
      <c r="F128" s="37">
        <v>1</v>
      </c>
      <c r="G128" s="37">
        <v>1</v>
      </c>
      <c r="H128" s="87">
        <v>46097</v>
      </c>
      <c r="I128" s="87">
        <v>46097</v>
      </c>
      <c r="J128" s="37" t="s">
        <v>77</v>
      </c>
      <c r="K128" s="38">
        <f>F128-G128</f>
        <v>0</v>
      </c>
      <c r="L128" s="39">
        <f>IF(F128=0,"",G128/F128)</f>
        <v>1</v>
      </c>
      <c r="M128" s="40">
        <f ca="1">I128-TODAY()</f>
        <v>-10</v>
      </c>
      <c r="N128">
        <f>_xlfn.ISOWEEKNUM(I128)</f>
        <v>12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125</v>
      </c>
      <c r="B129" s="35" t="s">
        <v>20</v>
      </c>
      <c r="C129" s="37" t="s">
        <v>153</v>
      </c>
      <c r="D129" s="37" t="s">
        <v>154</v>
      </c>
      <c r="E129" s="37" t="s">
        <v>120</v>
      </c>
      <c r="F129" s="37">
        <v>1</v>
      </c>
      <c r="G129" s="37">
        <v>1</v>
      </c>
      <c r="H129" s="87">
        <v>46087</v>
      </c>
      <c r="I129" s="87">
        <v>46087</v>
      </c>
      <c r="J129" s="37" t="s">
        <v>77</v>
      </c>
      <c r="K129" s="38">
        <f>F129-G129</f>
        <v>0</v>
      </c>
      <c r="L129" s="39">
        <f>IF(F129=0,"",G129/F129)</f>
        <v>1</v>
      </c>
      <c r="M129" s="40">
        <f ca="1">I129-TODAY()</f>
        <v>-20</v>
      </c>
      <c r="N129">
        <f>_xlfn.ISOWEEKNUM(I129)</f>
        <v>10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126</v>
      </c>
      <c r="B130" s="35" t="s">
        <v>20</v>
      </c>
      <c r="C130" s="37" t="s">
        <v>153</v>
      </c>
      <c r="D130" s="37" t="s">
        <v>155</v>
      </c>
      <c r="E130" s="37" t="s">
        <v>79</v>
      </c>
      <c r="F130" s="37">
        <v>1</v>
      </c>
      <c r="G130" s="37">
        <v>2</v>
      </c>
      <c r="H130" s="87">
        <v>46097</v>
      </c>
      <c r="I130" s="87">
        <v>46097</v>
      </c>
      <c r="J130" s="37" t="s">
        <v>77</v>
      </c>
      <c r="K130" s="38">
        <f>F130-G130</f>
        <v>-1</v>
      </c>
      <c r="L130" s="39">
        <f>IF(F130=0,"",G130/F130)</f>
        <v>2</v>
      </c>
      <c r="M130" s="40">
        <f ca="1">I130-TODAY()</f>
        <v>-10</v>
      </c>
      <c r="N130">
        <f>_xlfn.ISOWEEKNUM(I130)</f>
        <v>12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customHeight="1">
      <c r="A131">
        <v>127</v>
      </c>
      <c r="B131" s="35" t="s">
        <v>20</v>
      </c>
      <c r="C131" s="37" t="s">
        <v>153</v>
      </c>
      <c r="D131" s="37" t="s">
        <v>155</v>
      </c>
      <c r="E131" s="37" t="s">
        <v>84</v>
      </c>
      <c r="F131" s="37">
        <v>1</v>
      </c>
      <c r="G131" s="37">
        <v>2</v>
      </c>
      <c r="H131" s="87">
        <v>46097</v>
      </c>
      <c r="I131" s="87">
        <v>46097</v>
      </c>
      <c r="J131" s="37" t="s">
        <v>77</v>
      </c>
      <c r="K131" s="38">
        <f>F131-G131</f>
        <v>-1</v>
      </c>
      <c r="L131" s="39">
        <f>IF(F131=0,"",G131/F131)</f>
        <v>2</v>
      </c>
      <c r="M131" s="40">
        <f ca="1">I131-TODAY()</f>
        <v>-10</v>
      </c>
      <c r="N131">
        <f>_xlfn.ISOWEEKNUM(I131)</f>
        <v>12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128</v>
      </c>
      <c r="B132" s="35" t="s">
        <v>20</v>
      </c>
      <c r="C132" s="37" t="s">
        <v>153</v>
      </c>
      <c r="D132" s="37" t="s">
        <v>155</v>
      </c>
      <c r="E132" s="37" t="s">
        <v>120</v>
      </c>
      <c r="F132" s="37">
        <v>1</v>
      </c>
      <c r="G132" s="37">
        <v>1</v>
      </c>
      <c r="H132" s="87">
        <v>46087</v>
      </c>
      <c r="I132" s="87">
        <v>46087</v>
      </c>
      <c r="J132" s="37" t="s">
        <v>77</v>
      </c>
      <c r="K132" s="38">
        <f>F132-G132</f>
        <v>0</v>
      </c>
      <c r="L132" s="39">
        <f>IF(F132=0,"",G132/F132)</f>
        <v>1</v>
      </c>
      <c r="M132" s="40">
        <f ca="1">I132-TODAY()</f>
        <v>-20</v>
      </c>
      <c r="N132">
        <f>_xlfn.ISOWEEKNUM(I132)</f>
        <v>10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129</v>
      </c>
      <c r="B133" s="35" t="s">
        <v>20</v>
      </c>
      <c r="C133" s="37" t="s">
        <v>153</v>
      </c>
      <c r="D133" s="37" t="s">
        <v>156</v>
      </c>
      <c r="E133" s="37" t="s">
        <v>79</v>
      </c>
      <c r="F133" s="37">
        <v>1</v>
      </c>
      <c r="G133" s="37">
        <v>1</v>
      </c>
      <c r="H133" s="87">
        <v>46091</v>
      </c>
      <c r="I133" s="87">
        <v>46091</v>
      </c>
      <c r="J133" s="37" t="s">
        <v>77</v>
      </c>
      <c r="K133" s="38">
        <f>F133-G133</f>
        <v>0</v>
      </c>
      <c r="L133" s="39">
        <f>IF(F133=0,"",G133/F133)</f>
        <v>1</v>
      </c>
      <c r="M133" s="40">
        <f ca="1">I133-TODAY()</f>
        <v>-16</v>
      </c>
      <c r="N133">
        <f>_xlfn.ISOWEEKNUM(I133)</f>
        <v>11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130</v>
      </c>
      <c r="B134" s="35" t="s">
        <v>20</v>
      </c>
      <c r="C134" s="37" t="s">
        <v>153</v>
      </c>
      <c r="D134" s="37" t="s">
        <v>157</v>
      </c>
      <c r="E134" s="37" t="s">
        <v>79</v>
      </c>
      <c r="F134" s="37">
        <v>1</v>
      </c>
      <c r="G134" s="37">
        <v>1</v>
      </c>
      <c r="H134" s="87">
        <v>46091</v>
      </c>
      <c r="I134" s="87">
        <v>46091</v>
      </c>
      <c r="J134" s="37" t="s">
        <v>77</v>
      </c>
      <c r="K134" s="38">
        <f>F134-G134</f>
        <v>0</v>
      </c>
      <c r="L134" s="39">
        <f>IF(F134=0,"",G134/F134)</f>
        <v>1</v>
      </c>
      <c r="M134" s="40">
        <f ca="1">I134-TODAY()</f>
        <v>-16</v>
      </c>
      <c r="N134">
        <f>_xlfn.ISOWEEKNUM(I134)</f>
        <v>11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131</v>
      </c>
      <c r="B135" s="35" t="s">
        <v>20</v>
      </c>
      <c r="C135" s="37" t="s">
        <v>153</v>
      </c>
      <c r="D135" s="37" t="s">
        <v>157</v>
      </c>
      <c r="E135" s="37" t="s">
        <v>84</v>
      </c>
      <c r="F135" s="37">
        <v>1</v>
      </c>
      <c r="G135" s="37">
        <v>1</v>
      </c>
      <c r="H135" s="87">
        <v>46091</v>
      </c>
      <c r="I135" s="87">
        <v>46091</v>
      </c>
      <c r="J135" s="37" t="s">
        <v>77</v>
      </c>
      <c r="K135" s="38">
        <f>F135-G135</f>
        <v>0</v>
      </c>
      <c r="L135" s="39">
        <f>IF(F135=0,"",G135/F135)</f>
        <v>1</v>
      </c>
      <c r="M135" s="40">
        <f ca="1">I135-TODAY()</f>
        <v>-16</v>
      </c>
      <c r="N135">
        <f>_xlfn.ISOWEEKNUM(I135)</f>
        <v>11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132</v>
      </c>
      <c r="B136" s="35" t="s">
        <v>20</v>
      </c>
      <c r="C136" s="37" t="s">
        <v>153</v>
      </c>
      <c r="D136" s="37" t="s">
        <v>158</v>
      </c>
      <c r="E136" s="37" t="s">
        <v>79</v>
      </c>
      <c r="F136" s="37">
        <v>1</v>
      </c>
      <c r="G136" s="37">
        <v>1</v>
      </c>
      <c r="H136" s="87">
        <v>46093</v>
      </c>
      <c r="I136" s="87">
        <v>46093</v>
      </c>
      <c r="J136" s="37" t="s">
        <v>77</v>
      </c>
      <c r="K136" s="38">
        <f>F136-G136</f>
        <v>0</v>
      </c>
      <c r="L136" s="39">
        <f>IF(F136=0,"",G136/F136)</f>
        <v>1</v>
      </c>
      <c r="M136" s="40">
        <f ca="1">I136-TODAY()</f>
        <v>-14</v>
      </c>
      <c r="N136">
        <f>_xlfn.ISOWEEKNUM(I136)</f>
        <v>11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133</v>
      </c>
      <c r="B137" s="35" t="s">
        <v>20</v>
      </c>
      <c r="C137" s="37" t="s">
        <v>153</v>
      </c>
      <c r="D137" s="37" t="s">
        <v>158</v>
      </c>
      <c r="E137" s="37" t="s">
        <v>84</v>
      </c>
      <c r="F137" s="37">
        <v>1</v>
      </c>
      <c r="G137" s="37">
        <v>1</v>
      </c>
      <c r="H137" s="87">
        <v>46093</v>
      </c>
      <c r="I137" s="87">
        <v>46093</v>
      </c>
      <c r="J137" s="37" t="s">
        <v>77</v>
      </c>
      <c r="K137" s="38">
        <f>F137-G137</f>
        <v>0</v>
      </c>
      <c r="L137" s="39">
        <f>IF(F137=0,"",G137/F137)</f>
        <v>1</v>
      </c>
      <c r="M137" s="40">
        <f ca="1">I137-TODAY()</f>
        <v>-14</v>
      </c>
      <c r="N137">
        <f>_xlfn.ISOWEEKNUM(I137)</f>
        <v>11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134</v>
      </c>
      <c r="B138" s="35" t="s">
        <v>20</v>
      </c>
      <c r="C138" s="37" t="s">
        <v>153</v>
      </c>
      <c r="D138" s="37" t="s">
        <v>158</v>
      </c>
      <c r="E138" s="37" t="s">
        <v>118</v>
      </c>
      <c r="F138" s="37">
        <v>1</v>
      </c>
      <c r="G138" s="37">
        <v>1</v>
      </c>
      <c r="H138" s="87">
        <v>46087</v>
      </c>
      <c r="I138" s="87">
        <v>46087</v>
      </c>
      <c r="J138" s="37" t="s">
        <v>77</v>
      </c>
      <c r="K138" s="38">
        <f>F138-G138</f>
        <v>0</v>
      </c>
      <c r="L138" s="39">
        <f>IF(F138=0,"",G138/F138)</f>
        <v>1</v>
      </c>
      <c r="M138" s="40">
        <f ca="1">I138-TODAY()</f>
        <v>-20</v>
      </c>
      <c r="N138">
        <f>_xlfn.ISOWEEKNUM(I138)</f>
        <v>10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135</v>
      </c>
      <c r="B139" s="35" t="s">
        <v>20</v>
      </c>
      <c r="C139" s="37" t="s">
        <v>153</v>
      </c>
      <c r="D139" s="37" t="s">
        <v>159</v>
      </c>
      <c r="E139" s="37" t="s">
        <v>79</v>
      </c>
      <c r="F139" s="37">
        <v>1</v>
      </c>
      <c r="G139" s="37">
        <v>1</v>
      </c>
      <c r="H139" s="87">
        <v>46093</v>
      </c>
      <c r="I139" s="87">
        <v>46093</v>
      </c>
      <c r="J139" s="37" t="s">
        <v>77</v>
      </c>
      <c r="K139" s="38">
        <f>F139-G139</f>
        <v>0</v>
      </c>
      <c r="L139" s="39">
        <f>IF(F139=0,"",G139/F139)</f>
        <v>1</v>
      </c>
      <c r="M139" s="40">
        <f ca="1">I139-TODAY()</f>
        <v>-14</v>
      </c>
      <c r="N139">
        <f>_xlfn.ISOWEEKNUM(I139)</f>
        <v>11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customHeight="1">
      <c r="A140">
        <v>136</v>
      </c>
      <c r="B140" s="35" t="s">
        <v>20</v>
      </c>
      <c r="C140" s="37" t="s">
        <v>153</v>
      </c>
      <c r="D140" s="37" t="s">
        <v>159</v>
      </c>
      <c r="E140" s="37" t="s">
        <v>84</v>
      </c>
      <c r="F140" s="37">
        <v>1</v>
      </c>
      <c r="G140" s="37">
        <v>1</v>
      </c>
      <c r="H140" s="87">
        <v>46093</v>
      </c>
      <c r="I140" s="87">
        <v>46093</v>
      </c>
      <c r="J140" s="37" t="s">
        <v>77</v>
      </c>
      <c r="K140" s="38">
        <f>F140-G140</f>
        <v>0</v>
      </c>
      <c r="L140" s="39">
        <f>IF(F140=0,"",G140/F140)</f>
        <v>1</v>
      </c>
      <c r="M140" s="40">
        <f ca="1">I140-TODAY()</f>
        <v>-14</v>
      </c>
      <c r="N140">
        <f>_xlfn.ISOWEEKNUM(I140)</f>
        <v>11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137</v>
      </c>
      <c r="B141" s="35" t="s">
        <v>20</v>
      </c>
      <c r="C141" s="37" t="s">
        <v>153</v>
      </c>
      <c r="D141" s="37" t="s">
        <v>159</v>
      </c>
      <c r="E141" s="37" t="s">
        <v>120</v>
      </c>
      <c r="F141" s="37">
        <v>1</v>
      </c>
      <c r="G141" s="37">
        <v>1</v>
      </c>
      <c r="H141" s="87">
        <v>46087</v>
      </c>
      <c r="I141" s="87">
        <v>46087</v>
      </c>
      <c r="J141" s="37" t="s">
        <v>77</v>
      </c>
      <c r="K141" s="38">
        <f>F141-G141</f>
        <v>0</v>
      </c>
      <c r="L141" s="39">
        <f>IF(F141=0,"",G141/F141)</f>
        <v>1</v>
      </c>
      <c r="M141" s="40">
        <f ca="1">I141-TODAY()</f>
        <v>-20</v>
      </c>
      <c r="N141">
        <f>_xlfn.ISOWEEKNUM(I141)</f>
        <v>10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138</v>
      </c>
      <c r="B142" s="35" t="s">
        <v>20</v>
      </c>
      <c r="C142" s="37" t="s">
        <v>153</v>
      </c>
      <c r="D142" s="37" t="s">
        <v>160</v>
      </c>
      <c r="E142" s="37" t="s">
        <v>79</v>
      </c>
      <c r="F142" s="37">
        <v>1</v>
      </c>
      <c r="G142" s="37">
        <v>1</v>
      </c>
      <c r="H142" s="87">
        <v>46092</v>
      </c>
      <c r="I142" s="87">
        <v>46092</v>
      </c>
      <c r="J142" s="37" t="s">
        <v>77</v>
      </c>
      <c r="K142" s="38">
        <f>F142-G142</f>
        <v>0</v>
      </c>
      <c r="L142" s="39">
        <f>IF(F142=0,"",G142/F142)</f>
        <v>1</v>
      </c>
      <c r="M142" s="40">
        <f ca="1">I142-TODAY()</f>
        <v>-15</v>
      </c>
      <c r="N142">
        <f>_xlfn.ISOWEEKNUM(I142)</f>
        <v>11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customHeight="1">
      <c r="A143">
        <v>139</v>
      </c>
      <c r="B143" s="35" t="s">
        <v>20</v>
      </c>
      <c r="C143" s="37" t="s">
        <v>153</v>
      </c>
      <c r="D143" s="37" t="s">
        <v>161</v>
      </c>
      <c r="E143" s="37" t="s">
        <v>79</v>
      </c>
      <c r="F143" s="37">
        <v>1</v>
      </c>
      <c r="G143" s="37">
        <v>1</v>
      </c>
      <c r="H143" s="87">
        <v>46092</v>
      </c>
      <c r="I143" s="87">
        <v>46092</v>
      </c>
      <c r="J143" s="37" t="s">
        <v>77</v>
      </c>
      <c r="K143" s="38">
        <f>F143-G143</f>
        <v>0</v>
      </c>
      <c r="L143" s="39">
        <f>IF(F143=0,"",G143/F143)</f>
        <v>1</v>
      </c>
      <c r="M143" s="40">
        <f ca="1">I143-TODAY()</f>
        <v>-15</v>
      </c>
      <c r="N143">
        <f>_xlfn.ISOWEEKNUM(I143)</f>
        <v>11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140</v>
      </c>
      <c r="B144" s="35" t="s">
        <v>20</v>
      </c>
      <c r="C144" s="37" t="s">
        <v>153</v>
      </c>
      <c r="D144" s="37" t="s">
        <v>162</v>
      </c>
      <c r="E144" s="37" t="s">
        <v>79</v>
      </c>
      <c r="F144" s="37">
        <v>1</v>
      </c>
      <c r="G144" s="37">
        <v>1</v>
      </c>
      <c r="H144" s="87">
        <v>46093</v>
      </c>
      <c r="I144" s="87">
        <v>46093</v>
      </c>
      <c r="J144" s="37" t="s">
        <v>77</v>
      </c>
      <c r="K144" s="38">
        <f>F144-G144</f>
        <v>0</v>
      </c>
      <c r="L144" s="39">
        <f>IF(F144=0,"",G144/F144)</f>
        <v>1</v>
      </c>
      <c r="M144" s="40">
        <f ca="1">I144-TODAY()</f>
        <v>-14</v>
      </c>
      <c r="N144">
        <f>_xlfn.ISOWEEKNUM(I144)</f>
        <v>11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customHeight="1">
      <c r="A145">
        <v>141</v>
      </c>
      <c r="B145" s="35" t="s">
        <v>20</v>
      </c>
      <c r="C145" s="37" t="s">
        <v>153</v>
      </c>
      <c r="D145" s="37" t="s">
        <v>162</v>
      </c>
      <c r="E145" s="37" t="s">
        <v>84</v>
      </c>
      <c r="F145" s="37">
        <v>1</v>
      </c>
      <c r="G145" s="37">
        <v>1</v>
      </c>
      <c r="H145" s="87">
        <v>46093</v>
      </c>
      <c r="I145" s="87">
        <v>46093</v>
      </c>
      <c r="J145" s="37" t="s">
        <v>77</v>
      </c>
      <c r="K145" s="38">
        <f>F145-G145</f>
        <v>0</v>
      </c>
      <c r="L145" s="39">
        <f>IF(F145=0,"",G145/F145)</f>
        <v>1</v>
      </c>
      <c r="M145" s="40">
        <f ca="1">I145-TODAY()</f>
        <v>-14</v>
      </c>
      <c r="N145">
        <f>_xlfn.ISOWEEKNUM(I145)</f>
        <v>11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customHeight="1">
      <c r="A146">
        <v>142</v>
      </c>
      <c r="B146" s="35" t="s">
        <v>20</v>
      </c>
      <c r="C146" s="37" t="s">
        <v>153</v>
      </c>
      <c r="D146" s="37" t="s">
        <v>162</v>
      </c>
      <c r="E146" s="37" t="s">
        <v>120</v>
      </c>
      <c r="F146" s="37">
        <v>1</v>
      </c>
      <c r="G146" s="37">
        <v>1</v>
      </c>
      <c r="H146" s="87">
        <v>46087</v>
      </c>
      <c r="I146" s="87">
        <v>46087</v>
      </c>
      <c r="J146" s="37" t="s">
        <v>77</v>
      </c>
      <c r="K146" s="38">
        <f>F146-G146</f>
        <v>0</v>
      </c>
      <c r="L146" s="39">
        <f>IF(F146=0,"",G146/F146)</f>
        <v>1</v>
      </c>
      <c r="M146" s="40">
        <f ca="1">I146-TODAY()</f>
        <v>-20</v>
      </c>
      <c r="N146">
        <f>_xlfn.ISOWEEKNUM(I146)</f>
        <v>10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customHeight="1">
      <c r="A147">
        <v>143</v>
      </c>
      <c r="B147" s="35" t="s">
        <v>20</v>
      </c>
      <c r="C147" s="37" t="s">
        <v>153</v>
      </c>
      <c r="D147" s="37" t="s">
        <v>163</v>
      </c>
      <c r="E147" s="37" t="s">
        <v>79</v>
      </c>
      <c r="F147" s="37">
        <v>1</v>
      </c>
      <c r="G147" s="37">
        <v>1</v>
      </c>
      <c r="H147" s="87">
        <v>46093</v>
      </c>
      <c r="I147" s="87">
        <v>46093</v>
      </c>
      <c r="J147" s="37" t="s">
        <v>77</v>
      </c>
      <c r="K147" s="38">
        <f>F147-G147</f>
        <v>0</v>
      </c>
      <c r="L147" s="39">
        <f>IF(F147=0,"",G147/F147)</f>
        <v>1</v>
      </c>
      <c r="M147" s="40">
        <f ca="1">I147-TODAY()</f>
        <v>-14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customHeight="1">
      <c r="A148">
        <v>144</v>
      </c>
      <c r="B148" s="35" t="s">
        <v>20</v>
      </c>
      <c r="C148" s="37" t="s">
        <v>153</v>
      </c>
      <c r="D148" s="37" t="s">
        <v>163</v>
      </c>
      <c r="E148" s="37" t="s">
        <v>84</v>
      </c>
      <c r="F148" s="37">
        <v>1</v>
      </c>
      <c r="G148" s="37">
        <v>1</v>
      </c>
      <c r="H148" s="87">
        <v>46093</v>
      </c>
      <c r="I148" s="87">
        <v>46093</v>
      </c>
      <c r="J148" s="37" t="s">
        <v>77</v>
      </c>
      <c r="K148" s="38">
        <f>F148-G148</f>
        <v>0</v>
      </c>
      <c r="L148" s="39">
        <f>IF(F148=0,"",G148/F148)</f>
        <v>1</v>
      </c>
      <c r="M148" s="40">
        <f ca="1">I148-TODAY()</f>
        <v>-14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customHeight="1">
      <c r="A149">
        <v>145</v>
      </c>
      <c r="B149" s="35" t="s">
        <v>20</v>
      </c>
      <c r="C149" s="37" t="s">
        <v>153</v>
      </c>
      <c r="D149" s="37" t="s">
        <v>164</v>
      </c>
      <c r="E149" s="37" t="s">
        <v>79</v>
      </c>
      <c r="F149" s="37">
        <v>2</v>
      </c>
      <c r="G149" s="37"/>
      <c r="H149" s="87"/>
      <c r="I149" s="87">
        <v>46129</v>
      </c>
      <c r="J149" s="37" t="s">
        <v>4</v>
      </c>
      <c r="K149" s="38">
        <f>F149-G149</f>
        <v>2</v>
      </c>
      <c r="L149" s="39">
        <f>IF(F149=0,"",G149/F149)</f>
        <v>0</v>
      </c>
      <c r="M149" s="40">
        <f ca="1">I149-TODAY()</f>
        <v>22</v>
      </c>
      <c r="N149">
        <f>_xlfn.ISOWEEKNUM(I149)</f>
        <v>16</v>
      </c>
      <c r="O149" t="str">
        <f>IF(ISNUMBER(SEARCH("Access Point",E149)),"AP",IF(OR(ISNUMBER(SEARCH("Switch",E149)),ISNUMBER(SEARCH("Control Type",E149))),"Switch","Infra"))</f>
        <v>Switch</v>
      </c>
      <c r="P149" t="s">
        <v>165</v>
      </c>
    </row>
    <row r="150" spans="1:16" ht="14.25" customHeight="1">
      <c r="A150">
        <v>146</v>
      </c>
      <c r="B150" s="35" t="s">
        <v>20</v>
      </c>
      <c r="C150" s="37" t="s">
        <v>153</v>
      </c>
      <c r="D150" s="37" t="s">
        <v>164</v>
      </c>
      <c r="E150" s="37" t="s">
        <v>84</v>
      </c>
      <c r="F150" s="37">
        <v>1</v>
      </c>
      <c r="G150" s="37"/>
      <c r="H150" s="87"/>
      <c r="I150" s="87">
        <v>46129</v>
      </c>
      <c r="J150" s="37" t="s">
        <v>4</v>
      </c>
      <c r="K150" s="38">
        <f>F150-G150</f>
        <v>1</v>
      </c>
      <c r="L150" s="39">
        <f>IF(F150=0,"",G150/F150)</f>
        <v>0</v>
      </c>
      <c r="M150" s="40">
        <f ca="1">I150-TODAY()</f>
        <v>22</v>
      </c>
      <c r="N150">
        <f>_xlfn.ISOWEEKNUM(I150)</f>
        <v>16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customHeight="1">
      <c r="A151">
        <v>147</v>
      </c>
      <c r="B151" s="35" t="s">
        <v>20</v>
      </c>
      <c r="C151" s="37" t="s">
        <v>153</v>
      </c>
      <c r="D151" s="37" t="s">
        <v>166</v>
      </c>
      <c r="E151" s="37" t="s">
        <v>79</v>
      </c>
      <c r="F151" s="37">
        <v>1</v>
      </c>
      <c r="G151" s="37">
        <v>1</v>
      </c>
      <c r="H151" s="87">
        <v>46092</v>
      </c>
      <c r="I151" s="87">
        <v>46092</v>
      </c>
      <c r="J151" s="37" t="s">
        <v>77</v>
      </c>
      <c r="K151" s="38">
        <f>F151-G151</f>
        <v>0</v>
      </c>
      <c r="L151" s="39">
        <f>IF(F151=0,"",G151/F151)</f>
        <v>1</v>
      </c>
      <c r="M151" s="40">
        <f ca="1">I151-TODAY()</f>
        <v>-15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customHeight="1">
      <c r="A152">
        <v>148</v>
      </c>
      <c r="B152" s="35" t="s">
        <v>20</v>
      </c>
      <c r="C152" s="37" t="s">
        <v>153</v>
      </c>
      <c r="D152" s="37" t="s">
        <v>166</v>
      </c>
      <c r="E152" s="37" t="s">
        <v>84</v>
      </c>
      <c r="F152" s="37">
        <v>1</v>
      </c>
      <c r="G152" s="37">
        <v>1</v>
      </c>
      <c r="H152" s="87">
        <v>46092</v>
      </c>
      <c r="I152" s="87">
        <v>46092</v>
      </c>
      <c r="J152" s="37" t="s">
        <v>77</v>
      </c>
      <c r="K152" s="38">
        <f>F152-G152</f>
        <v>0</v>
      </c>
      <c r="L152" s="39">
        <f>IF(F152=0,"",G152/F152)</f>
        <v>1</v>
      </c>
      <c r="M152" s="40">
        <f ca="1">I152-TODAY()</f>
        <v>-15</v>
      </c>
      <c r="N152">
        <f>_xlfn.ISOWEEKNUM(I152)</f>
        <v>11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customHeight="1">
      <c r="A153">
        <v>149</v>
      </c>
      <c r="B153" s="35" t="s">
        <v>20</v>
      </c>
      <c r="C153" s="37" t="s">
        <v>153</v>
      </c>
      <c r="D153" s="37" t="s">
        <v>167</v>
      </c>
      <c r="E153" s="37" t="s">
        <v>79</v>
      </c>
      <c r="F153" s="37">
        <v>1</v>
      </c>
      <c r="G153" s="37">
        <v>1</v>
      </c>
      <c r="H153" s="87">
        <v>46092</v>
      </c>
      <c r="I153" s="87">
        <v>46092</v>
      </c>
      <c r="J153" s="37" t="s">
        <v>77</v>
      </c>
      <c r="K153" s="38">
        <f>F153-G153</f>
        <v>0</v>
      </c>
      <c r="L153" s="39">
        <f>IF(F153=0,"",G153/F153)</f>
        <v>1</v>
      </c>
      <c r="M153" s="40">
        <f ca="1">I153-TODAY()</f>
        <v>-15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customHeight="1">
      <c r="A154">
        <v>150</v>
      </c>
      <c r="B154" s="35" t="s">
        <v>20</v>
      </c>
      <c r="C154" s="37" t="s">
        <v>153</v>
      </c>
      <c r="D154" s="37" t="s">
        <v>167</v>
      </c>
      <c r="E154" s="37" t="s">
        <v>84</v>
      </c>
      <c r="F154" s="37">
        <v>1</v>
      </c>
      <c r="G154" s="37">
        <v>1</v>
      </c>
      <c r="H154" s="87">
        <v>46092</v>
      </c>
      <c r="I154" s="87">
        <v>46092</v>
      </c>
      <c r="J154" s="37" t="s">
        <v>77</v>
      </c>
      <c r="K154" s="38">
        <f>F154-G154</f>
        <v>0</v>
      </c>
      <c r="L154" s="39">
        <f>IF(F154=0,"",G154/F154)</f>
        <v>1</v>
      </c>
      <c r="M154" s="40">
        <f ca="1">I154-TODAY()</f>
        <v>-15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customHeight="1">
      <c r="A155">
        <v>151</v>
      </c>
      <c r="B155" s="35" t="s">
        <v>20</v>
      </c>
      <c r="C155" s="37" t="s">
        <v>153</v>
      </c>
      <c r="D155" s="37" t="s">
        <v>168</v>
      </c>
      <c r="E155" s="37" t="s">
        <v>79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77</v>
      </c>
      <c r="K155" s="38">
        <f>F155-G155</f>
        <v>0</v>
      </c>
      <c r="L155" s="39">
        <f>IF(F155=0,"",G155/F155)</f>
        <v>1</v>
      </c>
      <c r="M155" s="40">
        <f ca="1">I155-TODAY()</f>
        <v>-15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customHeight="1">
      <c r="A156">
        <v>152</v>
      </c>
      <c r="B156" s="35" t="s">
        <v>20</v>
      </c>
      <c r="C156" s="37" t="s">
        <v>153</v>
      </c>
      <c r="D156" s="37" t="s">
        <v>168</v>
      </c>
      <c r="E156" s="37" t="s">
        <v>84</v>
      </c>
      <c r="F156" s="37">
        <v>1</v>
      </c>
      <c r="G156" s="37">
        <v>1</v>
      </c>
      <c r="H156" s="87">
        <v>46092</v>
      </c>
      <c r="I156" s="87">
        <v>46092</v>
      </c>
      <c r="J156" s="37" t="s">
        <v>77</v>
      </c>
      <c r="K156" s="38">
        <f>F156-G156</f>
        <v>0</v>
      </c>
      <c r="L156" s="39">
        <f>IF(F156=0,"",G156/F156)</f>
        <v>1</v>
      </c>
      <c r="M156" s="40">
        <f ca="1">I156-TODAY()</f>
        <v>-15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customHeight="1">
      <c r="A157">
        <v>153</v>
      </c>
      <c r="B157" s="35" t="s">
        <v>20</v>
      </c>
      <c r="C157" s="37" t="s">
        <v>153</v>
      </c>
      <c r="D157" s="37" t="s">
        <v>169</v>
      </c>
      <c r="E157" s="37" t="s">
        <v>79</v>
      </c>
      <c r="F157" s="37">
        <v>1</v>
      </c>
      <c r="G157" s="37">
        <v>1</v>
      </c>
      <c r="H157" s="87">
        <v>46092</v>
      </c>
      <c r="I157" s="87">
        <v>46092</v>
      </c>
      <c r="J157" s="37" t="s">
        <v>77</v>
      </c>
      <c r="K157" s="38">
        <f>F157-G157</f>
        <v>0</v>
      </c>
      <c r="L157" s="39">
        <f>IF(F157=0,"",G157/F157)</f>
        <v>1</v>
      </c>
      <c r="M157" s="40">
        <f ca="1">I157-TODAY()</f>
        <v>-15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6" ht="14.25" customHeight="1">
      <c r="A158">
        <v>154</v>
      </c>
      <c r="B158" s="35" t="s">
        <v>20</v>
      </c>
      <c r="C158" s="37" t="s">
        <v>153</v>
      </c>
      <c r="D158" s="37" t="s">
        <v>169</v>
      </c>
      <c r="E158" s="37" t="s">
        <v>84</v>
      </c>
      <c r="F158" s="37">
        <v>1</v>
      </c>
      <c r="G158" s="37">
        <v>1</v>
      </c>
      <c r="H158" s="87">
        <v>46092</v>
      </c>
      <c r="I158" s="87">
        <v>46092</v>
      </c>
      <c r="J158" s="37" t="s">
        <v>77</v>
      </c>
      <c r="K158" s="38">
        <f>F158-G158</f>
        <v>0</v>
      </c>
      <c r="L158" s="39">
        <f>IF(F158=0,"",G158/F158)</f>
        <v>1</v>
      </c>
      <c r="M158" s="40">
        <f ca="1">I158-TODAY()</f>
        <v>-15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customHeight="1">
      <c r="A159">
        <v>155</v>
      </c>
      <c r="B159" s="35" t="s">
        <v>20</v>
      </c>
      <c r="C159" s="37" t="s">
        <v>153</v>
      </c>
      <c r="D159" s="37" t="s">
        <v>170</v>
      </c>
      <c r="E159" s="37" t="s">
        <v>79</v>
      </c>
      <c r="F159" s="37">
        <v>1</v>
      </c>
      <c r="G159" s="37">
        <v>1</v>
      </c>
      <c r="H159" s="87">
        <v>46092</v>
      </c>
      <c r="I159" s="87">
        <v>46092</v>
      </c>
      <c r="J159" s="37" t="s">
        <v>77</v>
      </c>
      <c r="K159" s="38">
        <f>F159-G159</f>
        <v>0</v>
      </c>
      <c r="L159" s="39">
        <f>IF(F159=0,"",G159/F159)</f>
        <v>1</v>
      </c>
      <c r="M159" s="40">
        <f ca="1">I159-TODAY()</f>
        <v>-15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customHeight="1">
      <c r="A160">
        <v>156</v>
      </c>
      <c r="B160" s="35" t="s">
        <v>20</v>
      </c>
      <c r="C160" s="37" t="s">
        <v>153</v>
      </c>
      <c r="D160" s="37" t="s">
        <v>170</v>
      </c>
      <c r="E160" s="37" t="s">
        <v>84</v>
      </c>
      <c r="F160" s="37">
        <v>1</v>
      </c>
      <c r="G160" s="37">
        <v>1</v>
      </c>
      <c r="H160" s="87">
        <v>46092</v>
      </c>
      <c r="I160" s="87">
        <v>46092</v>
      </c>
      <c r="J160" s="37" t="s">
        <v>77</v>
      </c>
      <c r="K160" s="38">
        <f>F160-G160</f>
        <v>0</v>
      </c>
      <c r="L160" s="39">
        <f>IF(F160=0,"",G160/F160)</f>
        <v>1</v>
      </c>
      <c r="M160" s="40">
        <f ca="1">I160-TODAY()</f>
        <v>-15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5" ht="14.25" customHeight="1">
      <c r="A161">
        <v>157</v>
      </c>
      <c r="B161" s="35" t="s">
        <v>20</v>
      </c>
      <c r="C161" s="37" t="s">
        <v>153</v>
      </c>
      <c r="D161" s="37" t="s">
        <v>171</v>
      </c>
      <c r="E161" s="37" t="s">
        <v>79</v>
      </c>
      <c r="F161" s="37">
        <v>1</v>
      </c>
      <c r="G161" s="37">
        <v>1</v>
      </c>
      <c r="H161" s="87">
        <v>46092</v>
      </c>
      <c r="I161" s="87">
        <v>46092</v>
      </c>
      <c r="J161" s="37" t="s">
        <v>77</v>
      </c>
      <c r="K161" s="38">
        <f>F161-G161</f>
        <v>0</v>
      </c>
      <c r="L161" s="39">
        <f>IF(F161=0,"",G161/F161)</f>
        <v>1</v>
      </c>
      <c r="M161" s="40">
        <f ca="1">I161-TODAY()</f>
        <v>-15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5" ht="15" customHeight="1">
      <c r="A162">
        <v>158</v>
      </c>
      <c r="B162" s="35" t="s">
        <v>20</v>
      </c>
      <c r="C162" s="37" t="s">
        <v>153</v>
      </c>
      <c r="D162" s="37" t="s">
        <v>171</v>
      </c>
      <c r="E162" s="37" t="s">
        <v>84</v>
      </c>
      <c r="F162" s="37">
        <v>1</v>
      </c>
      <c r="G162" s="37">
        <v>1</v>
      </c>
      <c r="H162" s="87">
        <v>46092</v>
      </c>
      <c r="I162" s="87">
        <v>46092</v>
      </c>
      <c r="J162" s="37" t="s">
        <v>77</v>
      </c>
      <c r="K162" s="38">
        <f>F162-G162</f>
        <v>0</v>
      </c>
      <c r="L162" s="39">
        <f>IF(F162=0,"",G162/F162)</f>
        <v>1</v>
      </c>
      <c r="M162" s="40">
        <f ca="1">I162-TODAY()</f>
        <v>-15</v>
      </c>
      <c r="N162">
        <f>_xlfn.ISOWEEKNUM(I162)</f>
        <v>11</v>
      </c>
      <c r="O162" t="str">
        <f>IF(ISNUMBER(SEARCH("Access Point",E162)),"AP",IF(OR(ISNUMBER(SEARCH("Switch",E162)),ISNUMBER(SEARCH("Control Type",E162))),"Switch","Infra"))</f>
        <v>Switch</v>
      </c>
    </row>
    <row r="163" spans="1:15" ht="14.25" customHeight="1">
      <c r="A163">
        <v>159</v>
      </c>
      <c r="B163" s="35" t="s">
        <v>20</v>
      </c>
      <c r="C163" s="37" t="s">
        <v>153</v>
      </c>
      <c r="D163" s="37" t="s">
        <v>172</v>
      </c>
      <c r="E163" s="37" t="s">
        <v>79</v>
      </c>
      <c r="F163" s="37">
        <v>1</v>
      </c>
      <c r="G163" s="37"/>
      <c r="H163" s="87"/>
      <c r="I163" s="87">
        <v>46129</v>
      </c>
      <c r="J163" s="37" t="s">
        <v>4</v>
      </c>
      <c r="K163" s="38">
        <f>F163-G163</f>
        <v>1</v>
      </c>
      <c r="L163" s="39">
        <f>IF(F163=0,"",G163/F163)</f>
        <v>0</v>
      </c>
      <c r="M163" s="40">
        <f ca="1">I163-TODAY()</f>
        <v>22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</row>
    <row r="164" spans="1:15" ht="14.25" customHeight="1">
      <c r="A164">
        <v>160</v>
      </c>
      <c r="B164" s="35" t="s">
        <v>20</v>
      </c>
      <c r="C164" s="37" t="s">
        <v>153</v>
      </c>
      <c r="D164" s="37" t="s">
        <v>173</v>
      </c>
      <c r="E164" s="37" t="s">
        <v>79</v>
      </c>
      <c r="F164" s="37">
        <v>1</v>
      </c>
      <c r="G164" s="37">
        <v>1</v>
      </c>
      <c r="H164" s="87">
        <v>46097</v>
      </c>
      <c r="I164" s="87">
        <v>46097</v>
      </c>
      <c r="J164" s="37" t="s">
        <v>77</v>
      </c>
      <c r="K164" s="38">
        <f>F164-G164</f>
        <v>0</v>
      </c>
      <c r="L164" s="39">
        <f>IF(F164=0,"",G164/F164)</f>
        <v>1</v>
      </c>
      <c r="M164" s="40">
        <f ca="1">I164-TODAY()</f>
        <v>-10</v>
      </c>
      <c r="N164">
        <f>_xlfn.ISOWEEKNUM(I164)</f>
        <v>12</v>
      </c>
      <c r="O164" t="str">
        <f>IF(ISNUMBER(SEARCH("Access Point",E164)),"AP",IF(OR(ISNUMBER(SEARCH("Switch",E164)),ISNUMBER(SEARCH("Control Type",E164))),"Switch","Infra"))</f>
        <v>Switch</v>
      </c>
    </row>
    <row r="165" spans="1:15" ht="14.25" customHeight="1">
      <c r="A165">
        <v>161</v>
      </c>
      <c r="B165" s="35" t="s">
        <v>20</v>
      </c>
      <c r="C165" s="37" t="s">
        <v>153</v>
      </c>
      <c r="D165" s="37" t="s">
        <v>173</v>
      </c>
      <c r="E165" s="37" t="s">
        <v>84</v>
      </c>
      <c r="F165" s="37">
        <v>1</v>
      </c>
      <c r="G165" s="37">
        <v>1</v>
      </c>
      <c r="H165" s="87">
        <v>46097</v>
      </c>
      <c r="I165" s="87">
        <v>46097</v>
      </c>
      <c r="J165" s="37" t="s">
        <v>77</v>
      </c>
      <c r="K165" s="38">
        <f>F165-G165</f>
        <v>0</v>
      </c>
      <c r="L165" s="39">
        <f>IF(F165=0,"",G165/F165)</f>
        <v>1</v>
      </c>
      <c r="M165" s="40">
        <f ca="1">I165-TODAY()</f>
        <v>-10</v>
      </c>
      <c r="N165">
        <f>_xlfn.ISOWEEKNUM(I165)</f>
        <v>12</v>
      </c>
      <c r="O165" t="str">
        <f>IF(ISNUMBER(SEARCH("Access Point",E165)),"AP",IF(OR(ISNUMBER(SEARCH("Switch",E165)),ISNUMBER(SEARCH("Control Type",E165))),"Switch","Infra"))</f>
        <v>Switch</v>
      </c>
    </row>
    <row r="166" spans="1:15" ht="14.25" customHeight="1">
      <c r="A166">
        <v>162</v>
      </c>
      <c r="B166" s="35" t="s">
        <v>20</v>
      </c>
      <c r="C166" s="37" t="s">
        <v>153</v>
      </c>
      <c r="D166" s="37" t="s">
        <v>174</v>
      </c>
      <c r="E166" s="37" t="s">
        <v>79</v>
      </c>
      <c r="F166" s="37">
        <v>2</v>
      </c>
      <c r="G166" s="37">
        <v>2</v>
      </c>
      <c r="H166" s="87">
        <v>46097</v>
      </c>
      <c r="I166" s="87">
        <v>46097</v>
      </c>
      <c r="J166" s="37" t="s">
        <v>77</v>
      </c>
      <c r="K166" s="38">
        <f>F166-G166</f>
        <v>0</v>
      </c>
      <c r="L166" s="39">
        <f>IF(F166=0,"",G166/F166)</f>
        <v>1</v>
      </c>
      <c r="M166" s="40">
        <f ca="1">I166-TODAY()</f>
        <v>-10</v>
      </c>
      <c r="N166">
        <f>_xlfn.ISOWEEKNUM(I166)</f>
        <v>12</v>
      </c>
      <c r="O166" t="str">
        <f>IF(ISNUMBER(SEARCH("Access Point",E166)),"AP",IF(OR(ISNUMBER(SEARCH("Switch",E166)),ISNUMBER(SEARCH("Control Type",E166))),"Switch","Infra"))</f>
        <v>Switch</v>
      </c>
    </row>
    <row r="167" spans="1:15" ht="14.25" customHeight="1">
      <c r="A167">
        <v>163</v>
      </c>
      <c r="B167" s="35" t="s">
        <v>20</v>
      </c>
      <c r="C167" s="37" t="s">
        <v>153</v>
      </c>
      <c r="D167" s="37" t="s">
        <v>174</v>
      </c>
      <c r="E167" s="37" t="s">
        <v>84</v>
      </c>
      <c r="F167" s="37">
        <v>2</v>
      </c>
      <c r="G167" s="37">
        <v>2</v>
      </c>
      <c r="H167" s="87">
        <v>46097</v>
      </c>
      <c r="I167" s="87">
        <v>46097</v>
      </c>
      <c r="J167" s="37" t="s">
        <v>77</v>
      </c>
      <c r="K167" s="38">
        <f>F167-G167</f>
        <v>0</v>
      </c>
      <c r="L167" s="39">
        <f>IF(F167=0,"",G167/F167)</f>
        <v>1</v>
      </c>
      <c r="M167" s="40">
        <f ca="1">I167-TODAY()</f>
        <v>-10</v>
      </c>
      <c r="N167">
        <f>_xlfn.ISOWEEKNUM(I167)</f>
        <v>12</v>
      </c>
      <c r="O167" t="str">
        <f>IF(ISNUMBER(SEARCH("Access Point",E167)),"AP",IF(OR(ISNUMBER(SEARCH("Switch",E167)),ISNUMBER(SEARCH("Control Type",E167))),"Switch","Infra"))</f>
        <v>Switch</v>
      </c>
    </row>
    <row r="168" spans="1:15" ht="14.25" customHeight="1">
      <c r="A168">
        <v>164</v>
      </c>
      <c r="B168" s="35" t="s">
        <v>20</v>
      </c>
      <c r="C168" s="37" t="s">
        <v>153</v>
      </c>
      <c r="D168" s="37" t="s">
        <v>175</v>
      </c>
      <c r="E168" s="37" t="s">
        <v>79</v>
      </c>
      <c r="F168" s="37">
        <v>1</v>
      </c>
      <c r="G168" s="37">
        <v>1</v>
      </c>
      <c r="H168" s="87">
        <v>46100</v>
      </c>
      <c r="I168" s="87">
        <v>46100</v>
      </c>
      <c r="J168" s="37" t="s">
        <v>77</v>
      </c>
      <c r="K168" s="38">
        <f>F168-G168</f>
        <v>0</v>
      </c>
      <c r="L168" s="39">
        <f>IF(F168=0,"",G168/F168)</f>
        <v>1</v>
      </c>
      <c r="M168" s="40">
        <f ca="1">I168-TODAY()</f>
        <v>-7</v>
      </c>
      <c r="N168">
        <f>_xlfn.ISOWEEKNUM(I168)</f>
        <v>12</v>
      </c>
      <c r="O168" t="str">
        <f>IF(ISNUMBER(SEARCH("Access Point",E168)),"AP",IF(OR(ISNUMBER(SEARCH("Switch",E168)),ISNUMBER(SEARCH("Control Type",E168))),"Switch","Infra"))</f>
        <v>Switch</v>
      </c>
    </row>
    <row r="169" spans="1:15" ht="14.25" customHeight="1">
      <c r="A169">
        <v>165</v>
      </c>
      <c r="B169" s="35" t="s">
        <v>20</v>
      </c>
      <c r="C169" s="37" t="s">
        <v>153</v>
      </c>
      <c r="D169" s="37" t="s">
        <v>175</v>
      </c>
      <c r="E169" s="37" t="s">
        <v>84</v>
      </c>
      <c r="F169" s="37">
        <v>1</v>
      </c>
      <c r="G169" s="37">
        <v>1</v>
      </c>
      <c r="H169" s="87">
        <v>46100</v>
      </c>
      <c r="I169" s="87">
        <v>46100</v>
      </c>
      <c r="J169" s="37" t="s">
        <v>77</v>
      </c>
      <c r="K169" s="38">
        <f>F169-G169</f>
        <v>0</v>
      </c>
      <c r="L169" s="39">
        <f>IF(F169=0,"",G169/F169)</f>
        <v>1</v>
      </c>
      <c r="M169" s="40">
        <f ca="1">I169-TODAY()</f>
        <v>-7</v>
      </c>
      <c r="N169">
        <f>_xlfn.ISOWEEKNUM(I169)</f>
        <v>12</v>
      </c>
      <c r="O169" t="str">
        <f>IF(ISNUMBER(SEARCH("Access Point",E169)),"AP",IF(OR(ISNUMBER(SEARCH("Switch",E169)),ISNUMBER(SEARCH("Control Type",E169))),"Switch","Infra"))</f>
        <v>Switch</v>
      </c>
    </row>
    <row r="170" spans="1:15" ht="14.25" customHeight="1">
      <c r="A170">
        <v>166</v>
      </c>
      <c r="B170" s="35" t="s">
        <v>20</v>
      </c>
      <c r="C170" s="37" t="s">
        <v>153</v>
      </c>
      <c r="D170" s="37" t="s">
        <v>175</v>
      </c>
      <c r="E170" s="37" t="s">
        <v>120</v>
      </c>
      <c r="F170" s="37">
        <v>1</v>
      </c>
      <c r="G170" s="37">
        <v>1</v>
      </c>
      <c r="H170" s="87">
        <v>46094</v>
      </c>
      <c r="I170" s="87">
        <v>46094</v>
      </c>
      <c r="J170" s="37" t="s">
        <v>77</v>
      </c>
      <c r="K170" s="38">
        <f>F170-G170</f>
        <v>0</v>
      </c>
      <c r="L170" s="39">
        <f>IF(F170=0,"",G170/F170)</f>
        <v>1</v>
      </c>
      <c r="M170" s="40">
        <f ca="1">I170-TODAY()</f>
        <v>-13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5" ht="14.25" customHeight="1">
      <c r="A171">
        <v>167</v>
      </c>
      <c r="B171" s="35" t="s">
        <v>20</v>
      </c>
      <c r="C171" s="37" t="s">
        <v>153</v>
      </c>
      <c r="D171" s="37" t="s">
        <v>176</v>
      </c>
      <c r="E171" s="37" t="s">
        <v>79</v>
      </c>
      <c r="F171" s="37">
        <v>1</v>
      </c>
      <c r="G171" s="37">
        <v>1</v>
      </c>
      <c r="H171" s="87">
        <v>46097</v>
      </c>
      <c r="I171" s="87">
        <v>46097</v>
      </c>
      <c r="J171" s="37" t="s">
        <v>77</v>
      </c>
      <c r="K171" s="38">
        <f>F171-G171</f>
        <v>0</v>
      </c>
      <c r="L171" s="39">
        <f>IF(F171=0,"",G171/F171)</f>
        <v>1</v>
      </c>
      <c r="M171" s="40">
        <f ca="1">I171-TODAY()</f>
        <v>-10</v>
      </c>
      <c r="N171">
        <f>_xlfn.ISOWEEKNUM(I171)</f>
        <v>12</v>
      </c>
      <c r="O171" t="str">
        <f>IF(ISNUMBER(SEARCH("Access Point",E171)),"AP",IF(OR(ISNUMBER(SEARCH("Switch",E171)),ISNUMBER(SEARCH("Control Type",E171))),"Switch","Infra"))</f>
        <v>Switch</v>
      </c>
    </row>
    <row r="172" spans="1:15" ht="14.25" customHeight="1">
      <c r="A172">
        <v>168</v>
      </c>
      <c r="B172" s="35" t="s">
        <v>20</v>
      </c>
      <c r="C172" s="37" t="s">
        <v>153</v>
      </c>
      <c r="D172" s="37" t="s">
        <v>176</v>
      </c>
      <c r="E172" s="37" t="s">
        <v>120</v>
      </c>
      <c r="F172" s="37">
        <v>1</v>
      </c>
      <c r="G172" s="37">
        <v>1</v>
      </c>
      <c r="H172" s="87">
        <v>46094</v>
      </c>
      <c r="I172" s="87">
        <v>46094</v>
      </c>
      <c r="J172" s="37" t="s">
        <v>77</v>
      </c>
      <c r="K172" s="38">
        <f>F172-G172</f>
        <v>0</v>
      </c>
      <c r="L172" s="39">
        <f>IF(F172=0,"",G172/F172)</f>
        <v>1</v>
      </c>
      <c r="M172" s="40">
        <f ca="1">I172-TODAY()</f>
        <v>-13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5" ht="14.25" customHeight="1">
      <c r="A173">
        <v>169</v>
      </c>
      <c r="B173" s="35" t="s">
        <v>20</v>
      </c>
      <c r="C173" s="37" t="s">
        <v>153</v>
      </c>
      <c r="D173" s="37" t="s">
        <v>177</v>
      </c>
      <c r="E173" s="37" t="s">
        <v>79</v>
      </c>
      <c r="F173" s="37">
        <v>1</v>
      </c>
      <c r="G173" s="37">
        <v>1</v>
      </c>
      <c r="H173" s="87">
        <v>46097</v>
      </c>
      <c r="I173" s="87">
        <v>46097</v>
      </c>
      <c r="J173" s="37" t="s">
        <v>77</v>
      </c>
      <c r="K173" s="38">
        <f>F173-G173</f>
        <v>0</v>
      </c>
      <c r="L173" s="39">
        <f>IF(F173=0,"",G173/F173)</f>
        <v>1</v>
      </c>
      <c r="M173" s="40">
        <f ca="1">I173-TODAY()</f>
        <v>-10</v>
      </c>
      <c r="N173">
        <f>_xlfn.ISOWEEKNUM(I173)</f>
        <v>12</v>
      </c>
      <c r="O173" t="str">
        <f>IF(ISNUMBER(SEARCH("Access Point",E173)),"AP",IF(OR(ISNUMBER(SEARCH("Switch",E173)),ISNUMBER(SEARCH("Control Type",E173))),"Switch","Infra"))</f>
        <v>Switch</v>
      </c>
    </row>
    <row r="174" spans="1:15" ht="14.25" customHeight="1">
      <c r="A174">
        <v>170</v>
      </c>
      <c r="B174" s="35" t="s">
        <v>20</v>
      </c>
      <c r="C174" s="37" t="s">
        <v>153</v>
      </c>
      <c r="D174" s="37" t="s">
        <v>177</v>
      </c>
      <c r="E174" s="37" t="s">
        <v>120</v>
      </c>
      <c r="F174" s="37">
        <v>1</v>
      </c>
      <c r="G174" s="37">
        <v>1</v>
      </c>
      <c r="H174" s="87">
        <v>46094</v>
      </c>
      <c r="I174" s="87">
        <v>46094</v>
      </c>
      <c r="J174" s="37" t="s">
        <v>77</v>
      </c>
      <c r="K174" s="38">
        <f>F174-G174</f>
        <v>0</v>
      </c>
      <c r="L174" s="39">
        <f>IF(F174=0,"",G174/F174)</f>
        <v>1</v>
      </c>
      <c r="M174" s="40">
        <f ca="1">I174-TODAY()</f>
        <v>-13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5" ht="14.25" customHeight="1">
      <c r="A175">
        <v>171</v>
      </c>
      <c r="B175" s="35" t="s">
        <v>20</v>
      </c>
      <c r="C175" s="37" t="s">
        <v>153</v>
      </c>
      <c r="D175" s="37" t="s">
        <v>178</v>
      </c>
      <c r="E175" s="37" t="s">
        <v>79</v>
      </c>
      <c r="F175" s="37">
        <v>2</v>
      </c>
      <c r="G175" s="37"/>
      <c r="H175" s="87"/>
      <c r="I175" s="87">
        <v>46129</v>
      </c>
      <c r="J175" s="37" t="s">
        <v>4</v>
      </c>
      <c r="K175" s="38">
        <f>F175-G175</f>
        <v>2</v>
      </c>
      <c r="L175" s="39">
        <f>IF(F175=0,"",G175/F175)</f>
        <v>0</v>
      </c>
      <c r="M175" s="40">
        <f ca="1">I175-TODAY()</f>
        <v>22</v>
      </c>
      <c r="N175">
        <f>_xlfn.ISOWEEKNUM(I175)</f>
        <v>16</v>
      </c>
      <c r="O175" t="str">
        <f>IF(ISNUMBER(SEARCH("Access Point",E175)),"AP",IF(OR(ISNUMBER(SEARCH("Switch",E175)),ISNUMBER(SEARCH("Control Type",E175))),"Switch","Infra"))</f>
        <v>Switch</v>
      </c>
    </row>
    <row r="176" spans="1:15" ht="14.25" customHeight="1">
      <c r="A176">
        <v>172</v>
      </c>
      <c r="B176" s="35" t="s">
        <v>20</v>
      </c>
      <c r="C176" s="37" t="s">
        <v>153</v>
      </c>
      <c r="D176" s="37" t="s">
        <v>178</v>
      </c>
      <c r="E176" s="37" t="s">
        <v>84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22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173</v>
      </c>
      <c r="B177" s="35" t="s">
        <v>20</v>
      </c>
      <c r="C177" s="37" t="s">
        <v>153</v>
      </c>
      <c r="D177" s="37" t="s">
        <v>179</v>
      </c>
      <c r="E177" s="37" t="s">
        <v>79</v>
      </c>
      <c r="F177" s="37">
        <v>1</v>
      </c>
      <c r="G177" s="37"/>
      <c r="H177" s="87"/>
      <c r="I177" s="87">
        <v>46129</v>
      </c>
      <c r="J177" s="37" t="s">
        <v>4</v>
      </c>
      <c r="K177" s="38">
        <f>F177-G177</f>
        <v>1</v>
      </c>
      <c r="L177" s="39">
        <f>IF(F177=0,"",G177/F177)</f>
        <v>0</v>
      </c>
      <c r="M177" s="40">
        <f ca="1">I177-TODAY()</f>
        <v>22</v>
      </c>
      <c r="N177">
        <f>_xlfn.ISOWEEKNUM(I177)</f>
        <v>16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174</v>
      </c>
      <c r="B178" s="35" t="s">
        <v>20</v>
      </c>
      <c r="C178" s="37" t="s">
        <v>153</v>
      </c>
      <c r="D178" s="37" t="s">
        <v>179</v>
      </c>
      <c r="E178" s="37" t="s">
        <v>84</v>
      </c>
      <c r="F178" s="37">
        <v>1</v>
      </c>
      <c r="G178" s="37"/>
      <c r="H178" s="87"/>
      <c r="I178" s="87">
        <v>46129</v>
      </c>
      <c r="J178" s="37" t="s">
        <v>4</v>
      </c>
      <c r="K178" s="38">
        <f>F178-G178</f>
        <v>1</v>
      </c>
      <c r="L178" s="39">
        <f>IF(F178=0,"",G178/F178)</f>
        <v>0</v>
      </c>
      <c r="M178" s="40">
        <f ca="1">I178-TODAY()</f>
        <v>22</v>
      </c>
      <c r="N178">
        <f>_xlfn.ISOWEEKNUM(I178)</f>
        <v>16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175</v>
      </c>
      <c r="B179" s="35" t="s">
        <v>20</v>
      </c>
      <c r="C179" s="37" t="s">
        <v>153</v>
      </c>
      <c r="D179" s="37" t="s">
        <v>180</v>
      </c>
      <c r="E179" s="37" t="s">
        <v>79</v>
      </c>
      <c r="F179" s="37">
        <v>1</v>
      </c>
      <c r="G179" s="37"/>
      <c r="H179" s="87"/>
      <c r="I179" s="87">
        <v>46129</v>
      </c>
      <c r="J179" s="37" t="s">
        <v>4</v>
      </c>
      <c r="K179" s="38">
        <f>F179-G179</f>
        <v>1</v>
      </c>
      <c r="L179" s="39">
        <f>IF(F179=0,"",G179/F179)</f>
        <v>0</v>
      </c>
      <c r="M179" s="40">
        <f ca="1">I179-TODAY()</f>
        <v>22</v>
      </c>
      <c r="N179">
        <f>_xlfn.ISOWEEKNUM(I179)</f>
        <v>16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176</v>
      </c>
      <c r="B180" s="35" t="s">
        <v>20</v>
      </c>
      <c r="C180" s="37" t="s">
        <v>153</v>
      </c>
      <c r="D180" s="37" t="s">
        <v>180</v>
      </c>
      <c r="E180" s="37" t="s">
        <v>84</v>
      </c>
      <c r="F180" s="37">
        <v>1</v>
      </c>
      <c r="G180" s="37"/>
      <c r="H180" s="87"/>
      <c r="I180" s="87">
        <v>46129</v>
      </c>
      <c r="J180" s="37" t="s">
        <v>4</v>
      </c>
      <c r="K180" s="38">
        <f>F180-G180</f>
        <v>1</v>
      </c>
      <c r="L180" s="39">
        <f>IF(F180=0,"",G180/F180)</f>
        <v>0</v>
      </c>
      <c r="M180" s="40">
        <f ca="1">I180-TODAY()</f>
        <v>22</v>
      </c>
      <c r="N180">
        <f>_xlfn.ISOWEEKNUM(I180)</f>
        <v>16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customHeight="1">
      <c r="A181">
        <v>177</v>
      </c>
      <c r="B181" s="35" t="s">
        <v>20</v>
      </c>
      <c r="C181" s="37" t="s">
        <v>153</v>
      </c>
      <c r="D181" s="37" t="s">
        <v>180</v>
      </c>
      <c r="E181" s="37" t="s">
        <v>120</v>
      </c>
      <c r="F181" s="37">
        <v>1</v>
      </c>
      <c r="G181" s="37">
        <v>1</v>
      </c>
      <c r="H181" s="87">
        <v>46094</v>
      </c>
      <c r="I181" s="87">
        <v>46094</v>
      </c>
      <c r="J181" s="37" t="s">
        <v>77</v>
      </c>
      <c r="K181" s="38">
        <f>F181-G181</f>
        <v>0</v>
      </c>
      <c r="L181" s="39">
        <f>IF(F181=0,"",G181/F181)</f>
        <v>1</v>
      </c>
      <c r="M181" s="40">
        <f ca="1">I181-TODAY()</f>
        <v>-13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178</v>
      </c>
      <c r="B182" s="35" t="s">
        <v>20</v>
      </c>
      <c r="C182" s="37" t="s">
        <v>153</v>
      </c>
      <c r="D182" s="37" t="s">
        <v>181</v>
      </c>
      <c r="E182" s="37" t="s">
        <v>79</v>
      </c>
      <c r="F182" s="37">
        <v>1</v>
      </c>
      <c r="G182" s="37"/>
      <c r="H182" s="87"/>
      <c r="I182" s="87">
        <v>46129</v>
      </c>
      <c r="J182" s="37" t="s">
        <v>4</v>
      </c>
      <c r="K182" s="38">
        <f>F182-G182</f>
        <v>1</v>
      </c>
      <c r="L182" s="39">
        <f>IF(F182=0,"",G182/F182)</f>
        <v>0</v>
      </c>
      <c r="M182" s="40">
        <f ca="1">I182-TODAY()</f>
        <v>22</v>
      </c>
      <c r="N182">
        <f>_xlfn.ISOWEEKNUM(I182)</f>
        <v>16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179</v>
      </c>
      <c r="B183" s="35" t="s">
        <v>20</v>
      </c>
      <c r="C183" s="37" t="s">
        <v>153</v>
      </c>
      <c r="D183" s="37" t="s">
        <v>181</v>
      </c>
      <c r="E183" s="37" t="s">
        <v>84</v>
      </c>
      <c r="F183" s="37">
        <v>1</v>
      </c>
      <c r="G183" s="37"/>
      <c r="H183" s="87"/>
      <c r="I183" s="87">
        <v>46129</v>
      </c>
      <c r="J183" s="37" t="s">
        <v>4</v>
      </c>
      <c r="K183" s="38">
        <f>F183-G183</f>
        <v>1</v>
      </c>
      <c r="L183" s="39">
        <f>IF(F183=0,"",G183/F183)</f>
        <v>0</v>
      </c>
      <c r="M183" s="40">
        <f ca="1">I183-TODAY()</f>
        <v>22</v>
      </c>
      <c r="N183">
        <f>_xlfn.ISOWEEKNUM(I183)</f>
        <v>16</v>
      </c>
      <c r="O183" t="str">
        <f>IF(ISNUMBER(SEARCH("Access Point",E183)),"AP",IF(OR(ISNUMBER(SEARCH("Switch",E183)),ISNUMBER(SEARCH("Control Type",E183))),"Switch","Infra"))</f>
        <v>Switch</v>
      </c>
    </row>
    <row r="184" spans="1:15" ht="15" customHeight="1">
      <c r="A184">
        <v>180</v>
      </c>
      <c r="B184" s="35" t="s">
        <v>20</v>
      </c>
      <c r="C184" s="37" t="s">
        <v>153</v>
      </c>
      <c r="D184" s="37" t="s">
        <v>181</v>
      </c>
      <c r="E184" s="37" t="s">
        <v>120</v>
      </c>
      <c r="F184" s="37">
        <v>1</v>
      </c>
      <c r="G184" s="37">
        <v>1</v>
      </c>
      <c r="H184" s="87">
        <v>46094</v>
      </c>
      <c r="I184" s="87">
        <v>46094</v>
      </c>
      <c r="J184" s="37" t="s">
        <v>77</v>
      </c>
      <c r="K184" s="38">
        <f>F184-G184</f>
        <v>0</v>
      </c>
      <c r="L184" s="39">
        <f>IF(F184=0,"",G184/F184)</f>
        <v>1</v>
      </c>
      <c r="M184" s="40">
        <f ca="1">I184-TODAY()</f>
        <v>-13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5" customHeight="1">
      <c r="A185">
        <v>181</v>
      </c>
      <c r="B185" s="35" t="s">
        <v>20</v>
      </c>
      <c r="C185" s="37" t="s">
        <v>153</v>
      </c>
      <c r="D185" s="37" t="s">
        <v>182</v>
      </c>
      <c r="E185" s="37" t="s">
        <v>84</v>
      </c>
      <c r="F185" s="37">
        <v>1</v>
      </c>
      <c r="G185" s="37">
        <v>1</v>
      </c>
      <c r="H185" s="87">
        <v>46100</v>
      </c>
      <c r="I185" s="87">
        <v>46100</v>
      </c>
      <c r="J185" s="37" t="s">
        <v>77</v>
      </c>
      <c r="K185" s="38">
        <f>F185-G185</f>
        <v>0</v>
      </c>
      <c r="L185" s="39">
        <f>IF(F185=0,"",G185/F185)</f>
        <v>1</v>
      </c>
      <c r="M185" s="40">
        <f ca="1">I185-TODAY()</f>
        <v>-7</v>
      </c>
      <c r="N185">
        <f>_xlfn.ISOWEEKNUM(I185)</f>
        <v>12</v>
      </c>
      <c r="O185" t="str">
        <f>IF(ISNUMBER(SEARCH("Access Point",E185)),"AP",IF(OR(ISNUMBER(SEARCH("Switch",E185)),ISNUMBER(SEARCH("Control Type",E185))),"Switch","Infra"))</f>
        <v>Switch</v>
      </c>
    </row>
    <row r="186" spans="1:15" ht="15" customHeight="1">
      <c r="A186">
        <v>182</v>
      </c>
      <c r="B186" s="35" t="s">
        <v>20</v>
      </c>
      <c r="C186" s="37" t="s">
        <v>153</v>
      </c>
      <c r="D186" s="37" t="s">
        <v>183</v>
      </c>
      <c r="E186" s="37" t="s">
        <v>79</v>
      </c>
      <c r="F186" s="37">
        <v>1</v>
      </c>
      <c r="G186" s="37">
        <v>1</v>
      </c>
      <c r="H186" s="87">
        <v>46100</v>
      </c>
      <c r="I186" s="87">
        <v>46100</v>
      </c>
      <c r="J186" s="37" t="s">
        <v>77</v>
      </c>
      <c r="K186" s="38">
        <f>F186-G186</f>
        <v>0</v>
      </c>
      <c r="L186" s="39">
        <f>IF(F186=0,"",G186/F186)</f>
        <v>1</v>
      </c>
      <c r="M186" s="40">
        <f ca="1">I186-TODAY()</f>
        <v>-7</v>
      </c>
      <c r="N186">
        <f>_xlfn.ISOWEEKNUM(I186)</f>
        <v>12</v>
      </c>
      <c r="O186" t="str">
        <f>IF(ISNUMBER(SEARCH("Access Point",E186)),"AP",IF(OR(ISNUMBER(SEARCH("Switch",E186)),ISNUMBER(SEARCH("Control Type",E186))),"Switch","Infra"))</f>
        <v>Switch</v>
      </c>
    </row>
    <row r="187" spans="1:15" ht="15" customHeight="1">
      <c r="A187">
        <v>183</v>
      </c>
      <c r="B187" s="35" t="s">
        <v>20</v>
      </c>
      <c r="C187" s="37" t="s">
        <v>153</v>
      </c>
      <c r="D187" s="37" t="s">
        <v>183</v>
      </c>
      <c r="E187" s="37" t="s">
        <v>84</v>
      </c>
      <c r="F187" s="37">
        <v>1</v>
      </c>
      <c r="G187" s="37">
        <v>1</v>
      </c>
      <c r="H187" s="87">
        <v>46100</v>
      </c>
      <c r="I187" s="87">
        <v>46100</v>
      </c>
      <c r="J187" s="37" t="s">
        <v>77</v>
      </c>
      <c r="K187" s="38">
        <f>F187-G187</f>
        <v>0</v>
      </c>
      <c r="L187" s="39">
        <f>IF(F187=0,"",G187/F187)</f>
        <v>1</v>
      </c>
      <c r="M187" s="40">
        <f ca="1">I187-TODAY()</f>
        <v>-7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5" ht="15" customHeight="1">
      <c r="A188">
        <v>184</v>
      </c>
      <c r="B188" s="35" t="s">
        <v>20</v>
      </c>
      <c r="C188" s="37" t="s">
        <v>153</v>
      </c>
      <c r="D188" s="37" t="s">
        <v>184</v>
      </c>
      <c r="E188" s="37" t="s">
        <v>79</v>
      </c>
      <c r="F188" s="37">
        <v>1</v>
      </c>
      <c r="G188" s="37">
        <v>1</v>
      </c>
      <c r="H188" s="87">
        <v>46100</v>
      </c>
      <c r="I188" s="87">
        <v>46100</v>
      </c>
      <c r="J188" s="37" t="s">
        <v>77</v>
      </c>
      <c r="K188" s="38">
        <f>F188-G188</f>
        <v>0</v>
      </c>
      <c r="L188" s="39">
        <f>IF(F188=0,"",G188/F188)</f>
        <v>1</v>
      </c>
      <c r="M188" s="40">
        <f ca="1">I188-TODAY()</f>
        <v>-7</v>
      </c>
      <c r="N188">
        <f>_xlfn.ISOWEEKNUM(I188)</f>
        <v>12</v>
      </c>
      <c r="O188" t="str">
        <f>IF(ISNUMBER(SEARCH("Access Point",E188)),"AP",IF(OR(ISNUMBER(SEARCH("Switch",E188)),ISNUMBER(SEARCH("Control Type",E188))),"Switch","Infra"))</f>
        <v>Switch</v>
      </c>
    </row>
    <row r="189" spans="1:15" ht="15" customHeight="1">
      <c r="A189">
        <v>185</v>
      </c>
      <c r="B189" s="35" t="s">
        <v>20</v>
      </c>
      <c r="C189" s="37" t="s">
        <v>153</v>
      </c>
      <c r="D189" s="37" t="s">
        <v>185</v>
      </c>
      <c r="E189" s="37" t="s">
        <v>79</v>
      </c>
      <c r="F189" s="37">
        <v>1</v>
      </c>
      <c r="G189" s="37">
        <v>1</v>
      </c>
      <c r="H189" s="87">
        <v>46100</v>
      </c>
      <c r="I189" s="87">
        <v>46100</v>
      </c>
      <c r="J189" s="37" t="s">
        <v>77</v>
      </c>
      <c r="K189" s="38">
        <f>F189-G189</f>
        <v>0</v>
      </c>
      <c r="L189" s="39">
        <f>IF(F189=0,"",G189/F189)</f>
        <v>1</v>
      </c>
      <c r="M189" s="40">
        <f ca="1">I189-TODAY()</f>
        <v>-7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5" ht="15" customHeight="1">
      <c r="A190">
        <v>186</v>
      </c>
      <c r="B190" s="35" t="s">
        <v>20</v>
      </c>
      <c r="C190" s="37" t="s">
        <v>153</v>
      </c>
      <c r="D190" s="37" t="s">
        <v>186</v>
      </c>
      <c r="E190" s="37" t="s">
        <v>79</v>
      </c>
      <c r="F190" s="37">
        <v>1</v>
      </c>
      <c r="G190" s="37">
        <v>1</v>
      </c>
      <c r="H190" s="87">
        <v>46100</v>
      </c>
      <c r="I190" s="87">
        <v>46100</v>
      </c>
      <c r="J190" s="37" t="s">
        <v>77</v>
      </c>
      <c r="K190" s="38">
        <f>F190-G190</f>
        <v>0</v>
      </c>
      <c r="L190" s="39">
        <f>IF(F190=0,"",G190/F190)</f>
        <v>1</v>
      </c>
      <c r="M190" s="40">
        <f ca="1">I190-TODAY()</f>
        <v>-7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5" ht="15" customHeight="1">
      <c r="A191">
        <v>187</v>
      </c>
      <c r="B191" s="35" t="s">
        <v>20</v>
      </c>
      <c r="C191" s="37" t="s">
        <v>153</v>
      </c>
      <c r="D191" s="37" t="s">
        <v>186</v>
      </c>
      <c r="E191" s="37" t="s">
        <v>84</v>
      </c>
      <c r="F191" s="37">
        <v>1</v>
      </c>
      <c r="G191" s="37">
        <v>1</v>
      </c>
      <c r="H191" s="87">
        <v>46100</v>
      </c>
      <c r="I191" s="87">
        <v>46100</v>
      </c>
      <c r="J191" s="37" t="s">
        <v>77</v>
      </c>
      <c r="K191" s="38">
        <f>F191-G191</f>
        <v>0</v>
      </c>
      <c r="L191" s="39">
        <f>IF(F191=0,"",G191/F191)</f>
        <v>1</v>
      </c>
      <c r="M191" s="40">
        <f ca="1">I191-TODAY()</f>
        <v>-7</v>
      </c>
      <c r="N191">
        <f>_xlfn.ISOWEEKNUM(I191)</f>
        <v>12</v>
      </c>
      <c r="O191" t="str">
        <f>IF(ISNUMBER(SEARCH("Access Point",E191)),"AP",IF(OR(ISNUMBER(SEARCH("Switch",E191)),ISNUMBER(SEARCH("Control Type",E191))),"Switch","Infra"))</f>
        <v>Switch</v>
      </c>
    </row>
    <row r="192" spans="1:15" ht="15" customHeight="1">
      <c r="A192">
        <v>188</v>
      </c>
      <c r="B192" s="35" t="s">
        <v>20</v>
      </c>
      <c r="C192" s="37" t="s">
        <v>153</v>
      </c>
      <c r="D192" s="37" t="s">
        <v>187</v>
      </c>
      <c r="E192" s="37" t="s">
        <v>79</v>
      </c>
      <c r="F192" s="37">
        <v>1</v>
      </c>
      <c r="G192" s="37">
        <v>1</v>
      </c>
      <c r="H192" s="87">
        <v>46100</v>
      </c>
      <c r="I192" s="87">
        <v>46100</v>
      </c>
      <c r="J192" s="37" t="s">
        <v>77</v>
      </c>
      <c r="K192" s="38">
        <f>F192-G192</f>
        <v>0</v>
      </c>
      <c r="L192" s="39">
        <f>IF(F192=0,"",G192/F192)</f>
        <v>1</v>
      </c>
      <c r="M192" s="40">
        <f ca="1">I192-TODAY()</f>
        <v>-7</v>
      </c>
      <c r="N192">
        <f>_xlfn.ISOWEEKNUM(I192)</f>
        <v>12</v>
      </c>
      <c r="O192" t="str">
        <f>IF(ISNUMBER(SEARCH("Access Point",E192)),"AP",IF(OR(ISNUMBER(SEARCH("Switch",E192)),ISNUMBER(SEARCH("Control Type",E192))),"Switch","Infra"))</f>
        <v>Switch</v>
      </c>
    </row>
    <row r="193" spans="1:16" ht="15" customHeight="1">
      <c r="A193">
        <v>189</v>
      </c>
      <c r="B193" s="35" t="s">
        <v>20</v>
      </c>
      <c r="C193" s="37" t="s">
        <v>188</v>
      </c>
      <c r="D193" s="37" t="s">
        <v>73</v>
      </c>
      <c r="E193" s="37" t="s">
        <v>74</v>
      </c>
      <c r="F193" s="37">
        <v>19</v>
      </c>
      <c r="G193" s="37"/>
      <c r="H193" s="87"/>
      <c r="I193" s="87">
        <v>46113</v>
      </c>
      <c r="J193" s="37" t="s">
        <v>4</v>
      </c>
      <c r="K193" s="38">
        <f>F193-G193</f>
        <v>19</v>
      </c>
      <c r="L193" s="39">
        <f>IF(F193=0,"",G193/F193)</f>
        <v>0</v>
      </c>
      <c r="M193" s="40">
        <f ca="1">I193-TODAY()</f>
        <v>6</v>
      </c>
      <c r="N193">
        <f>_xlfn.ISOWEEKNUM(I193)</f>
        <v>14</v>
      </c>
      <c r="O193" t="str">
        <f>IF(ISNUMBER(SEARCH("Access Point",E193)),"AP",IF(OR(ISNUMBER(SEARCH("Switch",E193)),ISNUMBER(SEARCH("Control Type",E193))),"Switch","Infra"))</f>
        <v>AP</v>
      </c>
    </row>
    <row r="194" spans="1:16" ht="15" customHeight="1">
      <c r="A194">
        <v>190</v>
      </c>
      <c r="B194" s="35" t="s">
        <v>20</v>
      </c>
      <c r="C194" s="37" t="s">
        <v>188</v>
      </c>
      <c r="D194" s="37" t="s">
        <v>189</v>
      </c>
      <c r="E194" s="37" t="s">
        <v>79</v>
      </c>
      <c r="F194" s="37">
        <v>2</v>
      </c>
      <c r="G194" s="37">
        <v>1</v>
      </c>
      <c r="H194" s="87">
        <v>46063</v>
      </c>
      <c r="I194" s="87">
        <v>46114</v>
      </c>
      <c r="J194" s="37" t="s">
        <v>4</v>
      </c>
      <c r="K194" s="38">
        <f>F194-G194</f>
        <v>1</v>
      </c>
      <c r="L194" s="39">
        <f>IF(F194=0,"",G194/F194)</f>
        <v>0.5</v>
      </c>
      <c r="M194" s="40">
        <f ca="1">I194-TODAY()</f>
        <v>7</v>
      </c>
      <c r="N194">
        <f>_xlfn.ISOWEEKNUM(I194)</f>
        <v>14</v>
      </c>
      <c r="O194" t="str">
        <f>IF(ISNUMBER(SEARCH("Access Point",E194)),"AP",IF(OR(ISNUMBER(SEARCH("Switch",E194)),ISNUMBER(SEARCH("Control Type",E194))),"Switch","Infra"))</f>
        <v>Switch</v>
      </c>
    </row>
    <row r="195" spans="1:16" ht="15" customHeight="1">
      <c r="A195">
        <v>191</v>
      </c>
      <c r="B195" s="35" t="s">
        <v>20</v>
      </c>
      <c r="C195" s="37" t="s">
        <v>188</v>
      </c>
      <c r="D195" s="37" t="s">
        <v>189</v>
      </c>
      <c r="E195" s="37" t="s">
        <v>84</v>
      </c>
      <c r="F195" s="37">
        <v>1</v>
      </c>
      <c r="G195" s="37"/>
      <c r="H195" s="87"/>
      <c r="I195" s="87">
        <v>46114</v>
      </c>
      <c r="J195" s="37" t="s">
        <v>4</v>
      </c>
      <c r="K195" s="38">
        <f>F195-G195</f>
        <v>1</v>
      </c>
      <c r="L195" s="39">
        <f>IF(F195=0,"",G195/F195)</f>
        <v>0</v>
      </c>
      <c r="M195" s="40">
        <f ca="1">I195-TODAY()</f>
        <v>7</v>
      </c>
      <c r="N195">
        <f>_xlfn.ISOWEEKNUM(I195)</f>
        <v>14</v>
      </c>
      <c r="O195" t="str">
        <f>IF(ISNUMBER(SEARCH("Access Point",E195)),"AP",IF(OR(ISNUMBER(SEARCH("Switch",E195)),ISNUMBER(SEARCH("Control Type",E195))),"Switch","Infra"))</f>
        <v>Switch</v>
      </c>
    </row>
    <row r="196" spans="1:16" ht="15" customHeight="1">
      <c r="A196">
        <v>192</v>
      </c>
      <c r="B196" s="35" t="s">
        <v>20</v>
      </c>
      <c r="C196" s="37" t="s">
        <v>188</v>
      </c>
      <c r="D196" s="37" t="s">
        <v>190</v>
      </c>
      <c r="E196" s="37" t="s">
        <v>79</v>
      </c>
      <c r="F196" s="37">
        <v>2</v>
      </c>
      <c r="G196" s="37"/>
      <c r="H196" s="87"/>
      <c r="I196" s="87">
        <v>46114</v>
      </c>
      <c r="J196" s="37" t="s">
        <v>4</v>
      </c>
      <c r="K196" s="38">
        <f>F196-G196</f>
        <v>2</v>
      </c>
      <c r="L196" s="39">
        <f>IF(F196=0,"",G196/F196)</f>
        <v>0</v>
      </c>
      <c r="M196" s="40">
        <f ca="1">I196-TODAY()</f>
        <v>7</v>
      </c>
      <c r="N196">
        <f>_xlfn.ISOWEEKNUM(I196)</f>
        <v>14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193</v>
      </c>
      <c r="B197" s="35" t="s">
        <v>20</v>
      </c>
      <c r="C197" s="37" t="s">
        <v>188</v>
      </c>
      <c r="D197" s="37" t="s">
        <v>191</v>
      </c>
      <c r="E197" s="37" t="s">
        <v>79</v>
      </c>
      <c r="F197" s="37">
        <v>1</v>
      </c>
      <c r="G197" s="37"/>
      <c r="H197" s="87"/>
      <c r="I197" s="87">
        <v>46114</v>
      </c>
      <c r="J197" s="37" t="s">
        <v>4</v>
      </c>
      <c r="K197" s="38">
        <f>F197-G197</f>
        <v>1</v>
      </c>
      <c r="L197" s="39">
        <f>IF(F197=0,"",G197/F197)</f>
        <v>0</v>
      </c>
      <c r="M197" s="40">
        <f ca="1">I197-TODAY()</f>
        <v>7</v>
      </c>
      <c r="N197">
        <f>_xlfn.ISOWEEKNUM(I197)</f>
        <v>14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194</v>
      </c>
      <c r="B198" s="35" t="s">
        <v>20</v>
      </c>
      <c r="C198" s="37" t="s">
        <v>188</v>
      </c>
      <c r="D198" s="37" t="s">
        <v>191</v>
      </c>
      <c r="E198" s="37" t="s">
        <v>84</v>
      </c>
      <c r="F198" s="37">
        <v>1</v>
      </c>
      <c r="G198" s="37"/>
      <c r="H198" s="87"/>
      <c r="I198" s="87">
        <v>46114</v>
      </c>
      <c r="J198" s="37" t="s">
        <v>4</v>
      </c>
      <c r="K198" s="38">
        <f>F198-G198</f>
        <v>1</v>
      </c>
      <c r="L198" s="39">
        <f>IF(F198=0,"",G198/F198)</f>
        <v>0</v>
      </c>
      <c r="M198" s="40">
        <f ca="1">I198-TODAY()</f>
        <v>7</v>
      </c>
      <c r="N198">
        <f>_xlfn.ISOWEEKNUM(I198)</f>
        <v>14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195</v>
      </c>
      <c r="B199" s="35" t="s">
        <v>20</v>
      </c>
      <c r="C199" s="37" t="s">
        <v>188</v>
      </c>
      <c r="D199" s="37" t="s">
        <v>192</v>
      </c>
      <c r="E199" s="37" t="s">
        <v>193</v>
      </c>
      <c r="F199" s="37">
        <v>4</v>
      </c>
      <c r="G199" s="37">
        <v>4</v>
      </c>
      <c r="H199" s="87">
        <v>46063</v>
      </c>
      <c r="I199" s="87">
        <v>46063</v>
      </c>
      <c r="J199" s="37" t="s">
        <v>77</v>
      </c>
      <c r="K199" s="38">
        <f>F199-G199</f>
        <v>0</v>
      </c>
      <c r="L199" s="39">
        <f>IF(F199=0,"",G199/F199)</f>
        <v>1</v>
      </c>
      <c r="M199" s="40">
        <f ca="1">I199-TODAY()</f>
        <v>-44</v>
      </c>
      <c r="N199">
        <f>_xlfn.ISOWEEKNUM(I199)</f>
        <v>7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196</v>
      </c>
      <c r="B200" s="35" t="s">
        <v>20</v>
      </c>
      <c r="C200" s="37" t="s">
        <v>188</v>
      </c>
      <c r="D200" s="37" t="s">
        <v>192</v>
      </c>
      <c r="E200" s="37" t="s">
        <v>79</v>
      </c>
      <c r="F200" s="37">
        <v>10</v>
      </c>
      <c r="G200" s="37"/>
      <c r="H200" s="87"/>
      <c r="I200" s="87">
        <v>46119</v>
      </c>
      <c r="J200" s="37" t="s">
        <v>4</v>
      </c>
      <c r="K200" s="38">
        <f>F200-G200</f>
        <v>10</v>
      </c>
      <c r="L200" s="39">
        <f>IF(F200=0,"",G200/F200)</f>
        <v>0</v>
      </c>
      <c r="M200" s="40">
        <f ca="1">I200-TODAY()</f>
        <v>12</v>
      </c>
      <c r="N200">
        <f>_xlfn.ISOWEEKNUM(I200)</f>
        <v>15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197</v>
      </c>
      <c r="B201" s="35" t="s">
        <v>20</v>
      </c>
      <c r="C201" s="37" t="s">
        <v>188</v>
      </c>
      <c r="D201" s="37" t="s">
        <v>192</v>
      </c>
      <c r="E201" s="37" t="s">
        <v>84</v>
      </c>
      <c r="F201" s="37">
        <v>2</v>
      </c>
      <c r="G201" s="37"/>
      <c r="H201" s="87"/>
      <c r="I201" s="87">
        <v>46119</v>
      </c>
      <c r="J201" s="37" t="s">
        <v>4</v>
      </c>
      <c r="K201" s="38">
        <f>F201-G201</f>
        <v>2</v>
      </c>
      <c r="L201" s="39">
        <f>IF(F201=0,"",G201/F201)</f>
        <v>0</v>
      </c>
      <c r="M201" s="40">
        <f ca="1">I201-TODAY()</f>
        <v>12</v>
      </c>
      <c r="N201">
        <f>_xlfn.ISOWEEKNUM(I201)</f>
        <v>15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198</v>
      </c>
      <c r="B202" s="35" t="s">
        <v>20</v>
      </c>
      <c r="C202" s="37" t="s">
        <v>188</v>
      </c>
      <c r="D202" s="37" t="s">
        <v>192</v>
      </c>
      <c r="E202" s="37" t="s">
        <v>120</v>
      </c>
      <c r="F202" s="37">
        <v>2</v>
      </c>
      <c r="G202" s="37">
        <v>2</v>
      </c>
      <c r="H202" s="87">
        <v>46059</v>
      </c>
      <c r="I202" s="87">
        <v>46119</v>
      </c>
      <c r="J202" s="37" t="s">
        <v>4</v>
      </c>
      <c r="K202" s="38">
        <f>F202-G202</f>
        <v>0</v>
      </c>
      <c r="L202" s="39">
        <f>IF(F202=0,"",G202/F202)</f>
        <v>1</v>
      </c>
      <c r="M202" s="40">
        <f ca="1">I202-TODAY()</f>
        <v>12</v>
      </c>
      <c r="N202">
        <f>_xlfn.ISOWEEKNUM(I202)</f>
        <v>15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199</v>
      </c>
      <c r="B203" s="35" t="s">
        <v>20</v>
      </c>
      <c r="C203" s="37" t="s">
        <v>188</v>
      </c>
      <c r="D203" s="37" t="s">
        <v>192</v>
      </c>
      <c r="E203" s="37" t="s">
        <v>194</v>
      </c>
      <c r="F203" s="37">
        <v>2</v>
      </c>
      <c r="G203" s="37">
        <v>2</v>
      </c>
      <c r="H203" s="87">
        <v>46063</v>
      </c>
      <c r="I203" s="87">
        <v>46063</v>
      </c>
      <c r="J203" s="37" t="s">
        <v>77</v>
      </c>
      <c r="K203" s="38">
        <f>F203-G203</f>
        <v>0</v>
      </c>
      <c r="L203" s="39">
        <f>IF(F203=0,"",G203/F203)</f>
        <v>1</v>
      </c>
      <c r="M203" s="40">
        <f ca="1">I203-TODAY()</f>
        <v>-44</v>
      </c>
      <c r="N203">
        <f>_xlfn.ISOWEEKNUM(I203)</f>
        <v>7</v>
      </c>
      <c r="O203" t="str">
        <f>IF(ISNUMBER(SEARCH("Access Point",E203)),"AP",IF(OR(ISNUMBER(SEARCH("Switch",E203)),ISNUMBER(SEARCH("Control Type",E203))),"Switch","Infra"))</f>
        <v>Infra</v>
      </c>
    </row>
    <row r="204" spans="1:16" ht="14.25" customHeight="1">
      <c r="A204">
        <v>200</v>
      </c>
      <c r="B204" s="35" t="s">
        <v>20</v>
      </c>
      <c r="C204" s="37" t="s">
        <v>188</v>
      </c>
      <c r="D204" s="37" t="s">
        <v>192</v>
      </c>
      <c r="E204" s="37" t="s">
        <v>195</v>
      </c>
      <c r="F204" s="37">
        <v>3</v>
      </c>
      <c r="G204" s="37">
        <v>3</v>
      </c>
      <c r="H204" s="87">
        <v>46063</v>
      </c>
      <c r="I204" s="87">
        <v>46063</v>
      </c>
      <c r="J204" s="37" t="s">
        <v>77</v>
      </c>
      <c r="K204" s="38">
        <f>F204-G204</f>
        <v>0</v>
      </c>
      <c r="L204" s="39">
        <f>IF(F204=0,"",G204/F204)</f>
        <v>1</v>
      </c>
      <c r="M204" s="40">
        <f ca="1">I204-TODAY()</f>
        <v>-44</v>
      </c>
      <c r="N204">
        <f>_xlfn.ISOWEEKNUM(I204)</f>
        <v>7</v>
      </c>
      <c r="O204" t="str">
        <f>IF(ISNUMBER(SEARCH("Access Point",E204)),"AP",IF(OR(ISNUMBER(SEARCH("Switch",E204)),ISNUMBER(SEARCH("Control Type",E204))),"Switch","Infra"))</f>
        <v>Infra</v>
      </c>
    </row>
    <row r="205" spans="1:16" ht="14.25" customHeight="1">
      <c r="A205">
        <v>201</v>
      </c>
      <c r="B205" s="35" t="s">
        <v>20</v>
      </c>
      <c r="C205" s="37" t="s">
        <v>188</v>
      </c>
      <c r="D205" s="37" t="s">
        <v>192</v>
      </c>
      <c r="E205" s="37" t="s">
        <v>196</v>
      </c>
      <c r="F205" s="37">
        <v>1</v>
      </c>
      <c r="G205" s="37">
        <v>1</v>
      </c>
      <c r="H205" s="87">
        <v>46063</v>
      </c>
      <c r="I205" s="87">
        <v>46063</v>
      </c>
      <c r="J205" s="37" t="s">
        <v>77</v>
      </c>
      <c r="K205" s="38">
        <f>F205-G205</f>
        <v>0</v>
      </c>
      <c r="L205" s="39">
        <f>IF(F205=0,"",G205/F205)</f>
        <v>1</v>
      </c>
      <c r="M205" s="40">
        <f ca="1">I205-TODAY()</f>
        <v>-44</v>
      </c>
      <c r="N205">
        <f>_xlfn.ISOWEEKNUM(I205)</f>
        <v>7</v>
      </c>
      <c r="O205" t="str">
        <f>IF(ISNUMBER(SEARCH("Access Point",E205)),"AP",IF(OR(ISNUMBER(SEARCH("Switch",E205)),ISNUMBER(SEARCH("Control Type",E205))),"Switch","Infra"))</f>
        <v>Infra</v>
      </c>
      <c r="P205" s="43" t="s">
        <v>133</v>
      </c>
    </row>
    <row r="206" spans="1:16" ht="14.25" customHeight="1">
      <c r="A206">
        <v>202</v>
      </c>
      <c r="B206" s="35" t="s">
        <v>20</v>
      </c>
      <c r="C206" s="37" t="s">
        <v>188</v>
      </c>
      <c r="D206" s="37" t="s">
        <v>197</v>
      </c>
      <c r="E206" s="37" t="s">
        <v>79</v>
      </c>
      <c r="F206" s="37">
        <v>1</v>
      </c>
      <c r="G206" s="37">
        <v>1</v>
      </c>
      <c r="H206" s="87">
        <v>46104</v>
      </c>
      <c r="I206" s="87">
        <v>46120</v>
      </c>
      <c r="J206" s="37" t="s">
        <v>77</v>
      </c>
      <c r="K206" s="38">
        <f>F206-G206</f>
        <v>0</v>
      </c>
      <c r="L206" s="39">
        <f>IF(F206=0,"",G206/F206)</f>
        <v>1</v>
      </c>
      <c r="M206" s="40">
        <f ca="1">I206-TODAY()</f>
        <v>13</v>
      </c>
      <c r="N206">
        <f>_xlfn.ISOWEEKNUM(I206)</f>
        <v>15</v>
      </c>
      <c r="O206" t="str">
        <f>IF(ISNUMBER(SEARCH("Access Point",E206)),"AP",IF(OR(ISNUMBER(SEARCH("Switch",E206)),ISNUMBER(SEARCH("Control Type",E206))),"Switch","Infra"))</f>
        <v>Switch</v>
      </c>
    </row>
    <row r="207" spans="1:16" ht="14.25" customHeight="1">
      <c r="A207">
        <v>203</v>
      </c>
      <c r="B207" s="35" t="s">
        <v>20</v>
      </c>
      <c r="C207" s="37" t="s">
        <v>188</v>
      </c>
      <c r="D207" s="37" t="s">
        <v>197</v>
      </c>
      <c r="E207" s="37" t="s">
        <v>84</v>
      </c>
      <c r="F207" s="37">
        <v>1</v>
      </c>
      <c r="G207" s="37">
        <v>1</v>
      </c>
      <c r="H207" s="87">
        <v>46104</v>
      </c>
      <c r="I207" s="87">
        <v>46120</v>
      </c>
      <c r="J207" s="37" t="s">
        <v>77</v>
      </c>
      <c r="K207" s="38">
        <f>F207-G207</f>
        <v>0</v>
      </c>
      <c r="L207" s="39">
        <f>IF(F207=0,"",G207/F207)</f>
        <v>1</v>
      </c>
      <c r="M207" s="40">
        <f ca="1">I207-TODAY()</f>
        <v>13</v>
      </c>
      <c r="N207">
        <f>_xlfn.ISOWEEKNUM(I207)</f>
        <v>15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204</v>
      </c>
      <c r="B208" s="35" t="s">
        <v>20</v>
      </c>
      <c r="C208" s="37" t="s">
        <v>188</v>
      </c>
      <c r="D208" s="37" t="s">
        <v>198</v>
      </c>
      <c r="E208" s="37" t="s">
        <v>79</v>
      </c>
      <c r="F208" s="37">
        <v>1</v>
      </c>
      <c r="G208" s="37"/>
      <c r="H208" s="87"/>
      <c r="I208" s="87">
        <v>46120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13</v>
      </c>
      <c r="N208">
        <f>_xlfn.ISOWEEKNUM(I208)</f>
        <v>15</v>
      </c>
      <c r="O208" t="str">
        <f>IF(ISNUMBER(SEARCH("Access Point",E208)),"AP",IF(OR(ISNUMBER(SEARCH("Switch",E208)),ISNUMBER(SEARCH("Control Type",E208))),"Switch","Infra"))</f>
        <v>Switch</v>
      </c>
    </row>
    <row r="209" spans="1:15" ht="14.25" customHeight="1">
      <c r="A209">
        <v>205</v>
      </c>
      <c r="B209" s="35" t="s">
        <v>20</v>
      </c>
      <c r="C209" s="37" t="s">
        <v>188</v>
      </c>
      <c r="D209" s="37" t="s">
        <v>198</v>
      </c>
      <c r="E209" s="37" t="s">
        <v>84</v>
      </c>
      <c r="F209" s="37">
        <v>1</v>
      </c>
      <c r="G209" s="37"/>
      <c r="H209" s="87"/>
      <c r="I209" s="87">
        <v>46120</v>
      </c>
      <c r="J209" s="37" t="s">
        <v>4</v>
      </c>
      <c r="K209" s="38">
        <f>F209-G209</f>
        <v>1</v>
      </c>
      <c r="L209" s="39">
        <f>IF(F209=0,"",G209/F209)</f>
        <v>0</v>
      </c>
      <c r="M209" s="40">
        <f ca="1">I209-TODAY()</f>
        <v>13</v>
      </c>
      <c r="N209">
        <f>_xlfn.ISOWEEKNUM(I209)</f>
        <v>15</v>
      </c>
      <c r="O209" t="str">
        <f>IF(ISNUMBER(SEARCH("Access Point",E209)),"AP",IF(OR(ISNUMBER(SEARCH("Switch",E209)),ISNUMBER(SEARCH("Control Type",E209))),"Switch","Infra"))</f>
        <v>Switch</v>
      </c>
    </row>
    <row r="210" spans="1:15" ht="14.25" customHeight="1">
      <c r="A210">
        <v>206</v>
      </c>
      <c r="B210" s="35" t="s">
        <v>20</v>
      </c>
      <c r="C210" s="37" t="s">
        <v>188</v>
      </c>
      <c r="D210" s="37" t="s">
        <v>199</v>
      </c>
      <c r="E210" s="37" t="s">
        <v>79</v>
      </c>
      <c r="F210" s="37">
        <v>1</v>
      </c>
      <c r="G210" s="37"/>
      <c r="H210" s="87"/>
      <c r="I210" s="87">
        <v>46120</v>
      </c>
      <c r="J210" s="37" t="s">
        <v>4</v>
      </c>
      <c r="K210" s="38">
        <f>F210-G210</f>
        <v>1</v>
      </c>
      <c r="L210" s="39">
        <f>IF(F210=0,"",G210/F210)</f>
        <v>0</v>
      </c>
      <c r="M210" s="40">
        <f ca="1">I210-TODAY()</f>
        <v>13</v>
      </c>
      <c r="N210">
        <f>_xlfn.ISOWEEKNUM(I210)</f>
        <v>15</v>
      </c>
      <c r="O210" t="str">
        <f>IF(ISNUMBER(SEARCH("Access Point",E210)),"AP",IF(OR(ISNUMBER(SEARCH("Switch",E210)),ISNUMBER(SEARCH("Control Type",E210))),"Switch","Infra"))</f>
        <v>Switch</v>
      </c>
    </row>
    <row r="211" spans="1:15" ht="14.25" customHeight="1">
      <c r="A211">
        <v>207</v>
      </c>
      <c r="B211" s="35" t="s">
        <v>20</v>
      </c>
      <c r="C211" s="37" t="s">
        <v>188</v>
      </c>
      <c r="D211" s="37" t="s">
        <v>199</v>
      </c>
      <c r="E211" s="37" t="s">
        <v>84</v>
      </c>
      <c r="F211" s="37">
        <v>1</v>
      </c>
      <c r="G211" s="37"/>
      <c r="H211" s="87"/>
      <c r="I211" s="87">
        <v>46120</v>
      </c>
      <c r="J211" s="37" t="s">
        <v>4</v>
      </c>
      <c r="K211" s="38">
        <f>F211-G211</f>
        <v>1</v>
      </c>
      <c r="L211" s="39">
        <f>IF(F211=0,"",G211/F211)</f>
        <v>0</v>
      </c>
      <c r="M211" s="40">
        <f ca="1">I211-TODAY()</f>
        <v>13</v>
      </c>
      <c r="N211">
        <f>_xlfn.ISOWEEKNUM(I211)</f>
        <v>15</v>
      </c>
      <c r="O211" t="str">
        <f>IF(ISNUMBER(SEARCH("Access Point",E211)),"AP",IF(OR(ISNUMBER(SEARCH("Switch",E211)),ISNUMBER(SEARCH("Control Type",E211))),"Switch","Infra"))</f>
        <v>Switch</v>
      </c>
    </row>
    <row r="212" spans="1:15" ht="14.25" customHeight="1">
      <c r="A212">
        <v>208</v>
      </c>
      <c r="B212" s="35" t="s">
        <v>20</v>
      </c>
      <c r="C212" s="37" t="s">
        <v>188</v>
      </c>
      <c r="D212" s="36" t="s">
        <v>200</v>
      </c>
      <c r="E212" s="37" t="s">
        <v>79</v>
      </c>
      <c r="F212" s="37">
        <v>4</v>
      </c>
      <c r="G212" s="37">
        <v>4</v>
      </c>
      <c r="H212" s="87">
        <v>46106</v>
      </c>
      <c r="I212" s="87">
        <v>46120</v>
      </c>
      <c r="J212" s="37" t="s">
        <v>77</v>
      </c>
      <c r="K212" s="38">
        <f>F212-G212</f>
        <v>0</v>
      </c>
      <c r="L212" s="39">
        <f>IF(F212=0,"",G212/F212)</f>
        <v>1</v>
      </c>
      <c r="M212" s="40">
        <f ca="1">I212-TODAY()</f>
        <v>13</v>
      </c>
      <c r="N212">
        <f>_xlfn.ISOWEEKNUM(I212)</f>
        <v>15</v>
      </c>
      <c r="O212" t="str">
        <f>IF(ISNUMBER(SEARCH("Access Point",E212)),"AP",IF(OR(ISNUMBER(SEARCH("Switch",E212)),ISNUMBER(SEARCH("Control Type",E212))),"Switch","Infra"))</f>
        <v>Switch</v>
      </c>
    </row>
    <row r="213" spans="1:15" ht="14.25" customHeight="1">
      <c r="A213">
        <v>209</v>
      </c>
      <c r="B213" s="35" t="s">
        <v>20</v>
      </c>
      <c r="C213" s="37" t="s">
        <v>188</v>
      </c>
      <c r="D213" s="36" t="s">
        <v>200</v>
      </c>
      <c r="E213" s="37" t="s">
        <v>84</v>
      </c>
      <c r="F213" s="37">
        <v>4</v>
      </c>
      <c r="G213" s="37">
        <v>4</v>
      </c>
      <c r="H213" s="87">
        <v>46106</v>
      </c>
      <c r="I213" s="87">
        <v>46120</v>
      </c>
      <c r="J213" s="37" t="s">
        <v>77</v>
      </c>
      <c r="K213" s="38">
        <f>F213-G213</f>
        <v>0</v>
      </c>
      <c r="L213" s="39">
        <f>IF(F213=0,"",G213/F213)</f>
        <v>1</v>
      </c>
      <c r="M213" s="40">
        <f ca="1">I213-TODAY()</f>
        <v>13</v>
      </c>
      <c r="N213">
        <f>_xlfn.ISOWEEKNUM(I213)</f>
        <v>15</v>
      </c>
      <c r="O213" t="str">
        <f>IF(ISNUMBER(SEARCH("Access Point",E213)),"AP",IF(OR(ISNUMBER(SEARCH("Switch",E213)),ISNUMBER(SEARCH("Control Type",E213))),"Switch","Infra"))</f>
        <v>Switch</v>
      </c>
    </row>
    <row r="214" spans="1:15" ht="14.25" customHeight="1">
      <c r="A214">
        <v>210</v>
      </c>
      <c r="B214" s="35" t="s">
        <v>20</v>
      </c>
      <c r="C214" s="37" t="s">
        <v>201</v>
      </c>
      <c r="D214" s="37" t="s">
        <v>202</v>
      </c>
      <c r="E214" s="37" t="s">
        <v>79</v>
      </c>
      <c r="F214" s="37">
        <v>2</v>
      </c>
      <c r="G214" s="37">
        <v>2</v>
      </c>
      <c r="H214" s="87">
        <v>46097</v>
      </c>
      <c r="I214" s="87">
        <v>46097</v>
      </c>
      <c r="J214" s="37" t="s">
        <v>77</v>
      </c>
      <c r="K214" s="38">
        <f>F214-G214</f>
        <v>0</v>
      </c>
      <c r="L214" s="39">
        <f>IF(F214=0,"",G214/F214)</f>
        <v>1</v>
      </c>
      <c r="M214" s="40">
        <f ca="1">I214-TODAY()</f>
        <v>-10</v>
      </c>
      <c r="N214">
        <f>_xlfn.ISOWEEKNUM(I214)</f>
        <v>12</v>
      </c>
      <c r="O214" t="str">
        <f>IF(ISNUMBER(SEARCH("Access Point",E214)),"AP",IF(OR(ISNUMBER(SEARCH("Switch",E214)),ISNUMBER(SEARCH("Control Type",E214))),"Switch","Infra"))</f>
        <v>Switch</v>
      </c>
    </row>
    <row r="215" spans="1:15" ht="14.25" customHeight="1">
      <c r="A215">
        <v>211</v>
      </c>
      <c r="B215" s="35" t="s">
        <v>20</v>
      </c>
      <c r="C215" s="37" t="s">
        <v>201</v>
      </c>
      <c r="D215" s="37" t="s">
        <v>202</v>
      </c>
      <c r="E215" s="37" t="s">
        <v>84</v>
      </c>
      <c r="F215" s="37">
        <v>1</v>
      </c>
      <c r="G215" s="37">
        <v>1</v>
      </c>
      <c r="H215" s="87">
        <v>46097</v>
      </c>
      <c r="I215" s="87">
        <v>46097</v>
      </c>
      <c r="J215" s="37" t="s">
        <v>77</v>
      </c>
      <c r="K215" s="38">
        <f>F215-G215</f>
        <v>0</v>
      </c>
      <c r="L215" s="39">
        <f>IF(F215=0,"",G215/F215)</f>
        <v>1</v>
      </c>
      <c r="M215" s="40">
        <f ca="1">I215-TODAY()</f>
        <v>-10</v>
      </c>
      <c r="N215">
        <f>_xlfn.ISOWEEKNUM(I215)</f>
        <v>12</v>
      </c>
      <c r="O215" t="str">
        <f>IF(ISNUMBER(SEARCH("Access Point",E215)),"AP",IF(OR(ISNUMBER(SEARCH("Switch",E215)),ISNUMBER(SEARCH("Control Type",E215))),"Switch","Infra"))</f>
        <v>Switch</v>
      </c>
    </row>
    <row r="216" spans="1:15" ht="14.25" customHeight="1">
      <c r="A216">
        <v>212</v>
      </c>
      <c r="B216" s="35" t="s">
        <v>20</v>
      </c>
      <c r="C216" s="37" t="s">
        <v>201</v>
      </c>
      <c r="D216" s="37" t="s">
        <v>202</v>
      </c>
      <c r="E216" s="37" t="s">
        <v>118</v>
      </c>
      <c r="F216" s="37">
        <v>1</v>
      </c>
      <c r="G216" s="37">
        <v>1</v>
      </c>
      <c r="H216" s="87">
        <v>46087</v>
      </c>
      <c r="I216" s="87">
        <v>46087</v>
      </c>
      <c r="J216" s="37" t="s">
        <v>77</v>
      </c>
      <c r="K216" s="38">
        <f>F216-G216</f>
        <v>0</v>
      </c>
      <c r="L216" s="39">
        <f>IF(F216=0,"",G216/F216)</f>
        <v>1</v>
      </c>
      <c r="M216" s="40">
        <f ca="1">I216-TODAY()</f>
        <v>-20</v>
      </c>
      <c r="N216">
        <f>_xlfn.ISOWEEKNUM(I216)</f>
        <v>10</v>
      </c>
      <c r="O216" t="str">
        <f>IF(ISNUMBER(SEARCH("Access Point",E216)),"AP",IF(OR(ISNUMBER(SEARCH("Switch",E216)),ISNUMBER(SEARCH("Control Type",E216))),"Switch","Infra"))</f>
        <v>Switch</v>
      </c>
    </row>
    <row r="217" spans="1:15" ht="14.25" customHeight="1">
      <c r="A217">
        <v>213</v>
      </c>
      <c r="B217" s="35" t="s">
        <v>20</v>
      </c>
      <c r="C217" s="37" t="s">
        <v>201</v>
      </c>
      <c r="D217" s="37" t="s">
        <v>203</v>
      </c>
      <c r="E217" s="37" t="s">
        <v>79</v>
      </c>
      <c r="F217" s="37">
        <v>1</v>
      </c>
      <c r="G217" s="37">
        <v>1</v>
      </c>
      <c r="H217" s="87">
        <v>46097</v>
      </c>
      <c r="I217" s="87">
        <v>46097</v>
      </c>
      <c r="J217" s="37" t="s">
        <v>77</v>
      </c>
      <c r="K217" s="38">
        <f>F217-G217</f>
        <v>0</v>
      </c>
      <c r="L217" s="39">
        <f>IF(F217=0,"",G217/F217)</f>
        <v>1</v>
      </c>
      <c r="M217" s="40">
        <f ca="1">I217-TODAY()</f>
        <v>-10</v>
      </c>
      <c r="N217">
        <f>_xlfn.ISOWEEKNUM(I217)</f>
        <v>12</v>
      </c>
      <c r="O217" t="str">
        <f>IF(ISNUMBER(SEARCH("Access Point",E217)),"AP",IF(OR(ISNUMBER(SEARCH("Switch",E217)),ISNUMBER(SEARCH("Control Type",E217))),"Switch","Infra"))</f>
        <v>Switch</v>
      </c>
    </row>
    <row r="218" spans="1:15" ht="14.25" customHeight="1">
      <c r="A218">
        <v>214</v>
      </c>
      <c r="B218" s="35" t="s">
        <v>20</v>
      </c>
      <c r="C218" s="37" t="s">
        <v>201</v>
      </c>
      <c r="D218" s="37" t="s">
        <v>203</v>
      </c>
      <c r="E218" s="37" t="s">
        <v>84</v>
      </c>
      <c r="F218" s="37">
        <v>1</v>
      </c>
      <c r="G218" s="37">
        <v>1</v>
      </c>
      <c r="H218" s="87">
        <v>46097</v>
      </c>
      <c r="I218" s="87">
        <v>46097</v>
      </c>
      <c r="J218" s="37" t="s">
        <v>77</v>
      </c>
      <c r="K218" s="38">
        <f>F218-G218</f>
        <v>0</v>
      </c>
      <c r="L218" s="39">
        <f>IF(F218=0,"",G218/F218)</f>
        <v>1</v>
      </c>
      <c r="M218" s="40">
        <f ca="1">I218-TODAY()</f>
        <v>-10</v>
      </c>
      <c r="N218">
        <f>_xlfn.ISOWEEKNUM(I218)</f>
        <v>12</v>
      </c>
      <c r="O218" t="str">
        <f>IF(ISNUMBER(SEARCH("Access Point",E218)),"AP",IF(OR(ISNUMBER(SEARCH("Switch",E218)),ISNUMBER(SEARCH("Control Type",E218))),"Switch","Infra"))</f>
        <v>Switch</v>
      </c>
    </row>
    <row r="219" spans="1:15" ht="14.25" customHeight="1">
      <c r="A219">
        <v>215</v>
      </c>
      <c r="B219" s="35" t="s">
        <v>20</v>
      </c>
      <c r="C219" s="37" t="s">
        <v>201</v>
      </c>
      <c r="D219" s="37" t="s">
        <v>203</v>
      </c>
      <c r="E219" s="37" t="s">
        <v>118</v>
      </c>
      <c r="F219" s="37">
        <v>1</v>
      </c>
      <c r="G219" s="37">
        <v>1</v>
      </c>
      <c r="H219" s="87">
        <v>46087</v>
      </c>
      <c r="I219" s="87">
        <v>46087</v>
      </c>
      <c r="J219" s="37" t="s">
        <v>77</v>
      </c>
      <c r="K219" s="38">
        <f>F219-G219</f>
        <v>0</v>
      </c>
      <c r="L219" s="39">
        <f>IF(F219=0,"",G219/F219)</f>
        <v>1</v>
      </c>
      <c r="M219" s="40">
        <f ca="1">I219-TODAY()</f>
        <v>-20</v>
      </c>
      <c r="N219">
        <f>_xlfn.ISOWEEKNUM(I219)</f>
        <v>10</v>
      </c>
      <c r="O219" t="str">
        <f>IF(ISNUMBER(SEARCH("Access Point",E219)),"AP",IF(OR(ISNUMBER(SEARCH("Switch",E219)),ISNUMBER(SEARCH("Control Type",E219))),"Switch","Infra"))</f>
        <v>Switch</v>
      </c>
    </row>
    <row r="220" spans="1:15" ht="14.25" customHeight="1">
      <c r="A220">
        <v>216</v>
      </c>
      <c r="B220" s="35" t="s">
        <v>20</v>
      </c>
      <c r="C220" s="37" t="s">
        <v>201</v>
      </c>
      <c r="D220" s="37" t="s">
        <v>204</v>
      </c>
      <c r="E220" s="37" t="s">
        <v>79</v>
      </c>
      <c r="F220" s="37">
        <v>2</v>
      </c>
      <c r="G220" s="37">
        <v>2</v>
      </c>
      <c r="H220" s="87">
        <v>46099</v>
      </c>
      <c r="I220" s="87">
        <v>46099</v>
      </c>
      <c r="J220" s="37" t="s">
        <v>77</v>
      </c>
      <c r="K220" s="38">
        <f>F220-G220</f>
        <v>0</v>
      </c>
      <c r="L220" s="39">
        <f>IF(F220=0,"",G220/F220)</f>
        <v>1</v>
      </c>
      <c r="M220" s="40">
        <f ca="1">I220-TODAY()</f>
        <v>-8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5" ht="14.25" customHeight="1">
      <c r="A221">
        <v>217</v>
      </c>
      <c r="B221" s="35" t="s">
        <v>20</v>
      </c>
      <c r="C221" s="37" t="s">
        <v>201</v>
      </c>
      <c r="D221" s="37" t="s">
        <v>204</v>
      </c>
      <c r="E221" s="37" t="s">
        <v>84</v>
      </c>
      <c r="F221" s="37">
        <v>1</v>
      </c>
      <c r="G221" s="37">
        <v>1</v>
      </c>
      <c r="H221" s="87">
        <v>46099</v>
      </c>
      <c r="I221" s="87">
        <v>46099</v>
      </c>
      <c r="J221" s="37" t="s">
        <v>77</v>
      </c>
      <c r="K221" s="38">
        <f>F221-G221</f>
        <v>0</v>
      </c>
      <c r="L221" s="39">
        <f>IF(F221=0,"",G221/F221)</f>
        <v>1</v>
      </c>
      <c r="M221" s="40">
        <f ca="1">I221-TODAY()</f>
        <v>-8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5" ht="14.25" customHeight="1">
      <c r="A222">
        <v>218</v>
      </c>
      <c r="B222" s="35" t="s">
        <v>20</v>
      </c>
      <c r="C222" s="37" t="s">
        <v>201</v>
      </c>
      <c r="D222" s="37" t="s">
        <v>204</v>
      </c>
      <c r="E222" s="37" t="s">
        <v>118</v>
      </c>
      <c r="F222" s="37">
        <v>1</v>
      </c>
      <c r="G222" s="37">
        <v>1</v>
      </c>
      <c r="H222" s="87">
        <v>46087</v>
      </c>
      <c r="I222" s="87">
        <v>46087</v>
      </c>
      <c r="J222" s="37" t="s">
        <v>77</v>
      </c>
      <c r="K222" s="38">
        <f>F222-G222</f>
        <v>0</v>
      </c>
      <c r="L222" s="39">
        <f>IF(F222=0,"",G222/F222)</f>
        <v>1</v>
      </c>
      <c r="M222" s="40">
        <f ca="1">I222-TODAY()</f>
        <v>-20</v>
      </c>
      <c r="N222">
        <f>_xlfn.ISOWEEKNUM(I222)</f>
        <v>10</v>
      </c>
      <c r="O222" t="str">
        <f>IF(ISNUMBER(SEARCH("Access Point",E222)),"AP",IF(OR(ISNUMBER(SEARCH("Switch",E222)),ISNUMBER(SEARCH("Control Type",E222))),"Switch","Infra"))</f>
        <v>Switch</v>
      </c>
    </row>
    <row r="223" spans="1:15" ht="14.25" customHeight="1">
      <c r="A223">
        <v>219</v>
      </c>
      <c r="B223" s="35" t="s">
        <v>20</v>
      </c>
      <c r="C223" s="37" t="s">
        <v>201</v>
      </c>
      <c r="D223" s="37" t="s">
        <v>205</v>
      </c>
      <c r="E223" s="37" t="s">
        <v>79</v>
      </c>
      <c r="F223" s="37">
        <v>1</v>
      </c>
      <c r="G223" s="37">
        <v>1</v>
      </c>
      <c r="H223" s="87">
        <v>46097</v>
      </c>
      <c r="I223" s="87">
        <v>46097</v>
      </c>
      <c r="J223" s="37" t="s">
        <v>77</v>
      </c>
      <c r="K223" s="38">
        <f>F223-G223</f>
        <v>0</v>
      </c>
      <c r="L223" s="39">
        <f>IF(F223=0,"",G223/F223)</f>
        <v>1</v>
      </c>
      <c r="M223" s="40">
        <f ca="1">I223-TODAY()</f>
        <v>-10</v>
      </c>
      <c r="N223">
        <f>_xlfn.ISOWEEKNUM(I223)</f>
        <v>12</v>
      </c>
      <c r="O223" t="str">
        <f>IF(ISNUMBER(SEARCH("Access Point",E223)),"AP",IF(OR(ISNUMBER(SEARCH("Switch",E223)),ISNUMBER(SEARCH("Control Type",E223))),"Switch","Infra"))</f>
        <v>Switch</v>
      </c>
    </row>
    <row r="224" spans="1:15" ht="14.25" customHeight="1">
      <c r="A224">
        <v>220</v>
      </c>
      <c r="B224" s="35" t="s">
        <v>20</v>
      </c>
      <c r="C224" s="37" t="s">
        <v>201</v>
      </c>
      <c r="D224" s="37" t="s">
        <v>205</v>
      </c>
      <c r="E224" s="37" t="s">
        <v>84</v>
      </c>
      <c r="F224" s="37">
        <v>1</v>
      </c>
      <c r="G224" s="37">
        <v>1</v>
      </c>
      <c r="H224" s="87">
        <v>46097</v>
      </c>
      <c r="I224" s="87">
        <v>46097</v>
      </c>
      <c r="J224" s="37" t="s">
        <v>77</v>
      </c>
      <c r="K224" s="38">
        <f>F224-G224</f>
        <v>0</v>
      </c>
      <c r="L224" s="39">
        <f>IF(F224=0,"",G224/F224)</f>
        <v>1</v>
      </c>
      <c r="M224" s="40">
        <f ca="1">I224-TODAY()</f>
        <v>-10</v>
      </c>
      <c r="N224">
        <f>_xlfn.ISOWEEKNUM(I224)</f>
        <v>12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221</v>
      </c>
      <c r="B225" s="35" t="s">
        <v>20</v>
      </c>
      <c r="C225" s="37" t="s">
        <v>201</v>
      </c>
      <c r="D225" s="37" t="s">
        <v>205</v>
      </c>
      <c r="E225" s="37" t="s">
        <v>118</v>
      </c>
      <c r="F225" s="37">
        <v>1</v>
      </c>
      <c r="G225" s="37">
        <v>1</v>
      </c>
      <c r="H225" s="87">
        <v>46087</v>
      </c>
      <c r="I225" s="87">
        <v>46087</v>
      </c>
      <c r="J225" s="37" t="s">
        <v>77</v>
      </c>
      <c r="K225" s="38">
        <f>F225-G225</f>
        <v>0</v>
      </c>
      <c r="L225" s="39">
        <f>IF(F225=0,"",G225/F225)</f>
        <v>1</v>
      </c>
      <c r="M225" s="40">
        <f ca="1">I225-TODAY()</f>
        <v>-20</v>
      </c>
      <c r="N225">
        <f>_xlfn.ISOWEEKNUM(I225)</f>
        <v>10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222</v>
      </c>
      <c r="B226" s="35" t="s">
        <v>20</v>
      </c>
      <c r="C226" s="37" t="s">
        <v>201</v>
      </c>
      <c r="D226" s="37" t="s">
        <v>206</v>
      </c>
      <c r="E226" s="37" t="s">
        <v>79</v>
      </c>
      <c r="F226" s="37">
        <v>1</v>
      </c>
      <c r="G226" s="37">
        <v>1</v>
      </c>
      <c r="H226" s="87">
        <v>46097</v>
      </c>
      <c r="I226" s="87">
        <v>46097</v>
      </c>
      <c r="J226" s="37" t="s">
        <v>77</v>
      </c>
      <c r="K226" s="38">
        <f>F226-G226</f>
        <v>0</v>
      </c>
      <c r="L226" s="39">
        <f>IF(F226=0,"",G226/F226)</f>
        <v>1</v>
      </c>
      <c r="M226" s="40">
        <f ca="1">I226-TODAY()</f>
        <v>-10</v>
      </c>
      <c r="N226">
        <f>_xlfn.ISOWEEKNUM(I226)</f>
        <v>12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223</v>
      </c>
      <c r="B227" s="35" t="s">
        <v>20</v>
      </c>
      <c r="C227" s="37" t="s">
        <v>201</v>
      </c>
      <c r="D227" s="37" t="s">
        <v>206</v>
      </c>
      <c r="E227" s="37" t="s">
        <v>84</v>
      </c>
      <c r="F227" s="37">
        <v>2</v>
      </c>
      <c r="G227" s="37">
        <v>2</v>
      </c>
      <c r="H227" s="87">
        <v>46097</v>
      </c>
      <c r="I227" s="87">
        <v>46097</v>
      </c>
      <c r="J227" s="37" t="s">
        <v>77</v>
      </c>
      <c r="K227" s="38">
        <f>F227-G227</f>
        <v>0</v>
      </c>
      <c r="L227" s="39">
        <f>IF(F227=0,"",G227/F227)</f>
        <v>1</v>
      </c>
      <c r="M227" s="40">
        <f ca="1">I227-TODAY()</f>
        <v>-10</v>
      </c>
      <c r="N227">
        <f>_xlfn.ISOWEEKNUM(I227)</f>
        <v>12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customHeight="1">
      <c r="A228">
        <v>224</v>
      </c>
      <c r="B228" s="35" t="s">
        <v>20</v>
      </c>
      <c r="C228" s="37" t="s">
        <v>201</v>
      </c>
      <c r="D228" s="37" t="s">
        <v>206</v>
      </c>
      <c r="E228" s="37" t="s">
        <v>118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77</v>
      </c>
      <c r="K228" s="38">
        <f>F228-G228</f>
        <v>0</v>
      </c>
      <c r="L228" s="39">
        <f>IF(F228=0,"",G228/F228)</f>
        <v>1</v>
      </c>
      <c r="M228" s="40">
        <f ca="1">I228-TODAY()</f>
        <v>-20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225</v>
      </c>
      <c r="B229" s="35" t="s">
        <v>20</v>
      </c>
      <c r="C229" s="37" t="s">
        <v>201</v>
      </c>
      <c r="D229" s="37" t="s">
        <v>207</v>
      </c>
      <c r="E229" s="37" t="s">
        <v>79</v>
      </c>
      <c r="F229" s="37">
        <v>1</v>
      </c>
      <c r="G229" s="37">
        <v>1</v>
      </c>
      <c r="H229" s="87">
        <v>46070</v>
      </c>
      <c r="I229" s="87">
        <v>46070</v>
      </c>
      <c r="J229" s="37" t="s">
        <v>77</v>
      </c>
      <c r="K229" s="38">
        <f>F229-G229</f>
        <v>0</v>
      </c>
      <c r="L229" s="39">
        <f>IF(F229=0,"",G229/F229)</f>
        <v>1</v>
      </c>
      <c r="M229" s="40">
        <f ca="1">I229-TODAY()</f>
        <v>-37</v>
      </c>
      <c r="N229">
        <f>_xlfn.ISOWEEKNUM(I229)</f>
        <v>8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226</v>
      </c>
      <c r="B230" s="35" t="s">
        <v>20</v>
      </c>
      <c r="C230" s="37" t="s">
        <v>201</v>
      </c>
      <c r="D230" s="37" t="s">
        <v>207</v>
      </c>
      <c r="E230" s="37" t="s">
        <v>84</v>
      </c>
      <c r="F230" s="37">
        <v>1</v>
      </c>
      <c r="G230" s="37">
        <v>1</v>
      </c>
      <c r="H230" s="87">
        <v>46070</v>
      </c>
      <c r="I230" s="87">
        <v>46070</v>
      </c>
      <c r="J230" s="37" t="s">
        <v>77</v>
      </c>
      <c r="K230" s="38">
        <f>F230-G230</f>
        <v>0</v>
      </c>
      <c r="L230" s="39">
        <f>IF(F230=0,"",G230/F230)</f>
        <v>1</v>
      </c>
      <c r="M230" s="40">
        <f ca="1">I230-TODAY()</f>
        <v>-37</v>
      </c>
      <c r="N230">
        <f>_xlfn.ISOWEEKNUM(I230)</f>
        <v>8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customHeight="1">
      <c r="A231">
        <v>227</v>
      </c>
      <c r="B231" s="35" t="s">
        <v>20</v>
      </c>
      <c r="C231" s="37" t="s">
        <v>201</v>
      </c>
      <c r="D231" s="37" t="s">
        <v>208</v>
      </c>
      <c r="E231" s="37" t="s">
        <v>79</v>
      </c>
      <c r="F231" s="37">
        <v>1</v>
      </c>
      <c r="G231" s="37"/>
      <c r="H231" s="87"/>
      <c r="I231" s="87">
        <v>46132</v>
      </c>
      <c r="J231" s="37" t="s">
        <v>4</v>
      </c>
      <c r="K231" s="38">
        <f>F231-G231</f>
        <v>1</v>
      </c>
      <c r="L231" s="39">
        <f>IF(F231=0,"",G231/F231)</f>
        <v>0</v>
      </c>
      <c r="M231" s="40">
        <f ca="1">I231-TODAY()</f>
        <v>25</v>
      </c>
      <c r="N231">
        <f>_xlfn.ISOWEEKNUM(I231)</f>
        <v>17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228</v>
      </c>
      <c r="B232" s="35" t="s">
        <v>20</v>
      </c>
      <c r="C232" s="37" t="s">
        <v>201</v>
      </c>
      <c r="D232" s="37" t="s">
        <v>208</v>
      </c>
      <c r="E232" s="37" t="s">
        <v>84</v>
      </c>
      <c r="F232" s="37">
        <v>1</v>
      </c>
      <c r="G232" s="37"/>
      <c r="H232" s="87"/>
      <c r="I232" s="87">
        <v>46132</v>
      </c>
      <c r="J232" s="37" t="s">
        <v>4</v>
      </c>
      <c r="K232" s="38">
        <f>F232-G232</f>
        <v>1</v>
      </c>
      <c r="L232" s="39">
        <f>IF(F232=0,"",G232/F232)</f>
        <v>0</v>
      </c>
      <c r="M232" s="40">
        <f ca="1">I232-TODAY()</f>
        <v>25</v>
      </c>
      <c r="N232">
        <f>_xlfn.ISOWEEKNUM(I232)</f>
        <v>17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229</v>
      </c>
      <c r="B233" s="35" t="s">
        <v>20</v>
      </c>
      <c r="C233" s="37" t="s">
        <v>201</v>
      </c>
      <c r="D233" s="37" t="s">
        <v>209</v>
      </c>
      <c r="E233" s="37" t="s">
        <v>79</v>
      </c>
      <c r="F233" s="37">
        <v>1</v>
      </c>
      <c r="G233" s="37">
        <v>1</v>
      </c>
      <c r="H233" s="87">
        <v>46100</v>
      </c>
      <c r="I233" s="87">
        <v>46100</v>
      </c>
      <c r="J233" s="37" t="s">
        <v>77</v>
      </c>
      <c r="K233" s="38">
        <f>F233-G233</f>
        <v>0</v>
      </c>
      <c r="L233" s="39">
        <f>IF(F233=0,"",G233/F233)</f>
        <v>1</v>
      </c>
      <c r="M233" s="40">
        <f ca="1">I233-TODAY()</f>
        <v>-7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customHeight="1">
      <c r="A234">
        <v>230</v>
      </c>
      <c r="B234" s="35" t="s">
        <v>20</v>
      </c>
      <c r="C234" s="37" t="s">
        <v>201</v>
      </c>
      <c r="D234" s="37" t="s">
        <v>209</v>
      </c>
      <c r="E234" s="37" t="s">
        <v>84</v>
      </c>
      <c r="F234" s="37">
        <v>1</v>
      </c>
      <c r="G234" s="37">
        <v>1</v>
      </c>
      <c r="H234" s="87">
        <v>46100</v>
      </c>
      <c r="I234" s="87">
        <v>46100</v>
      </c>
      <c r="J234" s="37" t="s">
        <v>77</v>
      </c>
      <c r="K234" s="38">
        <f>F234-G234</f>
        <v>0</v>
      </c>
      <c r="L234" s="39">
        <f>IF(F234=0,"",G234/F234)</f>
        <v>1</v>
      </c>
      <c r="M234" s="40">
        <f ca="1">I234-TODAY()</f>
        <v>-7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231</v>
      </c>
      <c r="B235" s="35" t="s">
        <v>20</v>
      </c>
      <c r="C235" s="37" t="s">
        <v>201</v>
      </c>
      <c r="D235" s="37" t="s">
        <v>210</v>
      </c>
      <c r="E235" s="37" t="s">
        <v>79</v>
      </c>
      <c r="F235" s="37">
        <v>1</v>
      </c>
      <c r="G235" s="37">
        <v>1</v>
      </c>
      <c r="H235" s="87">
        <v>46100</v>
      </c>
      <c r="I235" s="87">
        <v>46100</v>
      </c>
      <c r="J235" s="37" t="s">
        <v>77</v>
      </c>
      <c r="K235" s="38">
        <f>F235-G235</f>
        <v>0</v>
      </c>
      <c r="L235" s="39">
        <f>IF(F235=0,"",G235/F235)</f>
        <v>1</v>
      </c>
      <c r="M235" s="40">
        <f ca="1">I235-TODAY()</f>
        <v>-7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232</v>
      </c>
      <c r="B236" s="35" t="s">
        <v>20</v>
      </c>
      <c r="C236" s="37" t="s">
        <v>201</v>
      </c>
      <c r="D236" s="37" t="s">
        <v>210</v>
      </c>
      <c r="E236" s="37" t="s">
        <v>84</v>
      </c>
      <c r="F236" s="37">
        <v>1</v>
      </c>
      <c r="G236" s="37">
        <v>1</v>
      </c>
      <c r="H236" s="87">
        <v>46100</v>
      </c>
      <c r="I236" s="87">
        <v>46100</v>
      </c>
      <c r="J236" s="37" t="s">
        <v>77</v>
      </c>
      <c r="K236" s="38">
        <f>F236-G236</f>
        <v>0</v>
      </c>
      <c r="L236" s="39">
        <f>IF(F236=0,"",G236/F236)</f>
        <v>1</v>
      </c>
      <c r="M236" s="40">
        <f ca="1">I236-TODAY()</f>
        <v>-7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customHeight="1">
      <c r="A237">
        <v>233</v>
      </c>
      <c r="B237" s="35" t="s">
        <v>20</v>
      </c>
      <c r="C237" s="37" t="s">
        <v>201</v>
      </c>
      <c r="D237" s="37" t="s">
        <v>211</v>
      </c>
      <c r="E237" s="37" t="s">
        <v>79</v>
      </c>
      <c r="F237" s="37">
        <v>1</v>
      </c>
      <c r="G237" s="37">
        <v>1</v>
      </c>
      <c r="H237" s="87">
        <v>46101</v>
      </c>
      <c r="I237" s="87">
        <v>46133</v>
      </c>
      <c r="J237" s="37" t="s">
        <v>4</v>
      </c>
      <c r="K237" s="38">
        <f>F237-G237</f>
        <v>0</v>
      </c>
      <c r="L237" s="39">
        <f>IF(F237=0,"",G237/F237)</f>
        <v>1</v>
      </c>
      <c r="M237" s="40">
        <f ca="1">I237-TODAY()</f>
        <v>26</v>
      </c>
      <c r="N237">
        <f>_xlfn.ISOWEEKNUM(I237)</f>
        <v>17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234</v>
      </c>
      <c r="B238" s="35" t="s">
        <v>20</v>
      </c>
      <c r="C238" s="37" t="s">
        <v>201</v>
      </c>
      <c r="D238" s="37" t="s">
        <v>211</v>
      </c>
      <c r="E238" s="37" t="s">
        <v>84</v>
      </c>
      <c r="F238" s="37">
        <v>1</v>
      </c>
      <c r="G238" s="37">
        <v>1</v>
      </c>
      <c r="H238" s="87">
        <v>46101</v>
      </c>
      <c r="I238" s="87">
        <v>46133</v>
      </c>
      <c r="J238" s="37" t="s">
        <v>4</v>
      </c>
      <c r="K238" s="38">
        <f>F238-G238</f>
        <v>0</v>
      </c>
      <c r="L238" s="39">
        <f>IF(F238=0,"",G238/F238)</f>
        <v>1</v>
      </c>
      <c r="M238" s="40">
        <f ca="1">I238-TODAY()</f>
        <v>26</v>
      </c>
      <c r="N238">
        <f>_xlfn.ISOWEEKNUM(I238)</f>
        <v>17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235</v>
      </c>
      <c r="B239" s="35" t="s">
        <v>20</v>
      </c>
      <c r="C239" s="37" t="s">
        <v>201</v>
      </c>
      <c r="D239" s="37" t="s">
        <v>212</v>
      </c>
      <c r="E239" s="37" t="s">
        <v>79</v>
      </c>
      <c r="F239" s="37">
        <v>1</v>
      </c>
      <c r="G239" s="37">
        <v>1</v>
      </c>
      <c r="H239" s="87">
        <v>46101</v>
      </c>
      <c r="I239" s="87">
        <v>46133</v>
      </c>
      <c r="J239" s="37" t="s">
        <v>4</v>
      </c>
      <c r="K239" s="38">
        <f>F239-G239</f>
        <v>0</v>
      </c>
      <c r="L239" s="39">
        <f>IF(F239=0,"",G239/F239)</f>
        <v>1</v>
      </c>
      <c r="M239" s="40">
        <f ca="1">I239-TODAY()</f>
        <v>26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customHeight="1">
      <c r="A240">
        <v>236</v>
      </c>
      <c r="B240" s="35" t="s">
        <v>20</v>
      </c>
      <c r="C240" s="37" t="s">
        <v>201</v>
      </c>
      <c r="D240" s="37" t="s">
        <v>212</v>
      </c>
      <c r="E240" s="37" t="s">
        <v>84</v>
      </c>
      <c r="F240" s="37">
        <v>1</v>
      </c>
      <c r="G240" s="37">
        <v>1</v>
      </c>
      <c r="H240" s="87">
        <v>46101</v>
      </c>
      <c r="I240" s="87">
        <v>46133</v>
      </c>
      <c r="J240" s="37" t="s">
        <v>4</v>
      </c>
      <c r="K240" s="38">
        <f>F240-G240</f>
        <v>0</v>
      </c>
      <c r="L240" s="39">
        <f>IF(F240=0,"",G240/F240)</f>
        <v>1</v>
      </c>
      <c r="M240" s="40">
        <f ca="1">I240-TODAY()</f>
        <v>26</v>
      </c>
      <c r="N240">
        <f>_xlfn.ISOWEEKNUM(I240)</f>
        <v>17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237</v>
      </c>
      <c r="B241" s="35" t="s">
        <v>20</v>
      </c>
      <c r="C241" s="37" t="s">
        <v>201</v>
      </c>
      <c r="D241" s="37" t="s">
        <v>213</v>
      </c>
      <c r="E241" s="37" t="s">
        <v>79</v>
      </c>
      <c r="F241" s="37">
        <v>1</v>
      </c>
      <c r="G241" s="37">
        <v>1</v>
      </c>
      <c r="H241" s="87">
        <v>46101</v>
      </c>
      <c r="I241" s="87">
        <v>46133</v>
      </c>
      <c r="J241" s="37" t="s">
        <v>4</v>
      </c>
      <c r="K241" s="38">
        <f>F241-G241</f>
        <v>0</v>
      </c>
      <c r="L241" s="39">
        <f>IF(F241=0,"",G241/F241)</f>
        <v>1</v>
      </c>
      <c r="M241" s="40">
        <f ca="1">I241-TODAY()</f>
        <v>26</v>
      </c>
      <c r="N241">
        <f>_xlfn.ISOWEEKNUM(I241)</f>
        <v>17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238</v>
      </c>
      <c r="B242" s="35" t="s">
        <v>20</v>
      </c>
      <c r="C242" s="37" t="s">
        <v>201</v>
      </c>
      <c r="D242" s="37" t="s">
        <v>213</v>
      </c>
      <c r="E242" s="37" t="s">
        <v>84</v>
      </c>
      <c r="F242" s="37">
        <v>1</v>
      </c>
      <c r="G242" s="37">
        <v>1</v>
      </c>
      <c r="H242" s="87">
        <v>46101</v>
      </c>
      <c r="I242" s="87">
        <v>46133</v>
      </c>
      <c r="J242" s="37" t="s">
        <v>4</v>
      </c>
      <c r="K242" s="38">
        <f>F242-G242</f>
        <v>0</v>
      </c>
      <c r="L242" s="39">
        <f>IF(F242=0,"",G242/F242)</f>
        <v>1</v>
      </c>
      <c r="M242" s="40">
        <f ca="1">I242-TODAY()</f>
        <v>26</v>
      </c>
      <c r="N242">
        <f>_xlfn.ISOWEEKNUM(I242)</f>
        <v>17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239</v>
      </c>
      <c r="B243" s="35" t="s">
        <v>20</v>
      </c>
      <c r="C243" s="37" t="s">
        <v>201</v>
      </c>
      <c r="D243" s="37" t="s">
        <v>213</v>
      </c>
      <c r="E243" s="37" t="s">
        <v>118</v>
      </c>
      <c r="F243" s="37">
        <v>1</v>
      </c>
      <c r="G243" s="37">
        <v>1</v>
      </c>
      <c r="H243" s="87">
        <v>46101</v>
      </c>
      <c r="I243" s="87">
        <v>46133</v>
      </c>
      <c r="J243" s="37" t="s">
        <v>4</v>
      </c>
      <c r="K243" s="38">
        <f>F243-G243</f>
        <v>0</v>
      </c>
      <c r="L243" s="39">
        <f>IF(F243=0,"",G243/F243)</f>
        <v>1</v>
      </c>
      <c r="M243" s="40">
        <f ca="1">I243-TODAY()</f>
        <v>26</v>
      </c>
      <c r="N243">
        <f>_xlfn.ISOWEEKNUM(I243)</f>
        <v>17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240</v>
      </c>
      <c r="B244" s="35" t="s">
        <v>20</v>
      </c>
      <c r="C244" s="37" t="s">
        <v>201</v>
      </c>
      <c r="D244" s="37" t="s">
        <v>214</v>
      </c>
      <c r="E244" s="37" t="s">
        <v>79</v>
      </c>
      <c r="F244" s="37">
        <v>1</v>
      </c>
      <c r="G244" s="37">
        <v>1</v>
      </c>
      <c r="H244" s="87">
        <v>46101</v>
      </c>
      <c r="I244" s="87">
        <v>46133</v>
      </c>
      <c r="J244" s="37" t="s">
        <v>4</v>
      </c>
      <c r="K244" s="38">
        <f>F244-G244</f>
        <v>0</v>
      </c>
      <c r="L244" s="39">
        <f>IF(F244=0,"",G244/F244)</f>
        <v>1</v>
      </c>
      <c r="M244" s="40">
        <f ca="1">I244-TODAY()</f>
        <v>26</v>
      </c>
      <c r="N244">
        <f>_xlfn.ISOWEEKNUM(I244)</f>
        <v>17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241</v>
      </c>
      <c r="B245" s="35" t="s">
        <v>20</v>
      </c>
      <c r="C245" s="37" t="s">
        <v>201</v>
      </c>
      <c r="D245" s="37" t="s">
        <v>214</v>
      </c>
      <c r="E245" s="37" t="s">
        <v>84</v>
      </c>
      <c r="F245" s="37">
        <v>1</v>
      </c>
      <c r="G245" s="37">
        <v>1</v>
      </c>
      <c r="H245" s="87">
        <v>46101</v>
      </c>
      <c r="I245" s="87">
        <v>46133</v>
      </c>
      <c r="J245" s="37" t="s">
        <v>4</v>
      </c>
      <c r="K245" s="38">
        <f>F245-G245</f>
        <v>0</v>
      </c>
      <c r="L245" s="39">
        <f>IF(F245=0,"",G245/F245)</f>
        <v>1</v>
      </c>
      <c r="M245" s="40">
        <f ca="1">I245-TODAY()</f>
        <v>26</v>
      </c>
      <c r="N245">
        <f>_xlfn.ISOWEEKNUM(I245)</f>
        <v>17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242</v>
      </c>
      <c r="B246" s="35" t="s">
        <v>20</v>
      </c>
      <c r="C246" s="37" t="s">
        <v>215</v>
      </c>
      <c r="D246" s="37" t="s">
        <v>216</v>
      </c>
      <c r="E246" s="37" t="s">
        <v>79</v>
      </c>
      <c r="F246" s="37">
        <v>1</v>
      </c>
      <c r="G246" s="37">
        <v>1</v>
      </c>
      <c r="H246" s="87">
        <v>46070</v>
      </c>
      <c r="I246" s="87">
        <v>46069</v>
      </c>
      <c r="J246" s="37" t="s">
        <v>77</v>
      </c>
      <c r="K246" s="38">
        <f>F246-G246</f>
        <v>0</v>
      </c>
      <c r="L246" s="39">
        <f>IF(F246=0,"",G246/F246)</f>
        <v>1</v>
      </c>
      <c r="M246" s="40">
        <f ca="1">I246-TODAY()</f>
        <v>-38</v>
      </c>
      <c r="N246">
        <f>_xlfn.ISOWEEKNUM(I246)</f>
        <v>8</v>
      </c>
      <c r="O246" t="str">
        <f>IF(ISNUMBER(SEARCH("Access Point",E246)),"AP",IF(OR(ISNUMBER(SEARCH("Switch",E246)),ISNUMBER(SEARCH("Control Type",E246))),"Switch","Infra"))</f>
        <v>Switch</v>
      </c>
    </row>
    <row r="247" spans="1:16" ht="14.25" customHeight="1">
      <c r="A247">
        <v>243</v>
      </c>
      <c r="B247" s="35" t="s">
        <v>20</v>
      </c>
      <c r="C247" s="37" t="s">
        <v>215</v>
      </c>
      <c r="D247" s="37" t="s">
        <v>216</v>
      </c>
      <c r="E247" s="37" t="s">
        <v>84</v>
      </c>
      <c r="F247" s="37">
        <v>1</v>
      </c>
      <c r="G247" s="37">
        <v>1</v>
      </c>
      <c r="H247" s="87">
        <v>46070</v>
      </c>
      <c r="I247" s="87">
        <v>46069</v>
      </c>
      <c r="J247" s="37" t="s">
        <v>77</v>
      </c>
      <c r="K247" s="38">
        <f>F247-G247</f>
        <v>0</v>
      </c>
      <c r="L247" s="39">
        <f>IF(F247=0,"",G247/F247)</f>
        <v>1</v>
      </c>
      <c r="M247" s="40">
        <f ca="1">I247-TODAY()</f>
        <v>-38</v>
      </c>
      <c r="N247">
        <f>_xlfn.ISOWEEKNUM(I247)</f>
        <v>8</v>
      </c>
      <c r="O247" t="str">
        <f>IF(ISNUMBER(SEARCH("Access Point",E247)),"AP",IF(OR(ISNUMBER(SEARCH("Switch",E247)),ISNUMBER(SEARCH("Control Type",E247))),"Switch","Infra"))</f>
        <v>Switch</v>
      </c>
    </row>
    <row r="248" spans="1:16" ht="15" customHeight="1">
      <c r="A248">
        <v>244</v>
      </c>
      <c r="B248" s="35" t="s">
        <v>20</v>
      </c>
      <c r="C248" s="37" t="s">
        <v>215</v>
      </c>
      <c r="D248" s="37" t="s">
        <v>216</v>
      </c>
      <c r="E248" s="37" t="s">
        <v>120</v>
      </c>
      <c r="F248" s="37">
        <v>2</v>
      </c>
      <c r="G248" s="37">
        <v>1</v>
      </c>
      <c r="H248" s="87">
        <v>46062</v>
      </c>
      <c r="I248" s="87">
        <v>46174</v>
      </c>
      <c r="J248" s="37" t="s">
        <v>5</v>
      </c>
      <c r="K248" s="38">
        <f>F248-G248</f>
        <v>1</v>
      </c>
      <c r="L248" s="39">
        <f>IF(F248=0,"",G248/F248)</f>
        <v>0.5</v>
      </c>
      <c r="M248" s="40">
        <f ca="1">I248-TODAY()</f>
        <v>67</v>
      </c>
      <c r="N248">
        <f>_xlfn.ISOWEEKNUM(I248)</f>
        <v>23</v>
      </c>
      <c r="O248" t="str">
        <f>IF(ISNUMBER(SEARCH("Access Point",E248)),"AP",IF(OR(ISNUMBER(SEARCH("Switch",E248)),ISNUMBER(SEARCH("Control Type",E248))),"Switch","Infra"))</f>
        <v>Switch</v>
      </c>
      <c r="P248" s="41" t="s">
        <v>217</v>
      </c>
    </row>
    <row r="249" spans="1:16" ht="14.25" customHeight="1">
      <c r="A249">
        <v>245</v>
      </c>
      <c r="B249" s="35" t="s">
        <v>20</v>
      </c>
      <c r="C249" s="37" t="s">
        <v>215</v>
      </c>
      <c r="D249" s="37" t="s">
        <v>218</v>
      </c>
      <c r="E249" s="37" t="s">
        <v>79</v>
      </c>
      <c r="F249" s="37">
        <v>1</v>
      </c>
      <c r="G249" s="37">
        <v>1</v>
      </c>
      <c r="H249" s="87">
        <v>46099</v>
      </c>
      <c r="I249" s="87">
        <v>46099</v>
      </c>
      <c r="J249" s="37" t="s">
        <v>77</v>
      </c>
      <c r="K249" s="38">
        <f>F249-G249</f>
        <v>0</v>
      </c>
      <c r="L249" s="39">
        <f>IF(F249=0,"",G249/F249)</f>
        <v>1</v>
      </c>
      <c r="M249" s="40">
        <f ca="1">I249-TODAY()</f>
        <v>-8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246</v>
      </c>
      <c r="B250" s="35" t="s">
        <v>20</v>
      </c>
      <c r="C250" s="37" t="s">
        <v>215</v>
      </c>
      <c r="D250" s="37" t="s">
        <v>218</v>
      </c>
      <c r="E250" s="37" t="s">
        <v>84</v>
      </c>
      <c r="F250" s="37">
        <v>1</v>
      </c>
      <c r="G250" s="37">
        <v>1</v>
      </c>
      <c r="H250" s="87">
        <v>46099</v>
      </c>
      <c r="I250" s="87">
        <v>46099</v>
      </c>
      <c r="J250" s="37" t="s">
        <v>77</v>
      </c>
      <c r="K250" s="38">
        <f>F250-G250</f>
        <v>0</v>
      </c>
      <c r="L250" s="39">
        <f>IF(F250=0,"",G250/F250)</f>
        <v>1</v>
      </c>
      <c r="M250" s="40">
        <f ca="1">I250-TODAY()</f>
        <v>-8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247</v>
      </c>
      <c r="B251" s="35" t="s">
        <v>20</v>
      </c>
      <c r="C251" s="37" t="s">
        <v>215</v>
      </c>
      <c r="D251" s="37" t="s">
        <v>218</v>
      </c>
      <c r="E251" s="37" t="s">
        <v>118</v>
      </c>
      <c r="F251" s="37">
        <v>1</v>
      </c>
      <c r="G251" s="37">
        <v>1</v>
      </c>
      <c r="H251" s="87">
        <v>46087</v>
      </c>
      <c r="I251" s="87">
        <v>46087</v>
      </c>
      <c r="J251" s="37" t="s">
        <v>77</v>
      </c>
      <c r="K251" s="38">
        <f>F251-G251</f>
        <v>0</v>
      </c>
      <c r="L251" s="39">
        <f>IF(F251=0,"",G251/F251)</f>
        <v>1</v>
      </c>
      <c r="M251" s="40">
        <f ca="1">I251-TODAY()</f>
        <v>-20</v>
      </c>
      <c r="N251">
        <f>_xlfn.ISOWEEKNUM(I251)</f>
        <v>10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248</v>
      </c>
      <c r="B252" s="35" t="s">
        <v>20</v>
      </c>
      <c r="C252" s="37" t="s">
        <v>215</v>
      </c>
      <c r="D252" s="37" t="s">
        <v>219</v>
      </c>
      <c r="E252" s="37" t="s">
        <v>79</v>
      </c>
      <c r="F252" s="37">
        <v>1</v>
      </c>
      <c r="G252" s="37"/>
      <c r="H252" s="87"/>
      <c r="I252" s="87">
        <v>46135</v>
      </c>
      <c r="J252" s="37" t="s">
        <v>4</v>
      </c>
      <c r="K252" s="38">
        <f>F252-G252</f>
        <v>1</v>
      </c>
      <c r="L252" s="39">
        <f>IF(F252=0,"",G252/F252)</f>
        <v>0</v>
      </c>
      <c r="M252" s="40">
        <f ca="1">I252-TODAY()</f>
        <v>28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249</v>
      </c>
      <c r="B253" s="35" t="s">
        <v>20</v>
      </c>
      <c r="C253" s="37" t="s">
        <v>215</v>
      </c>
      <c r="D253" s="37" t="s">
        <v>219</v>
      </c>
      <c r="E253" s="37" t="s">
        <v>84</v>
      </c>
      <c r="F253" s="37">
        <v>1</v>
      </c>
      <c r="G253" s="37"/>
      <c r="H253" s="87"/>
      <c r="I253" s="87">
        <v>46135</v>
      </c>
      <c r="J253" s="37" t="s">
        <v>4</v>
      </c>
      <c r="K253" s="38">
        <f>F253-G253</f>
        <v>1</v>
      </c>
      <c r="L253" s="39">
        <f>IF(F253=0,"",G253/F253)</f>
        <v>0</v>
      </c>
      <c r="M253" s="40">
        <f ca="1">I253-TODAY()</f>
        <v>28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250</v>
      </c>
      <c r="B254" s="35" t="s">
        <v>20</v>
      </c>
      <c r="C254" s="37" t="s">
        <v>215</v>
      </c>
      <c r="D254" s="37" t="s">
        <v>219</v>
      </c>
      <c r="E254" s="37" t="s">
        <v>118</v>
      </c>
      <c r="F254" s="37">
        <v>1</v>
      </c>
      <c r="G254" s="37">
        <v>1</v>
      </c>
      <c r="H254" s="87">
        <v>46087</v>
      </c>
      <c r="I254" s="87">
        <v>46087</v>
      </c>
      <c r="J254" s="37" t="s">
        <v>77</v>
      </c>
      <c r="K254" s="38">
        <f>F254-G254</f>
        <v>0</v>
      </c>
      <c r="L254" s="39">
        <f>IF(F254=0,"",G254/F254)</f>
        <v>1</v>
      </c>
      <c r="M254" s="40">
        <f ca="1">I254-TODAY()</f>
        <v>-20</v>
      </c>
      <c r="N254">
        <f>_xlfn.ISOWEEKNUM(I254)</f>
        <v>10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customHeight="1">
      <c r="A255">
        <v>251</v>
      </c>
      <c r="B255" s="35" t="s">
        <v>20</v>
      </c>
      <c r="C255" s="37" t="s">
        <v>215</v>
      </c>
      <c r="D255" s="37" t="s">
        <v>220</v>
      </c>
      <c r="E255" s="37" t="s">
        <v>79</v>
      </c>
      <c r="F255" s="37">
        <v>2</v>
      </c>
      <c r="G255" s="37">
        <v>2</v>
      </c>
      <c r="H255" s="87">
        <v>46070</v>
      </c>
      <c r="I255" s="87">
        <v>46069</v>
      </c>
      <c r="J255" s="37" t="s">
        <v>77</v>
      </c>
      <c r="K255" s="38">
        <f>F255-G255</f>
        <v>0</v>
      </c>
      <c r="L255" s="39">
        <f>IF(F255=0,"",G255/F255)</f>
        <v>1</v>
      </c>
      <c r="M255" s="40">
        <f ca="1">I255-TODAY()</f>
        <v>-38</v>
      </c>
      <c r="N255">
        <f>_xlfn.ISOWEEKNUM(I255)</f>
        <v>8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252</v>
      </c>
      <c r="B256" s="35" t="s">
        <v>20</v>
      </c>
      <c r="C256" s="37" t="s">
        <v>215</v>
      </c>
      <c r="D256" s="37" t="s">
        <v>220</v>
      </c>
      <c r="E256" s="37" t="s">
        <v>84</v>
      </c>
      <c r="F256" s="37">
        <v>1</v>
      </c>
      <c r="G256" s="37">
        <v>1</v>
      </c>
      <c r="H256" s="87">
        <v>46070</v>
      </c>
      <c r="I256" s="87">
        <v>46069</v>
      </c>
      <c r="J256" s="37" t="s">
        <v>77</v>
      </c>
      <c r="K256" s="38">
        <f>F256-G256</f>
        <v>0</v>
      </c>
      <c r="L256" s="39">
        <f>IF(F256=0,"",G256/F256)</f>
        <v>1</v>
      </c>
      <c r="M256" s="40">
        <f ca="1">I256-TODAY()</f>
        <v>-38</v>
      </c>
      <c r="N256">
        <f>_xlfn.ISOWEEKNUM(I256)</f>
        <v>8</v>
      </c>
      <c r="O256" t="str">
        <f>IF(ISNUMBER(SEARCH("Access Point",E256)),"AP",IF(OR(ISNUMBER(SEARCH("Switch",E256)),ISNUMBER(SEARCH("Control Type",E256))),"Switch","Infra"))</f>
        <v>Switch</v>
      </c>
    </row>
    <row r="257" spans="1:16" ht="14.25" customHeight="1">
      <c r="A257">
        <v>253</v>
      </c>
      <c r="B257" s="35" t="s">
        <v>20</v>
      </c>
      <c r="C257" s="37" t="s">
        <v>215</v>
      </c>
      <c r="D257" s="37" t="s">
        <v>221</v>
      </c>
      <c r="E257" s="37" t="s">
        <v>79</v>
      </c>
      <c r="F257" s="37">
        <v>1</v>
      </c>
      <c r="G257" s="37"/>
      <c r="H257" s="87"/>
      <c r="I257" s="87">
        <v>46174</v>
      </c>
      <c r="J257" s="37" t="s">
        <v>5</v>
      </c>
      <c r="K257" s="38">
        <f>F257-G257</f>
        <v>1</v>
      </c>
      <c r="L257" s="39">
        <f>IF(F257=0,"",G257/F257)</f>
        <v>0</v>
      </c>
      <c r="M257" s="40">
        <f ca="1">I257-TODAY()</f>
        <v>67</v>
      </c>
      <c r="N257">
        <f>_xlfn.ISOWEEKNUM(I257)</f>
        <v>23</v>
      </c>
      <c r="O257" t="str">
        <f>IF(ISNUMBER(SEARCH("Access Point",E257)),"AP",IF(OR(ISNUMBER(SEARCH("Switch",E257)),ISNUMBER(SEARCH("Control Type",E257))),"Switch","Infra"))</f>
        <v>Switch</v>
      </c>
      <c r="P257" t="s">
        <v>165</v>
      </c>
    </row>
    <row r="258" spans="1:16" ht="14.25" customHeight="1">
      <c r="A258">
        <v>254</v>
      </c>
      <c r="B258" s="35" t="s">
        <v>20</v>
      </c>
      <c r="C258" s="37" t="s">
        <v>215</v>
      </c>
      <c r="D258" s="37" t="s">
        <v>221</v>
      </c>
      <c r="E258" s="37" t="s">
        <v>84</v>
      </c>
      <c r="F258" s="37">
        <v>1</v>
      </c>
      <c r="G258" s="37"/>
      <c r="H258" s="87"/>
      <c r="I258" s="87">
        <v>46174</v>
      </c>
      <c r="J258" s="37" t="s">
        <v>5</v>
      </c>
      <c r="K258" s="38">
        <f>F258-G258</f>
        <v>1</v>
      </c>
      <c r="L258" s="39">
        <f>IF(F258=0,"",G258/F258)</f>
        <v>0</v>
      </c>
      <c r="M258" s="40">
        <f ca="1">I258-TODAY()</f>
        <v>67</v>
      </c>
      <c r="N258">
        <f>_xlfn.ISOWEEKNUM(I258)</f>
        <v>23</v>
      </c>
      <c r="O258" t="str">
        <f>IF(ISNUMBER(SEARCH("Access Point",E258)),"AP",IF(OR(ISNUMBER(SEARCH("Switch",E258)),ISNUMBER(SEARCH("Control Type",E258))),"Switch","Infra"))</f>
        <v>Switch</v>
      </c>
    </row>
    <row r="259" spans="1:16" ht="14.25" customHeight="1">
      <c r="A259">
        <v>255</v>
      </c>
      <c r="B259" s="35" t="s">
        <v>20</v>
      </c>
      <c r="C259" s="37" t="s">
        <v>215</v>
      </c>
      <c r="D259" s="37" t="s">
        <v>222</v>
      </c>
      <c r="E259" s="37" t="s">
        <v>79</v>
      </c>
      <c r="F259" s="37">
        <v>1</v>
      </c>
      <c r="G259" s="37">
        <v>1</v>
      </c>
      <c r="H259" s="87">
        <v>46097</v>
      </c>
      <c r="I259" s="87">
        <v>46097</v>
      </c>
      <c r="J259" s="37" t="s">
        <v>77</v>
      </c>
      <c r="K259" s="38">
        <f>F259-G259</f>
        <v>0</v>
      </c>
      <c r="L259" s="39">
        <f>IF(F259=0,"",G259/F259)</f>
        <v>1</v>
      </c>
      <c r="M259" s="40">
        <f ca="1">I259-TODAY()</f>
        <v>-10</v>
      </c>
      <c r="N259">
        <f>_xlfn.ISOWEEKNUM(I259)</f>
        <v>12</v>
      </c>
      <c r="O259" t="str">
        <f>IF(ISNUMBER(SEARCH("Access Point",E259)),"AP",IF(OR(ISNUMBER(SEARCH("Switch",E259)),ISNUMBER(SEARCH("Control Type",E259))),"Switch","Infra"))</f>
        <v>Switch</v>
      </c>
    </row>
    <row r="260" spans="1:16" ht="14.25" customHeight="1">
      <c r="A260">
        <v>256</v>
      </c>
      <c r="B260" s="35" t="s">
        <v>20</v>
      </c>
      <c r="C260" s="37" t="s">
        <v>215</v>
      </c>
      <c r="D260" s="37" t="s">
        <v>222</v>
      </c>
      <c r="E260" s="37" t="s">
        <v>84</v>
      </c>
      <c r="F260" s="37">
        <v>1</v>
      </c>
      <c r="G260" s="37">
        <v>1</v>
      </c>
      <c r="H260" s="87">
        <v>46097</v>
      </c>
      <c r="I260" s="87">
        <v>46097</v>
      </c>
      <c r="J260" s="37" t="s">
        <v>77</v>
      </c>
      <c r="K260" s="38">
        <f>F260-G260</f>
        <v>0</v>
      </c>
      <c r="L260" s="39">
        <f>IF(F260=0,"",G260/F260)</f>
        <v>1</v>
      </c>
      <c r="M260" s="40">
        <f ca="1">I260-TODAY()</f>
        <v>-10</v>
      </c>
      <c r="N260">
        <f>_xlfn.ISOWEEKNUM(I260)</f>
        <v>12</v>
      </c>
      <c r="O260" t="str">
        <f>IF(ISNUMBER(SEARCH("Access Point",E260)),"AP",IF(OR(ISNUMBER(SEARCH("Switch",E260)),ISNUMBER(SEARCH("Control Type",E260))),"Switch","Infra"))</f>
        <v>Switch</v>
      </c>
    </row>
    <row r="261" spans="1:16" ht="14.25" customHeight="1">
      <c r="A261">
        <v>257</v>
      </c>
      <c r="B261" s="35" t="s">
        <v>20</v>
      </c>
      <c r="C261" s="37" t="s">
        <v>215</v>
      </c>
      <c r="D261" s="37" t="s">
        <v>223</v>
      </c>
      <c r="E261" s="37" t="s">
        <v>79</v>
      </c>
      <c r="F261" s="37">
        <v>1</v>
      </c>
      <c r="G261" s="37">
        <v>1</v>
      </c>
      <c r="H261" s="87">
        <v>46097</v>
      </c>
      <c r="I261" s="87">
        <v>46097</v>
      </c>
      <c r="J261" s="37" t="s">
        <v>77</v>
      </c>
      <c r="K261" s="38">
        <f>F261-G261</f>
        <v>0</v>
      </c>
      <c r="L261" s="39">
        <f>IF(F261=0,"",G261/F261)</f>
        <v>1</v>
      </c>
      <c r="M261" s="40">
        <f ca="1">I261-TODAY()</f>
        <v>-10</v>
      </c>
      <c r="N261">
        <f>_xlfn.ISOWEEKNUM(I261)</f>
        <v>12</v>
      </c>
      <c r="O261" t="str">
        <f>IF(ISNUMBER(SEARCH("Access Point",E261)),"AP",IF(OR(ISNUMBER(SEARCH("Switch",E261)),ISNUMBER(SEARCH("Control Type",E261))),"Switch","Infra"))</f>
        <v>Switch</v>
      </c>
    </row>
    <row r="262" spans="1:16" ht="14.25" customHeight="1">
      <c r="A262">
        <v>258</v>
      </c>
      <c r="B262" s="35" t="s">
        <v>20</v>
      </c>
      <c r="C262" s="37" t="s">
        <v>215</v>
      </c>
      <c r="D262" s="37" t="s">
        <v>223</v>
      </c>
      <c r="E262" s="37" t="s">
        <v>84</v>
      </c>
      <c r="F262" s="37">
        <v>1</v>
      </c>
      <c r="G262" s="37">
        <v>1</v>
      </c>
      <c r="H262" s="87">
        <v>46097</v>
      </c>
      <c r="I262" s="87">
        <v>46097</v>
      </c>
      <c r="J262" s="37" t="s">
        <v>77</v>
      </c>
      <c r="K262" s="38">
        <f>F262-G262</f>
        <v>0</v>
      </c>
      <c r="L262" s="39">
        <f>IF(F262=0,"",G262/F262)</f>
        <v>1</v>
      </c>
      <c r="M262" s="40">
        <f ca="1">I262-TODAY()</f>
        <v>-10</v>
      </c>
      <c r="N262">
        <f>_xlfn.ISOWEEKNUM(I262)</f>
        <v>12</v>
      </c>
      <c r="O262" t="str">
        <f>IF(ISNUMBER(SEARCH("Access Point",E262)),"AP",IF(OR(ISNUMBER(SEARCH("Switch",E262)),ISNUMBER(SEARCH("Control Type",E262))),"Switch","Infra"))</f>
        <v>Switch</v>
      </c>
    </row>
    <row r="263" spans="1:16" ht="14.25" customHeight="1">
      <c r="A263">
        <v>259</v>
      </c>
      <c r="B263" s="35" t="s">
        <v>20</v>
      </c>
      <c r="C263" s="37" t="s">
        <v>215</v>
      </c>
      <c r="D263" s="37" t="s">
        <v>224</v>
      </c>
      <c r="E263" s="37" t="s">
        <v>79</v>
      </c>
      <c r="F263" s="37">
        <v>2</v>
      </c>
      <c r="G263" s="37">
        <v>2</v>
      </c>
      <c r="H263" s="87">
        <v>46101</v>
      </c>
      <c r="I263" s="87">
        <v>46135</v>
      </c>
      <c r="J263" s="37" t="s">
        <v>4</v>
      </c>
      <c r="K263" s="38">
        <f>F263-G263</f>
        <v>0</v>
      </c>
      <c r="L263" s="39">
        <f>IF(F263=0,"",G263/F263)</f>
        <v>1</v>
      </c>
      <c r="M263" s="40">
        <f ca="1">I263-TODAY()</f>
        <v>28</v>
      </c>
      <c r="N263">
        <f>_xlfn.ISOWEEKNUM(I263)</f>
        <v>17</v>
      </c>
      <c r="O263" t="str">
        <f>IF(ISNUMBER(SEARCH("Access Point",E263)),"AP",IF(OR(ISNUMBER(SEARCH("Switch",E263)),ISNUMBER(SEARCH("Control Type",E263))),"Switch","Infra"))</f>
        <v>Switch</v>
      </c>
    </row>
    <row r="264" spans="1:16" ht="14.25" customHeight="1">
      <c r="A264">
        <v>260</v>
      </c>
      <c r="B264" s="35" t="s">
        <v>20</v>
      </c>
      <c r="C264" s="37" t="s">
        <v>215</v>
      </c>
      <c r="D264" s="37" t="s">
        <v>224</v>
      </c>
      <c r="E264" s="37" t="s">
        <v>84</v>
      </c>
      <c r="F264" s="37">
        <v>2</v>
      </c>
      <c r="G264" s="37">
        <v>2</v>
      </c>
      <c r="H264" s="87">
        <v>46101</v>
      </c>
      <c r="I264" s="87">
        <v>46135</v>
      </c>
      <c r="J264" s="37" t="s">
        <v>4</v>
      </c>
      <c r="K264" s="38">
        <f>F264-G264</f>
        <v>0</v>
      </c>
      <c r="L264" s="39">
        <f>IF(F264=0,"",G264/F264)</f>
        <v>1</v>
      </c>
      <c r="M264" s="40">
        <f ca="1">I264-TODAY()</f>
        <v>28</v>
      </c>
      <c r="N264">
        <f>_xlfn.ISOWEEKNUM(I264)</f>
        <v>17</v>
      </c>
      <c r="O264" t="str">
        <f>IF(ISNUMBER(SEARCH("Access Point",E264)),"AP",IF(OR(ISNUMBER(SEARCH("Switch",E264)),ISNUMBER(SEARCH("Control Type",E264))),"Switch","Infra"))</f>
        <v>Switch</v>
      </c>
    </row>
    <row r="265" spans="1:16" ht="14.25" customHeight="1">
      <c r="A265">
        <v>261</v>
      </c>
      <c r="B265" s="35" t="s">
        <v>20</v>
      </c>
      <c r="C265" s="37" t="s">
        <v>215</v>
      </c>
      <c r="D265" s="37" t="s">
        <v>224</v>
      </c>
      <c r="E265" s="37" t="s">
        <v>118</v>
      </c>
      <c r="F265" s="37">
        <v>1</v>
      </c>
      <c r="G265" s="37">
        <v>1</v>
      </c>
      <c r="H265" s="87">
        <v>46101</v>
      </c>
      <c r="I265" s="87">
        <v>46135</v>
      </c>
      <c r="J265" s="37" t="s">
        <v>4</v>
      </c>
      <c r="K265" s="38">
        <f>F265-G265</f>
        <v>0</v>
      </c>
      <c r="L265" s="39">
        <f>IF(F265=0,"",G265/F265)</f>
        <v>1</v>
      </c>
      <c r="M265" s="40">
        <f ca="1">I265-TODAY()</f>
        <v>28</v>
      </c>
      <c r="N265">
        <f>_xlfn.ISOWEEKNUM(I265)</f>
        <v>17</v>
      </c>
      <c r="O265" t="str">
        <f>IF(ISNUMBER(SEARCH("Access Point",E265)),"AP",IF(OR(ISNUMBER(SEARCH("Switch",E265)),ISNUMBER(SEARCH("Control Type",E265))),"Switch","Infra"))</f>
        <v>Switch</v>
      </c>
    </row>
    <row r="266" spans="1:16" ht="14.25" customHeight="1">
      <c r="A266">
        <v>262</v>
      </c>
      <c r="B266" s="35" t="s">
        <v>20</v>
      </c>
      <c r="C266" s="37" t="s">
        <v>215</v>
      </c>
      <c r="D266" s="37" t="s">
        <v>225</v>
      </c>
      <c r="E266" s="37" t="s">
        <v>79</v>
      </c>
      <c r="F266" s="37">
        <v>1</v>
      </c>
      <c r="G266" s="37">
        <v>1</v>
      </c>
      <c r="H266" s="87">
        <v>46101</v>
      </c>
      <c r="I266" s="87">
        <v>46135</v>
      </c>
      <c r="J266" s="37" t="s">
        <v>4</v>
      </c>
      <c r="K266" s="38">
        <f>F266-G266</f>
        <v>0</v>
      </c>
      <c r="L266" s="39">
        <f>IF(F266=0,"",G266/F266)</f>
        <v>1</v>
      </c>
      <c r="M266" s="40">
        <f ca="1">I266-TODAY()</f>
        <v>28</v>
      </c>
      <c r="N266">
        <f>_xlfn.ISOWEEKNUM(I266)</f>
        <v>17</v>
      </c>
      <c r="O266" t="str">
        <f>IF(ISNUMBER(SEARCH("Access Point",E266)),"AP",IF(OR(ISNUMBER(SEARCH("Switch",E266)),ISNUMBER(SEARCH("Control Type",E266))),"Switch","Infra"))</f>
        <v>Switch</v>
      </c>
    </row>
    <row r="267" spans="1:16" ht="14.25" customHeight="1">
      <c r="A267">
        <v>263</v>
      </c>
      <c r="B267" s="35" t="s">
        <v>20</v>
      </c>
      <c r="C267" s="37" t="s">
        <v>215</v>
      </c>
      <c r="D267" s="37" t="s">
        <v>225</v>
      </c>
      <c r="E267" s="37" t="s">
        <v>84</v>
      </c>
      <c r="F267" s="37">
        <v>1</v>
      </c>
      <c r="G267" s="37">
        <v>1</v>
      </c>
      <c r="H267" s="87">
        <v>46101</v>
      </c>
      <c r="I267" s="87">
        <v>46135</v>
      </c>
      <c r="J267" s="37" t="s">
        <v>4</v>
      </c>
      <c r="K267" s="38">
        <f>F267-G267</f>
        <v>0</v>
      </c>
      <c r="L267" s="39">
        <f>IF(F267=0,"",G267/F267)</f>
        <v>1</v>
      </c>
      <c r="M267" s="40">
        <f ca="1">I267-TODAY()</f>
        <v>28</v>
      </c>
      <c r="N267">
        <f>_xlfn.ISOWEEKNUM(I267)</f>
        <v>17</v>
      </c>
      <c r="O267" t="str">
        <f>IF(ISNUMBER(SEARCH("Access Point",E267)),"AP",IF(OR(ISNUMBER(SEARCH("Switch",E267)),ISNUMBER(SEARCH("Control Type",E267))),"Switch","Infra"))</f>
        <v>Switch</v>
      </c>
    </row>
    <row r="268" spans="1:16" ht="14.25" customHeight="1">
      <c r="A268">
        <v>264</v>
      </c>
      <c r="B268" s="35" t="s">
        <v>20</v>
      </c>
      <c r="C268" s="36" t="s">
        <v>226</v>
      </c>
      <c r="D268" s="37" t="s">
        <v>73</v>
      </c>
      <c r="E268" s="37" t="s">
        <v>74</v>
      </c>
      <c r="F268" s="37">
        <v>11</v>
      </c>
      <c r="G268" s="37"/>
      <c r="H268" s="87"/>
      <c r="I268" s="87">
        <v>46121</v>
      </c>
      <c r="J268" s="37" t="s">
        <v>4</v>
      </c>
      <c r="K268" s="38">
        <f>F268-G268</f>
        <v>11</v>
      </c>
      <c r="L268" s="39">
        <f>IF(F268=0,"",G268/F268)</f>
        <v>0</v>
      </c>
      <c r="M268" s="40">
        <f ca="1">I268-TODAY()</f>
        <v>14</v>
      </c>
      <c r="N268">
        <f>_xlfn.ISOWEEKNUM(I268)</f>
        <v>15</v>
      </c>
      <c r="O268" t="str">
        <f>IF(ISNUMBER(SEARCH("Access Point",E268)),"AP",IF(OR(ISNUMBER(SEARCH("Switch",E268)),ISNUMBER(SEARCH("Control Type",E268))),"Switch","Infra"))</f>
        <v>AP</v>
      </c>
    </row>
    <row r="269" spans="1:16" ht="14.25" customHeight="1">
      <c r="A269">
        <v>265</v>
      </c>
      <c r="B269" s="35" t="s">
        <v>20</v>
      </c>
      <c r="C269" s="36" t="s">
        <v>226</v>
      </c>
      <c r="D269" s="37" t="s">
        <v>227</v>
      </c>
      <c r="E269" s="37" t="s">
        <v>118</v>
      </c>
      <c r="F269" s="37">
        <v>1</v>
      </c>
      <c r="G269" s="37"/>
      <c r="H269" s="87"/>
      <c r="I269" s="87">
        <v>46122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15</v>
      </c>
      <c r="N269">
        <f>_xlfn.ISOWEEKNUM(I269)</f>
        <v>15</v>
      </c>
      <c r="O269" t="str">
        <f>IF(ISNUMBER(SEARCH("Access Point",E269)),"AP",IF(OR(ISNUMBER(SEARCH("Switch",E269)),ISNUMBER(SEARCH("Control Type",E269))),"Switch","Infra"))</f>
        <v>Switch</v>
      </c>
    </row>
    <row r="270" spans="1:16" ht="14.25" customHeight="1">
      <c r="A270">
        <v>266</v>
      </c>
      <c r="B270" s="35" t="s">
        <v>20</v>
      </c>
      <c r="C270" s="36" t="s">
        <v>226</v>
      </c>
      <c r="D270" s="37" t="s">
        <v>228</v>
      </c>
      <c r="E270" s="37" t="s">
        <v>84</v>
      </c>
      <c r="F270" s="37">
        <v>1</v>
      </c>
      <c r="G270" s="37"/>
      <c r="H270" s="87"/>
      <c r="I270" s="87">
        <v>46122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15</v>
      </c>
      <c r="N270">
        <f>_xlfn.ISOWEEKNUM(I270)</f>
        <v>15</v>
      </c>
      <c r="O270" t="str">
        <f>IF(ISNUMBER(SEARCH("Access Point",E270)),"AP",IF(OR(ISNUMBER(SEARCH("Switch",E270)),ISNUMBER(SEARCH("Control Type",E270))),"Switch","Infra"))</f>
        <v>Switch</v>
      </c>
    </row>
    <row r="271" spans="1:16" ht="14.25" customHeight="1">
      <c r="A271">
        <v>267</v>
      </c>
      <c r="B271" s="35" t="s">
        <v>20</v>
      </c>
      <c r="C271" s="36" t="s">
        <v>226</v>
      </c>
      <c r="D271" s="36" t="s">
        <v>229</v>
      </c>
      <c r="E271" s="37" t="s">
        <v>79</v>
      </c>
      <c r="F271" s="37">
        <v>1</v>
      </c>
      <c r="G271" s="37"/>
      <c r="H271" s="87"/>
      <c r="I271" s="87">
        <v>46122</v>
      </c>
      <c r="J271" s="37" t="s">
        <v>4</v>
      </c>
      <c r="K271" s="38">
        <f>F271-G271</f>
        <v>1</v>
      </c>
      <c r="L271" s="39">
        <f>IF(F271=0,"",G271/F271)</f>
        <v>0</v>
      </c>
      <c r="M271" s="40">
        <f ca="1">I271-TODAY()</f>
        <v>15</v>
      </c>
      <c r="N271">
        <f>_xlfn.ISOWEEKNUM(I271)</f>
        <v>15</v>
      </c>
      <c r="O271" t="str">
        <f>IF(ISNUMBER(SEARCH("Access Point",E271)),"AP",IF(OR(ISNUMBER(SEARCH("Switch",E271)),ISNUMBER(SEARCH("Control Type",E271))),"Switch","Infra"))</f>
        <v>Switch</v>
      </c>
    </row>
    <row r="272" spans="1:16" ht="14.25" customHeight="1">
      <c r="A272">
        <v>268</v>
      </c>
      <c r="B272" s="35" t="s">
        <v>20</v>
      </c>
      <c r="C272" s="36" t="s">
        <v>226</v>
      </c>
      <c r="D272" s="36" t="s">
        <v>229</v>
      </c>
      <c r="E272" s="37" t="s">
        <v>84</v>
      </c>
      <c r="F272" s="37">
        <v>1</v>
      </c>
      <c r="G272" s="37"/>
      <c r="H272" s="87"/>
      <c r="I272" s="87">
        <v>46122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15</v>
      </c>
      <c r="N272">
        <f>_xlfn.ISOWEEKNUM(I272)</f>
        <v>15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269</v>
      </c>
      <c r="B273" s="35" t="s">
        <v>20</v>
      </c>
      <c r="C273" s="36" t="s">
        <v>226</v>
      </c>
      <c r="D273" s="36" t="s">
        <v>230</v>
      </c>
      <c r="E273" s="37" t="s">
        <v>79</v>
      </c>
      <c r="F273" s="37">
        <v>1</v>
      </c>
      <c r="G273" s="37"/>
      <c r="H273" s="87"/>
      <c r="I273" s="87">
        <v>46122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15</v>
      </c>
      <c r="N273">
        <f>_xlfn.ISOWEEKNUM(I273)</f>
        <v>15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270</v>
      </c>
      <c r="B274" s="35" t="s">
        <v>20</v>
      </c>
      <c r="C274" s="36" t="s">
        <v>226</v>
      </c>
      <c r="D274" s="36" t="s">
        <v>231</v>
      </c>
      <c r="E274" s="37" t="s">
        <v>79</v>
      </c>
      <c r="F274" s="37">
        <v>1</v>
      </c>
      <c r="G274" s="37"/>
      <c r="H274" s="87"/>
      <c r="I274" s="87">
        <v>46122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15</v>
      </c>
      <c r="N274">
        <f>_xlfn.ISOWEEKNUM(I274)</f>
        <v>15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271</v>
      </c>
      <c r="B275" s="35" t="s">
        <v>20</v>
      </c>
      <c r="C275" s="36" t="s">
        <v>226</v>
      </c>
      <c r="D275" s="36" t="s">
        <v>231</v>
      </c>
      <c r="E275" s="37" t="s">
        <v>84</v>
      </c>
      <c r="F275" s="37">
        <v>1</v>
      </c>
      <c r="G275" s="37"/>
      <c r="H275" s="87"/>
      <c r="I275" s="87">
        <v>46122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15</v>
      </c>
      <c r="N275">
        <f>_xlfn.ISOWEEKNUM(I275)</f>
        <v>15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272</v>
      </c>
      <c r="B276" s="35" t="s">
        <v>20</v>
      </c>
      <c r="C276" s="36" t="s">
        <v>232</v>
      </c>
      <c r="D276" s="37" t="s">
        <v>73</v>
      </c>
      <c r="E276" s="37" t="s">
        <v>74</v>
      </c>
      <c r="F276" s="37">
        <v>4</v>
      </c>
      <c r="G276" s="37"/>
      <c r="H276" s="87"/>
      <c r="I276" s="87">
        <v>46122</v>
      </c>
      <c r="J276" s="37" t="s">
        <v>4</v>
      </c>
      <c r="K276" s="38">
        <f>F276-G276</f>
        <v>4</v>
      </c>
      <c r="L276" s="39">
        <f>IF(F276=0,"",G276/F276)</f>
        <v>0</v>
      </c>
      <c r="M276" s="40">
        <f ca="1">I276-TODAY()</f>
        <v>15</v>
      </c>
      <c r="N276">
        <f>_xlfn.ISOWEEKNUM(I276)</f>
        <v>15</v>
      </c>
      <c r="O276" t="str">
        <f>IF(ISNUMBER(SEARCH("Access Point",E276)),"AP",IF(OR(ISNUMBER(SEARCH("Switch",E276)),ISNUMBER(SEARCH("Control Type",E276))),"Switch","Infra"))</f>
        <v>AP</v>
      </c>
    </row>
    <row r="277" spans="1:15" ht="14.25" customHeight="1">
      <c r="A277">
        <v>273</v>
      </c>
      <c r="B277" s="35" t="s">
        <v>20</v>
      </c>
      <c r="C277" s="36" t="s">
        <v>232</v>
      </c>
      <c r="D277" s="37" t="s">
        <v>233</v>
      </c>
      <c r="E277" s="37" t="s">
        <v>79</v>
      </c>
      <c r="F277" s="37">
        <v>6</v>
      </c>
      <c r="G277" s="37"/>
      <c r="H277" s="87"/>
      <c r="I277" s="87">
        <v>46128</v>
      </c>
      <c r="J277" s="37" t="s">
        <v>4</v>
      </c>
      <c r="K277" s="38">
        <f>F277-G277</f>
        <v>6</v>
      </c>
      <c r="L277" s="39">
        <f>IF(F277=0,"",G277/F277)</f>
        <v>0</v>
      </c>
      <c r="M277" s="40">
        <f ca="1">I277-TODAY()</f>
        <v>21</v>
      </c>
      <c r="N277">
        <f>_xlfn.ISOWEEKNUM(I277)</f>
        <v>16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274</v>
      </c>
      <c r="B278" s="35" t="s">
        <v>20</v>
      </c>
      <c r="C278" s="36" t="s">
        <v>232</v>
      </c>
      <c r="D278" s="37" t="s">
        <v>233</v>
      </c>
      <c r="E278" s="37" t="s">
        <v>84</v>
      </c>
      <c r="F278" s="37">
        <v>4</v>
      </c>
      <c r="G278" s="37"/>
      <c r="H278" s="87"/>
      <c r="I278" s="87">
        <v>46128</v>
      </c>
      <c r="J278" s="37" t="s">
        <v>4</v>
      </c>
      <c r="K278" s="38">
        <f>F278-G278</f>
        <v>4</v>
      </c>
      <c r="L278" s="39">
        <f>IF(F278=0,"",G278/F278)</f>
        <v>0</v>
      </c>
      <c r="M278" s="40">
        <f ca="1">I278-TODAY()</f>
        <v>21</v>
      </c>
      <c r="N278">
        <f>_xlfn.ISOWEEKNUM(I278)</f>
        <v>16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275</v>
      </c>
      <c r="B279" s="35" t="s">
        <v>20</v>
      </c>
      <c r="C279" s="36" t="s">
        <v>234</v>
      </c>
      <c r="D279" s="37" t="s">
        <v>73</v>
      </c>
      <c r="E279" s="37" t="s">
        <v>74</v>
      </c>
      <c r="F279" s="37">
        <v>9</v>
      </c>
      <c r="G279" s="37"/>
      <c r="H279" s="87"/>
      <c r="I279" s="87">
        <v>46132</v>
      </c>
      <c r="J279" s="37" t="s">
        <v>4</v>
      </c>
      <c r="K279" s="38">
        <f>F279-G279</f>
        <v>9</v>
      </c>
      <c r="L279" s="39">
        <f>IF(F279=0,"",G279/F279)</f>
        <v>0</v>
      </c>
      <c r="M279" s="40">
        <f ca="1">I279-TODAY()</f>
        <v>25</v>
      </c>
      <c r="N279">
        <f>_xlfn.ISOWEEKNUM(I279)</f>
        <v>17</v>
      </c>
      <c r="O279" t="str">
        <f>IF(ISNUMBER(SEARCH("Access Point",E279)),"AP",IF(OR(ISNUMBER(SEARCH("Switch",E279)),ISNUMBER(SEARCH("Control Type",E279))),"Switch","Infra"))</f>
        <v>AP</v>
      </c>
    </row>
    <row r="280" spans="1:15" ht="14.25" customHeight="1">
      <c r="A280">
        <v>276</v>
      </c>
      <c r="B280" s="35" t="s">
        <v>20</v>
      </c>
      <c r="C280" s="36" t="s">
        <v>234</v>
      </c>
      <c r="D280" s="36" t="s">
        <v>235</v>
      </c>
      <c r="E280" s="37" t="s">
        <v>83</v>
      </c>
      <c r="F280" s="37">
        <v>2</v>
      </c>
      <c r="G280" s="37"/>
      <c r="H280" s="87"/>
      <c r="I280" s="87">
        <v>46132</v>
      </c>
      <c r="J280" s="37" t="s">
        <v>4</v>
      </c>
      <c r="K280" s="38">
        <f>F280-G280</f>
        <v>2</v>
      </c>
      <c r="L280" s="39">
        <f>IF(F280=0,"",G280/F280)</f>
        <v>0</v>
      </c>
      <c r="M280" s="40">
        <f ca="1">I280-TODAY()</f>
        <v>25</v>
      </c>
      <c r="N280">
        <f>_xlfn.ISOWEEKNUM(I280)</f>
        <v>17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277</v>
      </c>
      <c r="B281" s="35" t="s">
        <v>20</v>
      </c>
      <c r="C281" s="36" t="s">
        <v>234</v>
      </c>
      <c r="D281" s="36" t="s">
        <v>235</v>
      </c>
      <c r="E281" s="37" t="s">
        <v>76</v>
      </c>
      <c r="F281" s="37">
        <v>2</v>
      </c>
      <c r="G281" s="37"/>
      <c r="H281" s="87"/>
      <c r="I281" s="87">
        <v>46132</v>
      </c>
      <c r="J281" s="37" t="s">
        <v>4</v>
      </c>
      <c r="K281" s="38">
        <f>F281-G281</f>
        <v>2</v>
      </c>
      <c r="L281" s="39">
        <f>IF(F281=0,"",G281/F281)</f>
        <v>0</v>
      </c>
      <c r="M281" s="40">
        <f ca="1">I281-TODAY()</f>
        <v>25</v>
      </c>
      <c r="N281">
        <f>_xlfn.ISOWEEKNUM(I281)</f>
        <v>17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278</v>
      </c>
      <c r="B282" s="35" t="s">
        <v>20</v>
      </c>
      <c r="C282" s="36" t="s">
        <v>236</v>
      </c>
      <c r="D282" s="37" t="s">
        <v>73</v>
      </c>
      <c r="E282" s="37" t="s">
        <v>74</v>
      </c>
      <c r="F282" s="37">
        <v>9</v>
      </c>
      <c r="G282" s="37"/>
      <c r="H282" s="87"/>
      <c r="I282" s="87">
        <v>46133</v>
      </c>
      <c r="J282" s="37" t="s">
        <v>4</v>
      </c>
      <c r="K282" s="38">
        <f>F282-G282</f>
        <v>9</v>
      </c>
      <c r="L282" s="39">
        <f>IF(F282=0,"",G282/F282)</f>
        <v>0</v>
      </c>
      <c r="M282" s="40">
        <f ca="1">I282-TODAY()</f>
        <v>26</v>
      </c>
      <c r="N282">
        <f>_xlfn.ISOWEEKNUM(I282)</f>
        <v>17</v>
      </c>
      <c r="O282" t="str">
        <f>IF(ISNUMBER(SEARCH("Access Point",E282)),"AP",IF(OR(ISNUMBER(SEARCH("Switch",E282)),ISNUMBER(SEARCH("Control Type",E282))),"Switch","Infra"))</f>
        <v>AP</v>
      </c>
    </row>
    <row r="283" spans="1:15" ht="14.25" customHeight="1">
      <c r="A283">
        <v>279</v>
      </c>
      <c r="B283" s="35" t="s">
        <v>20</v>
      </c>
      <c r="C283" s="36" t="s">
        <v>236</v>
      </c>
      <c r="D283" s="37" t="s">
        <v>237</v>
      </c>
      <c r="E283" s="37" t="s">
        <v>83</v>
      </c>
      <c r="F283" s="37">
        <v>1</v>
      </c>
      <c r="G283" s="37"/>
      <c r="H283" s="87"/>
      <c r="I283" s="87">
        <v>46133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26</v>
      </c>
      <c r="N283">
        <f>_xlfn.ISOWEEKNUM(I283)</f>
        <v>17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280</v>
      </c>
      <c r="B284" s="35" t="s">
        <v>20</v>
      </c>
      <c r="C284" s="36" t="s">
        <v>236</v>
      </c>
      <c r="D284" s="37" t="s">
        <v>237</v>
      </c>
      <c r="E284" s="37" t="s">
        <v>84</v>
      </c>
      <c r="F284" s="37">
        <v>2</v>
      </c>
      <c r="G284" s="37"/>
      <c r="H284" s="87"/>
      <c r="I284" s="87">
        <v>46133</v>
      </c>
      <c r="J284" s="37" t="s">
        <v>4</v>
      </c>
      <c r="K284" s="38">
        <f>F284-G284</f>
        <v>2</v>
      </c>
      <c r="L284" s="39">
        <f>IF(F284=0,"",G284/F284)</f>
        <v>0</v>
      </c>
      <c r="M284" s="40">
        <f ca="1">I284-TODAY()</f>
        <v>26</v>
      </c>
      <c r="N284">
        <f>_xlfn.ISOWEEKNUM(I284)</f>
        <v>17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281</v>
      </c>
      <c r="B285" s="35" t="s">
        <v>20</v>
      </c>
      <c r="C285" s="36" t="s">
        <v>238</v>
      </c>
      <c r="D285" s="37" t="s">
        <v>73</v>
      </c>
      <c r="E285" s="37" t="s">
        <v>74</v>
      </c>
      <c r="F285" s="37">
        <v>10</v>
      </c>
      <c r="G285" s="37"/>
      <c r="H285" s="87"/>
      <c r="I285" s="87">
        <v>46133</v>
      </c>
      <c r="J285" s="37" t="s">
        <v>4</v>
      </c>
      <c r="K285" s="38">
        <f>F285-G285</f>
        <v>10</v>
      </c>
      <c r="L285" s="39">
        <f>IF(F285=0,"",G285/F285)</f>
        <v>0</v>
      </c>
      <c r="M285" s="40">
        <f ca="1">I285-TODAY()</f>
        <v>26</v>
      </c>
      <c r="N285">
        <f>_xlfn.ISOWEEKNUM(I285)</f>
        <v>17</v>
      </c>
      <c r="O285" t="str">
        <f>IF(ISNUMBER(SEARCH("Access Point",E285)),"AP",IF(OR(ISNUMBER(SEARCH("Switch",E285)),ISNUMBER(SEARCH("Control Type",E285))),"Switch","Infra"))</f>
        <v>AP</v>
      </c>
    </row>
    <row r="286" spans="1:15" ht="14.25" customHeight="1">
      <c r="A286">
        <v>282</v>
      </c>
      <c r="B286" s="35" t="s">
        <v>20</v>
      </c>
      <c r="C286" s="36" t="s">
        <v>239</v>
      </c>
      <c r="D286" s="37" t="s">
        <v>73</v>
      </c>
      <c r="E286" s="37" t="s">
        <v>74</v>
      </c>
      <c r="F286" s="37">
        <v>6</v>
      </c>
      <c r="G286" s="37"/>
      <c r="H286" s="87"/>
      <c r="I286" s="87">
        <v>46134</v>
      </c>
      <c r="J286" s="37" t="s">
        <v>4</v>
      </c>
      <c r="K286" s="38">
        <f>F286-G286</f>
        <v>6</v>
      </c>
      <c r="L286" s="39">
        <f>IF(F286=0,"",G286/F286)</f>
        <v>0</v>
      </c>
      <c r="M286" s="40">
        <f ca="1">I286-TODAY()</f>
        <v>27</v>
      </c>
      <c r="N286">
        <f>_xlfn.ISOWEEKNUM(I286)</f>
        <v>17</v>
      </c>
      <c r="O286" t="str">
        <f>IF(ISNUMBER(SEARCH("Access Point",E286)),"AP",IF(OR(ISNUMBER(SEARCH("Switch",E286)),ISNUMBER(SEARCH("Control Type",E286))),"Switch","Infra"))</f>
        <v>AP</v>
      </c>
    </row>
    <row r="287" spans="1:15" ht="14.25" customHeight="1">
      <c r="A287">
        <v>283</v>
      </c>
      <c r="B287" s="35" t="s">
        <v>20</v>
      </c>
      <c r="C287" s="36" t="s">
        <v>239</v>
      </c>
      <c r="D287" s="36" t="s">
        <v>235</v>
      </c>
      <c r="E287" s="37" t="s">
        <v>83</v>
      </c>
      <c r="F287" s="37">
        <v>1</v>
      </c>
      <c r="G287" s="37"/>
      <c r="H287" s="87"/>
      <c r="I287" s="87">
        <v>46134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27</v>
      </c>
      <c r="N287">
        <f>_xlfn.ISOWEEKNUM(I287)</f>
        <v>17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customHeight="1">
      <c r="A288">
        <v>284</v>
      </c>
      <c r="B288" s="35" t="s">
        <v>20</v>
      </c>
      <c r="C288" s="36" t="s">
        <v>239</v>
      </c>
      <c r="D288" s="36" t="s">
        <v>235</v>
      </c>
      <c r="E288" s="37" t="s">
        <v>76</v>
      </c>
      <c r="F288" s="37">
        <v>1</v>
      </c>
      <c r="G288" s="37"/>
      <c r="H288" s="87"/>
      <c r="I288" s="87">
        <v>46134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27</v>
      </c>
      <c r="N288">
        <f>_xlfn.ISOWEEKNUM(I288)</f>
        <v>17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285</v>
      </c>
      <c r="B289" s="35" t="s">
        <v>20</v>
      </c>
      <c r="C289" s="36" t="s">
        <v>239</v>
      </c>
      <c r="D289" s="36" t="s">
        <v>235</v>
      </c>
      <c r="E289" s="37" t="s">
        <v>120</v>
      </c>
      <c r="F289" s="37">
        <v>1</v>
      </c>
      <c r="G289" s="37"/>
      <c r="H289" s="87"/>
      <c r="I289" s="87">
        <v>46134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27</v>
      </c>
      <c r="N289">
        <f>_xlfn.ISOWEEKNUM(I289)</f>
        <v>17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286</v>
      </c>
      <c r="B290" s="35" t="s">
        <v>20</v>
      </c>
      <c r="C290" s="36" t="s">
        <v>239</v>
      </c>
      <c r="D290" s="36" t="s">
        <v>235</v>
      </c>
      <c r="E290" s="37" t="s">
        <v>118</v>
      </c>
      <c r="F290" s="37">
        <v>1</v>
      </c>
      <c r="G290" s="37"/>
      <c r="H290" s="87"/>
      <c r="I290" s="87">
        <v>46134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27</v>
      </c>
      <c r="N290">
        <f>_xlfn.ISOWEEKNUM(I290)</f>
        <v>17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287</v>
      </c>
      <c r="B291" s="35" t="s">
        <v>20</v>
      </c>
      <c r="C291" s="36" t="s">
        <v>240</v>
      </c>
      <c r="D291" s="37" t="s">
        <v>73</v>
      </c>
      <c r="E291" s="37" t="s">
        <v>74</v>
      </c>
      <c r="F291" s="37">
        <v>3</v>
      </c>
      <c r="G291" s="37"/>
      <c r="H291" s="87"/>
      <c r="I291" s="87">
        <v>46134</v>
      </c>
      <c r="J291" s="37" t="s">
        <v>4</v>
      </c>
      <c r="K291" s="38">
        <f>F291-G291</f>
        <v>3</v>
      </c>
      <c r="L291" s="39">
        <f>IF(F291=0,"",G291/F291)</f>
        <v>0</v>
      </c>
      <c r="M291" s="40">
        <f ca="1">I291-TODAY()</f>
        <v>27</v>
      </c>
      <c r="N291">
        <f>_xlfn.ISOWEEKNUM(I291)</f>
        <v>17</v>
      </c>
      <c r="O291" t="str">
        <f>IF(ISNUMBER(SEARCH("Access Point",E291)),"AP",IF(OR(ISNUMBER(SEARCH("Switch",E291)),ISNUMBER(SEARCH("Control Type",E291))),"Switch","Infra"))</f>
        <v>AP</v>
      </c>
    </row>
    <row r="292" spans="1:16" ht="14.25" customHeight="1">
      <c r="A292">
        <v>288</v>
      </c>
      <c r="B292" s="35" t="s">
        <v>20</v>
      </c>
      <c r="C292" s="36" t="s">
        <v>240</v>
      </c>
      <c r="D292" s="36" t="s">
        <v>241</v>
      </c>
      <c r="E292" s="37" t="s">
        <v>83</v>
      </c>
      <c r="F292" s="37">
        <v>1</v>
      </c>
      <c r="G292" s="37"/>
      <c r="H292" s="87"/>
      <c r="I292" s="87">
        <v>46134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27</v>
      </c>
      <c r="N292">
        <f>_xlfn.ISOWEEKNUM(I292)</f>
        <v>17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customHeight="1">
      <c r="A293">
        <v>289</v>
      </c>
      <c r="B293" s="35" t="s">
        <v>20</v>
      </c>
      <c r="C293" s="36" t="s">
        <v>240</v>
      </c>
      <c r="D293" s="36" t="s">
        <v>241</v>
      </c>
      <c r="E293" s="37" t="s">
        <v>84</v>
      </c>
      <c r="F293" s="37">
        <v>2</v>
      </c>
      <c r="G293" s="37"/>
      <c r="H293" s="87"/>
      <c r="I293" s="87">
        <v>46134</v>
      </c>
      <c r="J293" s="37" t="s">
        <v>4</v>
      </c>
      <c r="K293" s="38">
        <f>F293-G293</f>
        <v>2</v>
      </c>
      <c r="L293" s="39">
        <f>IF(F293=0,"",G293/F293)</f>
        <v>0</v>
      </c>
      <c r="M293" s="40">
        <f ca="1">I293-TODAY()</f>
        <v>27</v>
      </c>
      <c r="N293">
        <f>_xlfn.ISOWEEKNUM(I293)</f>
        <v>17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290</v>
      </c>
      <c r="B294" s="35" t="s">
        <v>20</v>
      </c>
      <c r="C294" s="37" t="s">
        <v>242</v>
      </c>
      <c r="D294" s="37" t="s">
        <v>242</v>
      </c>
      <c r="E294" s="37" t="s">
        <v>79</v>
      </c>
      <c r="F294" s="37">
        <v>1</v>
      </c>
      <c r="G294" s="37"/>
      <c r="H294" s="87"/>
      <c r="I294" s="87">
        <v>46136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29</v>
      </c>
      <c r="N294">
        <f>_xlfn.ISOWEEKNUM(I294)</f>
        <v>17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291</v>
      </c>
      <c r="B295" s="35" t="s">
        <v>20</v>
      </c>
      <c r="C295" s="37" t="s">
        <v>242</v>
      </c>
      <c r="D295" s="37" t="s">
        <v>242</v>
      </c>
      <c r="E295" s="37" t="s">
        <v>84</v>
      </c>
      <c r="F295" s="37">
        <v>1</v>
      </c>
      <c r="G295" s="37"/>
      <c r="H295" s="87"/>
      <c r="I295" s="87">
        <v>46136</v>
      </c>
      <c r="J295" s="37" t="s">
        <v>4</v>
      </c>
      <c r="K295" s="38">
        <f>F295-G295</f>
        <v>1</v>
      </c>
      <c r="L295" s="39">
        <f>IF(F295=0,"",G295/F295)</f>
        <v>0</v>
      </c>
      <c r="M295" s="40">
        <f ca="1">I295-TODAY()</f>
        <v>29</v>
      </c>
      <c r="N295">
        <f>_xlfn.ISOWEEKNUM(I295)</f>
        <v>17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292</v>
      </c>
      <c r="B296" s="35" t="s">
        <v>20</v>
      </c>
      <c r="C296" s="37" t="s">
        <v>243</v>
      </c>
      <c r="D296" s="37" t="s">
        <v>243</v>
      </c>
      <c r="E296" s="37" t="s">
        <v>79</v>
      </c>
      <c r="F296" s="37">
        <v>1</v>
      </c>
      <c r="G296" s="37"/>
      <c r="H296" s="87"/>
      <c r="I296" s="87">
        <v>46135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28</v>
      </c>
      <c r="N296">
        <f>_xlfn.ISOWEEKNUM(I296)</f>
        <v>17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customHeight="1">
      <c r="A297">
        <v>293</v>
      </c>
      <c r="B297" s="35" t="s">
        <v>20</v>
      </c>
      <c r="C297" s="37" t="s">
        <v>243</v>
      </c>
      <c r="D297" s="37" t="s">
        <v>243</v>
      </c>
      <c r="E297" s="37" t="s">
        <v>84</v>
      </c>
      <c r="F297" s="37">
        <v>1</v>
      </c>
      <c r="G297" s="37"/>
      <c r="H297" s="87"/>
      <c r="I297" s="87">
        <v>46135</v>
      </c>
      <c r="J297" s="37" t="s">
        <v>4</v>
      </c>
      <c r="K297" s="38">
        <f>F297-G297</f>
        <v>1</v>
      </c>
      <c r="L297" s="39">
        <f>IF(F297=0,"",G297/F297)</f>
        <v>0</v>
      </c>
      <c r="M297" s="40">
        <f ca="1">I297-TODAY()</f>
        <v>28</v>
      </c>
      <c r="N297">
        <f>_xlfn.ISOWEEKNUM(I297)</f>
        <v>17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294</v>
      </c>
      <c r="B298" s="35" t="s">
        <v>20</v>
      </c>
      <c r="C298" s="37" t="s">
        <v>244</v>
      </c>
      <c r="D298" s="37" t="s">
        <v>244</v>
      </c>
      <c r="E298" s="37" t="s">
        <v>79</v>
      </c>
      <c r="F298" s="37">
        <v>1</v>
      </c>
      <c r="G298" s="37"/>
      <c r="H298" s="87"/>
      <c r="I298" s="87">
        <v>46135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28</v>
      </c>
      <c r="N298">
        <f>_xlfn.ISOWEEKNUM(I298)</f>
        <v>17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295</v>
      </c>
      <c r="B299" s="35" t="s">
        <v>20</v>
      </c>
      <c r="C299" s="37" t="s">
        <v>244</v>
      </c>
      <c r="D299" s="37" t="s">
        <v>244</v>
      </c>
      <c r="E299" s="37" t="s">
        <v>84</v>
      </c>
      <c r="F299" s="37">
        <v>1</v>
      </c>
      <c r="G299" s="37"/>
      <c r="H299" s="87"/>
      <c r="I299" s="87">
        <v>46135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28</v>
      </c>
      <c r="N299">
        <f>_xlfn.ISOWEEKNUM(I299)</f>
        <v>17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296</v>
      </c>
      <c r="B300" s="35" t="s">
        <v>20</v>
      </c>
      <c r="C300" s="37" t="s">
        <v>245</v>
      </c>
      <c r="D300" s="36" t="s">
        <v>246</v>
      </c>
      <c r="E300" s="37" t="s">
        <v>79</v>
      </c>
      <c r="F300" s="37">
        <v>1</v>
      </c>
      <c r="G300" s="37"/>
      <c r="H300" s="87"/>
      <c r="I300" s="87">
        <v>46174</v>
      </c>
      <c r="J300" s="37" t="s">
        <v>5</v>
      </c>
      <c r="K300" s="38">
        <f>F300-G300</f>
        <v>1</v>
      </c>
      <c r="L300" s="39">
        <f>IF(F300=0,"",G300/F300)</f>
        <v>0</v>
      </c>
      <c r="M300" s="40">
        <f ca="1">I300-TODAY()</f>
        <v>67</v>
      </c>
      <c r="N300">
        <f>_xlfn.ISOWEEKNUM(I300)</f>
        <v>23</v>
      </c>
      <c r="O300" t="str">
        <f>IF(ISNUMBER(SEARCH("Access Point",E300)),"AP",IF(OR(ISNUMBER(SEARCH("Switch",E300)),ISNUMBER(SEARCH("Control Type",E300))),"Switch","Infra"))</f>
        <v>Switch</v>
      </c>
      <c r="P300" t="s">
        <v>165</v>
      </c>
    </row>
    <row r="301" spans="1:16" ht="14.25" customHeight="1">
      <c r="A301">
        <v>297</v>
      </c>
      <c r="B301" s="35" t="s">
        <v>20</v>
      </c>
      <c r="C301" s="36" t="s">
        <v>247</v>
      </c>
      <c r="D301" s="36" t="s">
        <v>248</v>
      </c>
      <c r="E301" s="37" t="s">
        <v>83</v>
      </c>
      <c r="F301" s="37">
        <v>1</v>
      </c>
      <c r="G301" s="37"/>
      <c r="H301" s="87"/>
      <c r="I301" s="87">
        <v>46135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28</v>
      </c>
      <c r="N301">
        <f>_xlfn.ISOWEEKNUM(I301)</f>
        <v>17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298</v>
      </c>
      <c r="B302" s="35" t="s">
        <v>20</v>
      </c>
      <c r="C302" s="36" t="s">
        <v>249</v>
      </c>
      <c r="D302" s="37" t="s">
        <v>237</v>
      </c>
      <c r="E302" s="37" t="s">
        <v>79</v>
      </c>
      <c r="F302" s="37">
        <v>1</v>
      </c>
      <c r="G302" s="37"/>
      <c r="H302" s="87"/>
      <c r="I302" s="87">
        <v>46135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28</v>
      </c>
      <c r="N302">
        <f>_xlfn.ISOWEEKNUM(I302)</f>
        <v>17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299</v>
      </c>
      <c r="B303" s="35" t="s">
        <v>21</v>
      </c>
      <c r="C303" s="36" t="s">
        <v>250</v>
      </c>
      <c r="D303" s="37" t="s">
        <v>251</v>
      </c>
      <c r="E303" s="37" t="s">
        <v>79</v>
      </c>
      <c r="F303" s="37">
        <v>4</v>
      </c>
      <c r="G303" s="37">
        <v>4</v>
      </c>
      <c r="H303" s="87">
        <v>46095</v>
      </c>
      <c r="I303" s="87">
        <v>46095</v>
      </c>
      <c r="J303" s="37" t="s">
        <v>77</v>
      </c>
      <c r="K303" s="38">
        <f>F303-G303</f>
        <v>0</v>
      </c>
      <c r="L303" s="39">
        <f>IF(F303=0,"",G303/F303)</f>
        <v>1</v>
      </c>
      <c r="M303" s="40">
        <f ca="1">I303-TODAY()</f>
        <v>-12</v>
      </c>
      <c r="N303">
        <f>_xlfn.ISOWEEKNUM(I303)</f>
        <v>11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300</v>
      </c>
      <c r="B304" s="35" t="s">
        <v>21</v>
      </c>
      <c r="C304" s="36" t="s">
        <v>250</v>
      </c>
      <c r="D304" s="37" t="s">
        <v>251</v>
      </c>
      <c r="E304" s="37" t="s">
        <v>84</v>
      </c>
      <c r="F304" s="37">
        <v>2</v>
      </c>
      <c r="G304" s="37">
        <v>2</v>
      </c>
      <c r="H304" s="87">
        <v>46095</v>
      </c>
      <c r="I304" s="87">
        <v>46095</v>
      </c>
      <c r="J304" s="37" t="s">
        <v>77</v>
      </c>
      <c r="K304" s="38">
        <f>F304-G304</f>
        <v>0</v>
      </c>
      <c r="L304" s="39">
        <f>IF(F304=0,"",G304/F304)</f>
        <v>1</v>
      </c>
      <c r="M304" s="40">
        <f ca="1">I304-TODAY()</f>
        <v>-12</v>
      </c>
      <c r="N304">
        <f>_xlfn.ISOWEEKNUM(I304)</f>
        <v>11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301</v>
      </c>
      <c r="B305" s="35" t="s">
        <v>21</v>
      </c>
      <c r="C305" s="36" t="s">
        <v>250</v>
      </c>
      <c r="D305" s="37" t="s">
        <v>252</v>
      </c>
      <c r="E305" s="37" t="s">
        <v>79</v>
      </c>
      <c r="F305" s="37">
        <v>8</v>
      </c>
      <c r="G305" s="37">
        <v>8</v>
      </c>
      <c r="H305" s="87">
        <v>46095</v>
      </c>
      <c r="I305" s="87">
        <v>46095</v>
      </c>
      <c r="J305" s="37" t="s">
        <v>77</v>
      </c>
      <c r="K305" s="38">
        <f>F305-G305</f>
        <v>0</v>
      </c>
      <c r="L305" s="39">
        <f>IF(F305=0,"",G305/F305)</f>
        <v>1</v>
      </c>
      <c r="M305" s="40">
        <f ca="1">I305-TODAY()</f>
        <v>-12</v>
      </c>
      <c r="N305">
        <f>_xlfn.ISOWEEKNUM(I305)</f>
        <v>11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302</v>
      </c>
      <c r="B306" s="35" t="s">
        <v>21</v>
      </c>
      <c r="C306" s="36" t="s">
        <v>250</v>
      </c>
      <c r="D306" s="37" t="s">
        <v>252</v>
      </c>
      <c r="E306" s="37" t="s">
        <v>84</v>
      </c>
      <c r="F306" s="37">
        <v>4</v>
      </c>
      <c r="G306" s="37">
        <v>4</v>
      </c>
      <c r="H306" s="87">
        <v>46095</v>
      </c>
      <c r="I306" s="87">
        <v>46095</v>
      </c>
      <c r="J306" s="37" t="s">
        <v>77</v>
      </c>
      <c r="K306" s="38">
        <f>F306-G306</f>
        <v>0</v>
      </c>
      <c r="L306" s="39">
        <f>IF(F306=0,"",G306/F306)</f>
        <v>1</v>
      </c>
      <c r="M306" s="40">
        <f ca="1">I306-TODAY()</f>
        <v>-12</v>
      </c>
      <c r="N306">
        <f>_xlfn.ISOWEEKNUM(I306)</f>
        <v>11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303</v>
      </c>
      <c r="B307" s="35" t="s">
        <v>21</v>
      </c>
      <c r="C307" s="44" t="s">
        <v>253</v>
      </c>
      <c r="D307" s="37" t="s">
        <v>73</v>
      </c>
      <c r="E307" s="37" t="s">
        <v>74</v>
      </c>
      <c r="F307" s="37">
        <v>24</v>
      </c>
      <c r="G307" s="37">
        <v>24</v>
      </c>
      <c r="H307" s="87">
        <v>46063</v>
      </c>
      <c r="I307" s="87">
        <v>46079</v>
      </c>
      <c r="J307" s="37" t="s">
        <v>77</v>
      </c>
      <c r="K307" s="38">
        <f>F307-G307</f>
        <v>0</v>
      </c>
      <c r="L307" s="39">
        <f>IF(F307=0,"",G307/F307)</f>
        <v>1</v>
      </c>
      <c r="M307" s="40">
        <f ca="1">I307-TODAY()</f>
        <v>-28</v>
      </c>
      <c r="N307">
        <f>_xlfn.ISOWEEKNUM(I307)</f>
        <v>9</v>
      </c>
      <c r="O307" t="str">
        <f>IF(ISNUMBER(SEARCH("Access Point",E307)),"AP",IF(OR(ISNUMBER(SEARCH("Switch",E307)),ISNUMBER(SEARCH("Control Type",E307))),"Switch","Infra"))</f>
        <v>AP</v>
      </c>
    </row>
    <row r="308" spans="1:15" ht="14.25" customHeight="1">
      <c r="A308">
        <v>304</v>
      </c>
      <c r="B308" s="35" t="s">
        <v>21</v>
      </c>
      <c r="C308" s="36" t="s">
        <v>250</v>
      </c>
      <c r="D308" s="37" t="s">
        <v>254</v>
      </c>
      <c r="E308" s="37" t="s">
        <v>84</v>
      </c>
      <c r="F308" s="37">
        <v>2</v>
      </c>
      <c r="G308" s="37">
        <v>2</v>
      </c>
      <c r="H308" s="87">
        <v>46095</v>
      </c>
      <c r="I308" s="87">
        <v>46095</v>
      </c>
      <c r="J308" s="37" t="s">
        <v>77</v>
      </c>
      <c r="K308" s="38">
        <f>F308-G308</f>
        <v>0</v>
      </c>
      <c r="L308" s="39">
        <f>IF(F308=0,"",G308/F308)</f>
        <v>1</v>
      </c>
      <c r="M308" s="40">
        <f ca="1">I308-TODAY()</f>
        <v>-12</v>
      </c>
      <c r="N308">
        <f>_xlfn.ISOWEEKNUM(I308)</f>
        <v>11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305</v>
      </c>
      <c r="B309" s="35" t="s">
        <v>21</v>
      </c>
      <c r="C309" s="36" t="s">
        <v>250</v>
      </c>
      <c r="D309" s="37" t="s">
        <v>255</v>
      </c>
      <c r="E309" s="37" t="s">
        <v>79</v>
      </c>
      <c r="F309" s="37">
        <v>4</v>
      </c>
      <c r="G309" s="37">
        <v>4</v>
      </c>
      <c r="H309" s="87">
        <v>46095</v>
      </c>
      <c r="I309" s="87">
        <v>46095</v>
      </c>
      <c r="J309" s="37" t="s">
        <v>77</v>
      </c>
      <c r="K309" s="38">
        <f>F309-G309</f>
        <v>0</v>
      </c>
      <c r="L309" s="39">
        <f>IF(F309=0,"",G309/F309)</f>
        <v>1</v>
      </c>
      <c r="M309" s="40">
        <f ca="1">I309-TODAY()</f>
        <v>-12</v>
      </c>
      <c r="N309">
        <f>_xlfn.ISOWEEKNUM(I309)</f>
        <v>11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306</v>
      </c>
      <c r="B310" s="35" t="s">
        <v>21</v>
      </c>
      <c r="C310" s="36" t="s">
        <v>250</v>
      </c>
      <c r="D310" s="37" t="s">
        <v>256</v>
      </c>
      <c r="E310" s="37" t="s">
        <v>79</v>
      </c>
      <c r="F310" s="37">
        <v>1</v>
      </c>
      <c r="G310" s="37">
        <v>1</v>
      </c>
      <c r="H310" s="87">
        <v>46095</v>
      </c>
      <c r="I310" s="87">
        <v>46095</v>
      </c>
      <c r="J310" s="37" t="s">
        <v>77</v>
      </c>
      <c r="K310" s="38">
        <f>F310-G310</f>
        <v>0</v>
      </c>
      <c r="L310" s="39">
        <f>IF(F310=0,"",G310/F310)</f>
        <v>1</v>
      </c>
      <c r="M310" s="40">
        <f ca="1">I310-TODAY()</f>
        <v>-12</v>
      </c>
      <c r="N310">
        <f>_xlfn.ISOWEEKNUM(I310)</f>
        <v>11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307</v>
      </c>
      <c r="B311" s="35" t="s">
        <v>21</v>
      </c>
      <c r="C311" s="36" t="s">
        <v>250</v>
      </c>
      <c r="D311" s="37" t="s">
        <v>192</v>
      </c>
      <c r="E311" s="37" t="s">
        <v>79</v>
      </c>
      <c r="F311" s="37">
        <v>7</v>
      </c>
      <c r="G311" s="37">
        <v>7</v>
      </c>
      <c r="H311" s="87">
        <v>46095</v>
      </c>
      <c r="I311" s="87">
        <v>46095</v>
      </c>
      <c r="J311" s="37" t="s">
        <v>77</v>
      </c>
      <c r="K311" s="38">
        <f>F311-G311</f>
        <v>0</v>
      </c>
      <c r="L311" s="39">
        <f>IF(F311=0,"",G311/F311)</f>
        <v>1</v>
      </c>
      <c r="M311" s="40">
        <f ca="1">I311-TODAY()</f>
        <v>-12</v>
      </c>
      <c r="N311">
        <f>_xlfn.ISOWEEKNUM(I311)</f>
        <v>11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308</v>
      </c>
      <c r="B312" s="35" t="s">
        <v>21</v>
      </c>
      <c r="C312" s="36" t="s">
        <v>250</v>
      </c>
      <c r="D312" s="37" t="s">
        <v>192</v>
      </c>
      <c r="E312" s="37" t="s">
        <v>84</v>
      </c>
      <c r="F312" s="37">
        <v>1</v>
      </c>
      <c r="G312" s="37">
        <v>1</v>
      </c>
      <c r="H312" s="87">
        <v>46095</v>
      </c>
      <c r="I312" s="87">
        <v>46095</v>
      </c>
      <c r="J312" s="37" t="s">
        <v>77</v>
      </c>
      <c r="K312" s="38">
        <f>F312-G312</f>
        <v>0</v>
      </c>
      <c r="L312" s="39">
        <f>IF(F312=0,"",G312/F312)</f>
        <v>1</v>
      </c>
      <c r="M312" s="40">
        <f ca="1">I312-TODAY()</f>
        <v>-12</v>
      </c>
      <c r="N312">
        <f>_xlfn.ISOWEEKNUM(I312)</f>
        <v>11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309</v>
      </c>
      <c r="B313" s="35" t="s">
        <v>21</v>
      </c>
      <c r="C313" s="36" t="s">
        <v>250</v>
      </c>
      <c r="D313" s="37" t="s">
        <v>192</v>
      </c>
      <c r="E313" s="37" t="s">
        <v>257</v>
      </c>
      <c r="F313" s="37">
        <v>2</v>
      </c>
      <c r="G313" s="37">
        <v>2</v>
      </c>
      <c r="H313" s="87">
        <v>46063</v>
      </c>
      <c r="I313" s="87">
        <v>46085</v>
      </c>
      <c r="J313" s="37" t="s">
        <v>77</v>
      </c>
      <c r="K313" s="38">
        <f>F313-G313</f>
        <v>0</v>
      </c>
      <c r="L313" s="39">
        <f>IF(F313=0,"",G313/F313)</f>
        <v>1</v>
      </c>
      <c r="M313" s="40">
        <f ca="1">I313-TODAY()</f>
        <v>-22</v>
      </c>
      <c r="N313">
        <f>_xlfn.ISOWEEKNUM(I313)</f>
        <v>10</v>
      </c>
      <c r="O313" t="str">
        <f>IF(ISNUMBER(SEARCH("Access Point",E313)),"AP",IF(OR(ISNUMBER(SEARCH("Switch",E313)),ISNUMBER(SEARCH("Control Type",E313))),"Switch","Infra"))</f>
        <v>Infra</v>
      </c>
    </row>
    <row r="314" spans="1:15" ht="14.25" customHeight="1">
      <c r="A314">
        <v>310</v>
      </c>
      <c r="B314" s="35" t="s">
        <v>21</v>
      </c>
      <c r="C314" s="44" t="s">
        <v>258</v>
      </c>
      <c r="D314" s="37" t="s">
        <v>259</v>
      </c>
      <c r="E314" s="37" t="s">
        <v>79</v>
      </c>
      <c r="F314" s="37">
        <v>4</v>
      </c>
      <c r="G314" s="37">
        <v>4</v>
      </c>
      <c r="H314" s="87">
        <v>46078</v>
      </c>
      <c r="I314" s="87">
        <v>46078</v>
      </c>
      <c r="J314" s="37" t="s">
        <v>77</v>
      </c>
      <c r="K314" s="38">
        <f>F314-G314</f>
        <v>0</v>
      </c>
      <c r="L314" s="39">
        <f>IF(F314=0,"",G314/F314)</f>
        <v>1</v>
      </c>
      <c r="M314" s="40">
        <f ca="1">I314-TODAY()</f>
        <v>-29</v>
      </c>
      <c r="N314">
        <f>_xlfn.ISOWEEKNUM(I314)</f>
        <v>9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311</v>
      </c>
      <c r="B315" s="35" t="s">
        <v>21</v>
      </c>
      <c r="C315" s="36" t="s">
        <v>260</v>
      </c>
      <c r="D315" s="37" t="s">
        <v>261</v>
      </c>
      <c r="E315" s="37" t="s">
        <v>79</v>
      </c>
      <c r="F315" s="37">
        <v>1</v>
      </c>
      <c r="G315" s="37"/>
      <c r="H315" s="87"/>
      <c r="I315" s="87">
        <v>46174</v>
      </c>
      <c r="J315" s="37" t="s">
        <v>5</v>
      </c>
      <c r="K315" s="38">
        <f>F315-G315</f>
        <v>1</v>
      </c>
      <c r="L315" s="39">
        <f>IF(F315=0,"",G315/F315)</f>
        <v>0</v>
      </c>
      <c r="M315" s="40">
        <f ca="1">I315-TODAY()</f>
        <v>67</v>
      </c>
      <c r="N315">
        <f>_xlfn.ISOWEEKNUM(I315)</f>
        <v>23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312</v>
      </c>
      <c r="B316" s="35" t="s">
        <v>21</v>
      </c>
      <c r="C316" s="36" t="s">
        <v>260</v>
      </c>
      <c r="D316" s="37" t="s">
        <v>262</v>
      </c>
      <c r="E316" s="37" t="s">
        <v>79</v>
      </c>
      <c r="F316" s="37">
        <v>2</v>
      </c>
      <c r="G316" s="37">
        <v>2</v>
      </c>
      <c r="H316" s="87">
        <v>46080</v>
      </c>
      <c r="I316" s="87">
        <v>46080</v>
      </c>
      <c r="J316" s="37" t="s">
        <v>77</v>
      </c>
      <c r="K316" s="38">
        <f>F316-G316</f>
        <v>0</v>
      </c>
      <c r="L316" s="39">
        <f>IF(F316=0,"",G316/F316)</f>
        <v>1</v>
      </c>
      <c r="M316" s="40">
        <f ca="1">I316-TODAY()</f>
        <v>-27</v>
      </c>
      <c r="N316">
        <f>_xlfn.ISOWEEKNUM(I316)</f>
        <v>9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313</v>
      </c>
      <c r="B317" s="35" t="s">
        <v>21</v>
      </c>
      <c r="C317" s="36" t="s">
        <v>260</v>
      </c>
      <c r="D317" s="37" t="s">
        <v>263</v>
      </c>
      <c r="E317" s="37" t="s">
        <v>79</v>
      </c>
      <c r="F317" s="37">
        <v>4</v>
      </c>
      <c r="G317" s="37">
        <v>4</v>
      </c>
      <c r="H317" s="87">
        <v>46078</v>
      </c>
      <c r="I317" s="87">
        <v>46078</v>
      </c>
      <c r="J317" s="37" t="s">
        <v>77</v>
      </c>
      <c r="K317" s="38">
        <f>F317-G317</f>
        <v>0</v>
      </c>
      <c r="L317" s="39">
        <f>IF(F317=0,"",G317/F317)</f>
        <v>1</v>
      </c>
      <c r="M317" s="40">
        <f ca="1">I317-TODAY()</f>
        <v>-29</v>
      </c>
      <c r="N317">
        <f>_xlfn.ISOWEEKNUM(I317)</f>
        <v>9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314</v>
      </c>
      <c r="B318" s="35" t="s">
        <v>21</v>
      </c>
      <c r="C318" s="36" t="s">
        <v>260</v>
      </c>
      <c r="D318" s="37" t="s">
        <v>264</v>
      </c>
      <c r="E318" s="37" t="s">
        <v>79</v>
      </c>
      <c r="F318" s="37">
        <v>2</v>
      </c>
      <c r="G318" s="37">
        <v>2</v>
      </c>
      <c r="H318" s="87">
        <v>46078</v>
      </c>
      <c r="I318" s="87">
        <v>46078</v>
      </c>
      <c r="J318" s="37" t="s">
        <v>77</v>
      </c>
      <c r="K318" s="38">
        <f>F318-G318</f>
        <v>0</v>
      </c>
      <c r="L318" s="39">
        <f>IF(F318=0,"",G318/F318)</f>
        <v>1</v>
      </c>
      <c r="M318" s="40">
        <f ca="1">I318-TODAY()</f>
        <v>-29</v>
      </c>
      <c r="N318">
        <f>_xlfn.ISOWEEKNUM(I318)</f>
        <v>9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315</v>
      </c>
      <c r="B319" s="35" t="s">
        <v>21</v>
      </c>
      <c r="C319" s="36" t="s">
        <v>260</v>
      </c>
      <c r="D319" s="36" t="s">
        <v>265</v>
      </c>
      <c r="E319" s="37" t="s">
        <v>79</v>
      </c>
      <c r="F319" s="37">
        <v>2</v>
      </c>
      <c r="G319" s="37">
        <v>2</v>
      </c>
      <c r="H319" s="87">
        <v>46080</v>
      </c>
      <c r="I319" s="87">
        <v>46080</v>
      </c>
      <c r="J319" s="37" t="s">
        <v>77</v>
      </c>
      <c r="K319" s="38">
        <f>F319-G319</f>
        <v>0</v>
      </c>
      <c r="L319" s="39">
        <f>IF(F319=0,"",G319/F319)</f>
        <v>1</v>
      </c>
      <c r="M319" s="40">
        <f ca="1">I319-TODAY()</f>
        <v>-27</v>
      </c>
      <c r="N319">
        <f>_xlfn.ISOWEEKNUM(I319)</f>
        <v>9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316</v>
      </c>
      <c r="B320" s="35" t="s">
        <v>21</v>
      </c>
      <c r="C320" s="36" t="s">
        <v>260</v>
      </c>
      <c r="D320" s="36" t="s">
        <v>266</v>
      </c>
      <c r="E320" s="37" t="s">
        <v>79</v>
      </c>
      <c r="F320" s="37">
        <v>2</v>
      </c>
      <c r="G320" s="37">
        <v>2</v>
      </c>
      <c r="H320" s="87">
        <v>46080</v>
      </c>
      <c r="I320" s="87">
        <v>46080</v>
      </c>
      <c r="J320" s="37" t="s">
        <v>77</v>
      </c>
      <c r="K320" s="38">
        <f>F320-G320</f>
        <v>0</v>
      </c>
      <c r="L320" s="39">
        <f>IF(F320=0,"",G320/F320)</f>
        <v>1</v>
      </c>
      <c r="M320" s="40">
        <f ca="1">I320-TODAY()</f>
        <v>-27</v>
      </c>
      <c r="N320">
        <f>_xlfn.ISOWEEKNUM(I320)</f>
        <v>9</v>
      </c>
      <c r="O320" t="str">
        <f>IF(ISNUMBER(SEARCH("Access Point",E320)),"AP",IF(OR(ISNUMBER(SEARCH("Switch",E320)),ISNUMBER(SEARCH("Control Type",E320))),"Switch","Infra"))</f>
        <v>Switch</v>
      </c>
    </row>
    <row r="321" spans="1:16" ht="14.25" customHeight="1">
      <c r="A321">
        <v>317</v>
      </c>
      <c r="B321" s="35" t="s">
        <v>21</v>
      </c>
      <c r="C321" s="36" t="s">
        <v>260</v>
      </c>
      <c r="D321" s="36" t="s">
        <v>267</v>
      </c>
      <c r="E321" s="37" t="s">
        <v>79</v>
      </c>
      <c r="F321" s="37">
        <v>1</v>
      </c>
      <c r="G321" s="37">
        <v>1</v>
      </c>
      <c r="H321" s="87">
        <v>46080</v>
      </c>
      <c r="I321" s="87">
        <v>46080</v>
      </c>
      <c r="J321" s="37" t="s">
        <v>77</v>
      </c>
      <c r="K321" s="38">
        <f>F321-G321</f>
        <v>0</v>
      </c>
      <c r="L321" s="39">
        <f>IF(F321=0,"",G321/F321)</f>
        <v>1</v>
      </c>
      <c r="M321" s="40">
        <f ca="1">I321-TODAY()</f>
        <v>-27</v>
      </c>
      <c r="N321">
        <f>_xlfn.ISOWEEKNUM(I321)</f>
        <v>9</v>
      </c>
      <c r="O321" t="str">
        <f>IF(ISNUMBER(SEARCH("Access Point",E321)),"AP",IF(OR(ISNUMBER(SEARCH("Switch",E321)),ISNUMBER(SEARCH("Control Type",E321))),"Switch","Infra"))</f>
        <v>Switch</v>
      </c>
    </row>
    <row r="322" spans="1:16" ht="14.25" customHeight="1">
      <c r="A322">
        <v>318</v>
      </c>
      <c r="B322" s="35" t="s">
        <v>21</v>
      </c>
      <c r="C322" s="36" t="s">
        <v>260</v>
      </c>
      <c r="D322" s="36" t="s">
        <v>268</v>
      </c>
      <c r="E322" s="37" t="s">
        <v>79</v>
      </c>
      <c r="F322" s="37">
        <v>1</v>
      </c>
      <c r="G322" s="37">
        <v>1</v>
      </c>
      <c r="H322" s="87">
        <v>46080</v>
      </c>
      <c r="I322" s="87">
        <v>46080</v>
      </c>
      <c r="J322" s="37" t="s">
        <v>77</v>
      </c>
      <c r="K322" s="38">
        <f>F322-G322</f>
        <v>0</v>
      </c>
      <c r="L322" s="39">
        <f>IF(F322=0,"",G322/F322)</f>
        <v>1</v>
      </c>
      <c r="M322" s="40">
        <f ca="1">I322-TODAY()</f>
        <v>-27</v>
      </c>
      <c r="N322">
        <f>_xlfn.ISOWEEKNUM(I322)</f>
        <v>9</v>
      </c>
      <c r="O322" t="str">
        <f>IF(ISNUMBER(SEARCH("Access Point",E322)),"AP",IF(OR(ISNUMBER(SEARCH("Switch",E322)),ISNUMBER(SEARCH("Control Type",E322))),"Switch","Infra"))</f>
        <v>Switch</v>
      </c>
    </row>
    <row r="323" spans="1:16" ht="14.25" customHeight="1">
      <c r="A323">
        <v>319</v>
      </c>
      <c r="B323" s="35" t="s">
        <v>21</v>
      </c>
      <c r="C323" s="36" t="s">
        <v>260</v>
      </c>
      <c r="D323" s="36" t="s">
        <v>269</v>
      </c>
      <c r="E323" s="37" t="s">
        <v>79</v>
      </c>
      <c r="F323" s="37">
        <v>1</v>
      </c>
      <c r="G323" s="37">
        <v>1</v>
      </c>
      <c r="H323" s="87">
        <v>46080</v>
      </c>
      <c r="I323" s="87">
        <v>46080</v>
      </c>
      <c r="J323" s="37" t="s">
        <v>77</v>
      </c>
      <c r="K323" s="38">
        <f>F323-G323</f>
        <v>0</v>
      </c>
      <c r="L323" s="39">
        <f>IF(F323=0,"",G323/F323)</f>
        <v>1</v>
      </c>
      <c r="M323" s="40">
        <f ca="1">I323-TODAY()</f>
        <v>-27</v>
      </c>
      <c r="N323">
        <f>_xlfn.ISOWEEKNUM(I323)</f>
        <v>9</v>
      </c>
      <c r="O323" t="str">
        <f>IF(ISNUMBER(SEARCH("Access Point",E323)),"AP",IF(OR(ISNUMBER(SEARCH("Switch",E323)),ISNUMBER(SEARCH("Control Type",E323))),"Switch","Infra"))</f>
        <v>Switch</v>
      </c>
    </row>
    <row r="324" spans="1:16" ht="14.25" customHeight="1">
      <c r="A324">
        <v>320</v>
      </c>
      <c r="B324" s="35" t="s">
        <v>21</v>
      </c>
      <c r="C324" s="36" t="s">
        <v>260</v>
      </c>
      <c r="D324" s="36" t="s">
        <v>270</v>
      </c>
      <c r="E324" s="37" t="s">
        <v>79</v>
      </c>
      <c r="F324" s="37">
        <v>4</v>
      </c>
      <c r="G324" s="37">
        <v>4</v>
      </c>
      <c r="H324" s="87">
        <v>46079</v>
      </c>
      <c r="I324" s="87">
        <v>46079</v>
      </c>
      <c r="J324" s="37" t="s">
        <v>77</v>
      </c>
      <c r="K324" s="38">
        <f>F324-G324</f>
        <v>0</v>
      </c>
      <c r="L324" s="39">
        <f>IF(F324=0,"",G324/F324)</f>
        <v>1</v>
      </c>
      <c r="M324" s="40">
        <f ca="1">I324-TODAY()</f>
        <v>-28</v>
      </c>
      <c r="N324">
        <f>_xlfn.ISOWEEKNUM(I324)</f>
        <v>9</v>
      </c>
      <c r="O324" t="str">
        <f>IF(ISNUMBER(SEARCH("Access Point",E324)),"AP",IF(OR(ISNUMBER(SEARCH("Switch",E324)),ISNUMBER(SEARCH("Control Type",E324))),"Switch","Infra"))</f>
        <v>Switch</v>
      </c>
    </row>
    <row r="325" spans="1:16" ht="14.25" customHeight="1">
      <c r="A325">
        <v>321</v>
      </c>
      <c r="B325" s="35" t="s">
        <v>21</v>
      </c>
      <c r="C325" s="36" t="s">
        <v>260</v>
      </c>
      <c r="D325" s="36" t="s">
        <v>270</v>
      </c>
      <c r="E325" s="37" t="s">
        <v>84</v>
      </c>
      <c r="F325" s="37">
        <v>1</v>
      </c>
      <c r="G325" s="37">
        <v>1</v>
      </c>
      <c r="H325" s="87">
        <v>46079</v>
      </c>
      <c r="I325" s="87">
        <v>46079</v>
      </c>
      <c r="J325" s="37" t="s">
        <v>77</v>
      </c>
      <c r="K325" s="38">
        <f>F325-G325</f>
        <v>0</v>
      </c>
      <c r="L325" s="39">
        <f>IF(F325=0,"",G325/F325)</f>
        <v>1</v>
      </c>
      <c r="M325" s="40">
        <f ca="1">I325-TODAY()</f>
        <v>-28</v>
      </c>
      <c r="N325">
        <f>_xlfn.ISOWEEKNUM(I325)</f>
        <v>9</v>
      </c>
      <c r="O325" t="str">
        <f>IF(ISNUMBER(SEARCH("Access Point",E325)),"AP",IF(OR(ISNUMBER(SEARCH("Switch",E325)),ISNUMBER(SEARCH("Control Type",E325))),"Switch","Infra"))</f>
        <v>Switch</v>
      </c>
    </row>
    <row r="326" spans="1:16" ht="14.25" customHeight="1">
      <c r="A326">
        <v>322</v>
      </c>
      <c r="B326" s="35" t="s">
        <v>21</v>
      </c>
      <c r="C326" s="36" t="s">
        <v>260</v>
      </c>
      <c r="D326" s="36" t="s">
        <v>271</v>
      </c>
      <c r="E326" s="37" t="s">
        <v>79</v>
      </c>
      <c r="F326" s="37">
        <v>4</v>
      </c>
      <c r="G326" s="37">
        <v>4</v>
      </c>
      <c r="H326" s="87">
        <v>46078</v>
      </c>
      <c r="I326" s="87">
        <v>46078</v>
      </c>
      <c r="J326" s="37" t="s">
        <v>77</v>
      </c>
      <c r="K326" s="38">
        <f>F326-G326</f>
        <v>0</v>
      </c>
      <c r="L326" s="39">
        <f>IF(F326=0,"",G326/F326)</f>
        <v>1</v>
      </c>
      <c r="M326" s="40">
        <f ca="1">I326-TODAY()</f>
        <v>-29</v>
      </c>
      <c r="N326">
        <f>_xlfn.ISOWEEKNUM(I326)</f>
        <v>9</v>
      </c>
      <c r="O326" t="str">
        <f>IF(ISNUMBER(SEARCH("Access Point",E326)),"AP",IF(OR(ISNUMBER(SEARCH("Switch",E326)),ISNUMBER(SEARCH("Control Type",E326))),"Switch","Infra"))</f>
        <v>Switch</v>
      </c>
    </row>
    <row r="327" spans="1:16" ht="14.25" customHeight="1">
      <c r="A327">
        <v>323</v>
      </c>
      <c r="B327" s="35" t="s">
        <v>21</v>
      </c>
      <c r="C327" s="36" t="s">
        <v>260</v>
      </c>
      <c r="D327" s="36" t="s">
        <v>272</v>
      </c>
      <c r="E327" s="37" t="s">
        <v>79</v>
      </c>
      <c r="F327" s="37">
        <v>5</v>
      </c>
      <c r="G327" s="37">
        <v>5</v>
      </c>
      <c r="H327" s="87">
        <v>46079</v>
      </c>
      <c r="I327" s="87">
        <v>46079</v>
      </c>
      <c r="J327" s="37" t="s">
        <v>77</v>
      </c>
      <c r="K327" s="38">
        <f>F327-G327</f>
        <v>0</v>
      </c>
      <c r="L327" s="39">
        <f>IF(F327=0,"",G327/F327)</f>
        <v>1</v>
      </c>
      <c r="M327" s="40">
        <f ca="1">I327-TODAY()</f>
        <v>-28</v>
      </c>
      <c r="N327">
        <f>_xlfn.ISOWEEKNUM(I327)</f>
        <v>9</v>
      </c>
      <c r="O327" t="str">
        <f>IF(ISNUMBER(SEARCH("Access Point",E327)),"AP",IF(OR(ISNUMBER(SEARCH("Switch",E327)),ISNUMBER(SEARCH("Control Type",E327))),"Switch","Infra"))</f>
        <v>Switch</v>
      </c>
    </row>
    <row r="328" spans="1:16" ht="14.25" customHeight="1">
      <c r="A328">
        <v>324</v>
      </c>
      <c r="B328" s="35" t="s">
        <v>21</v>
      </c>
      <c r="C328" s="36" t="s">
        <v>260</v>
      </c>
      <c r="D328" s="36" t="s">
        <v>271</v>
      </c>
      <c r="E328" s="37" t="s">
        <v>79</v>
      </c>
      <c r="F328" s="37">
        <v>1</v>
      </c>
      <c r="G328" s="37"/>
      <c r="H328" s="87"/>
      <c r="I328" s="87">
        <v>46174</v>
      </c>
      <c r="J328" s="37" t="s">
        <v>5</v>
      </c>
      <c r="K328" s="38">
        <f>F328-G328</f>
        <v>1</v>
      </c>
      <c r="L328" s="39">
        <f>IF(F328=0,"",G328/F328)</f>
        <v>0</v>
      </c>
      <c r="M328" s="40">
        <f ca="1">I328-TODAY()</f>
        <v>67</v>
      </c>
      <c r="N328">
        <f>_xlfn.ISOWEEKNUM(I328)</f>
        <v>23</v>
      </c>
      <c r="O328" t="str">
        <f>IF(ISNUMBER(SEARCH("Access Point",E328)),"AP",IF(OR(ISNUMBER(SEARCH("Switch",E328)),ISNUMBER(SEARCH("Control Type",E328))),"Switch","Infra"))</f>
        <v>Switch</v>
      </c>
    </row>
    <row r="329" spans="1:16" ht="14.25" customHeight="1">
      <c r="A329">
        <v>325</v>
      </c>
      <c r="B329" s="35" t="s">
        <v>21</v>
      </c>
      <c r="C329" s="36" t="s">
        <v>273</v>
      </c>
      <c r="D329" s="37" t="s">
        <v>274</v>
      </c>
      <c r="E329" s="37" t="s">
        <v>79</v>
      </c>
      <c r="F329" s="37">
        <v>3</v>
      </c>
      <c r="G329" s="37">
        <v>3</v>
      </c>
      <c r="H329" s="87">
        <v>46084</v>
      </c>
      <c r="I329" s="87">
        <v>46084</v>
      </c>
      <c r="J329" s="37" t="s">
        <v>77</v>
      </c>
      <c r="K329" s="38">
        <f>F329-G329</f>
        <v>0</v>
      </c>
      <c r="L329" s="39">
        <f>IF(F329=0,"",G329/F329)</f>
        <v>1</v>
      </c>
      <c r="M329" s="40">
        <f ca="1">I329-TODAY()</f>
        <v>-23</v>
      </c>
      <c r="N329">
        <f>_xlfn.ISOWEEKNUM(I329)</f>
        <v>10</v>
      </c>
      <c r="O329" t="str">
        <f>IF(ISNUMBER(SEARCH("Access Point",E329)),"AP",IF(OR(ISNUMBER(SEARCH("Switch",E329)),ISNUMBER(SEARCH("Control Type",E329))),"Switch","Infra"))</f>
        <v>Switch</v>
      </c>
    </row>
    <row r="330" spans="1:16" ht="14.25" customHeight="1">
      <c r="A330">
        <v>326</v>
      </c>
      <c r="B330" s="35" t="s">
        <v>21</v>
      </c>
      <c r="C330" s="36" t="s">
        <v>273</v>
      </c>
      <c r="D330" s="37" t="s">
        <v>274</v>
      </c>
      <c r="E330" s="37" t="s">
        <v>118</v>
      </c>
      <c r="F330" s="37">
        <v>2</v>
      </c>
      <c r="G330" s="37">
        <v>2</v>
      </c>
      <c r="H330" s="87">
        <v>46084</v>
      </c>
      <c r="I330" s="87">
        <v>46084</v>
      </c>
      <c r="J330" s="37" t="s">
        <v>77</v>
      </c>
      <c r="K330" s="38">
        <f>F330-G330</f>
        <v>0</v>
      </c>
      <c r="L330" s="39">
        <f>IF(F330=0,"",G330/F330)</f>
        <v>1</v>
      </c>
      <c r="M330" s="40">
        <f ca="1">I330-TODAY()</f>
        <v>-23</v>
      </c>
      <c r="N330">
        <f>_xlfn.ISOWEEKNUM(I330)</f>
        <v>10</v>
      </c>
      <c r="O330" t="str">
        <f>IF(ISNUMBER(SEARCH("Access Point",E330)),"AP",IF(OR(ISNUMBER(SEARCH("Switch",E330)),ISNUMBER(SEARCH("Control Type",E330))),"Switch","Infra"))</f>
        <v>Switch</v>
      </c>
    </row>
    <row r="331" spans="1:16" ht="14.25" customHeight="1">
      <c r="A331">
        <v>327</v>
      </c>
      <c r="B331" s="35" t="s">
        <v>21</v>
      </c>
      <c r="C331" s="36" t="s">
        <v>273</v>
      </c>
      <c r="D331" s="37" t="s">
        <v>274</v>
      </c>
      <c r="E331" s="37" t="s">
        <v>275</v>
      </c>
      <c r="F331" s="37">
        <v>2</v>
      </c>
      <c r="G331" s="37">
        <v>2</v>
      </c>
      <c r="H331" s="87">
        <v>46063</v>
      </c>
      <c r="I331" s="87">
        <v>46063</v>
      </c>
      <c r="J331" s="37" t="s">
        <v>77</v>
      </c>
      <c r="K331" s="38">
        <f>F331-G331</f>
        <v>0</v>
      </c>
      <c r="L331" s="39">
        <f>IF(F331=0,"",G331/F331)</f>
        <v>1</v>
      </c>
      <c r="M331" s="40">
        <f ca="1">I331-TODAY()</f>
        <v>-44</v>
      </c>
      <c r="N331">
        <f>_xlfn.ISOWEEKNUM(I331)</f>
        <v>7</v>
      </c>
      <c r="O331" t="str">
        <f>IF(ISNUMBER(SEARCH("Access Point",E331)),"AP",IF(OR(ISNUMBER(SEARCH("Switch",E331)),ISNUMBER(SEARCH("Control Type",E331))),"Switch","Infra"))</f>
        <v>Switch</v>
      </c>
    </row>
    <row r="332" spans="1:16" ht="14.25" customHeight="1">
      <c r="A332">
        <v>328</v>
      </c>
      <c r="B332" s="35" t="s">
        <v>21</v>
      </c>
      <c r="C332" s="36" t="s">
        <v>273</v>
      </c>
      <c r="D332" s="37" t="s">
        <v>274</v>
      </c>
      <c r="E332" s="37" t="s">
        <v>129</v>
      </c>
      <c r="F332" s="37">
        <v>2</v>
      </c>
      <c r="G332" s="37">
        <v>2</v>
      </c>
      <c r="H332" s="87">
        <v>46063</v>
      </c>
      <c r="I332" s="87">
        <v>46063</v>
      </c>
      <c r="J332" s="37" t="s">
        <v>77</v>
      </c>
      <c r="K332" s="38">
        <f>F332-G332</f>
        <v>0</v>
      </c>
      <c r="L332" s="39">
        <f>IF(F332=0,"",G332/F332)</f>
        <v>1</v>
      </c>
      <c r="M332" s="40">
        <f ca="1">I332-TODAY()</f>
        <v>-44</v>
      </c>
      <c r="N332">
        <f>_xlfn.ISOWEEKNUM(I332)</f>
        <v>7</v>
      </c>
      <c r="O332" t="str">
        <f>IF(ISNUMBER(SEARCH("Access Point",E332)),"AP",IF(OR(ISNUMBER(SEARCH("Switch",E332)),ISNUMBER(SEARCH("Control Type",E332))),"Switch","Infra"))</f>
        <v>Infra</v>
      </c>
      <c r="P332" s="43" t="s">
        <v>130</v>
      </c>
    </row>
    <row r="333" spans="1:16" ht="14.25" customHeight="1">
      <c r="A333">
        <v>329</v>
      </c>
      <c r="B333" s="35" t="s">
        <v>21</v>
      </c>
      <c r="C333" s="36" t="s">
        <v>273</v>
      </c>
      <c r="D333" s="37" t="s">
        <v>276</v>
      </c>
      <c r="E333" s="37" t="s">
        <v>79</v>
      </c>
      <c r="F333" s="37">
        <v>4</v>
      </c>
      <c r="G333" s="37">
        <v>4</v>
      </c>
      <c r="H333" s="87">
        <v>46084</v>
      </c>
      <c r="I333" s="87">
        <v>46084</v>
      </c>
      <c r="J333" s="37" t="s">
        <v>77</v>
      </c>
      <c r="K333" s="38">
        <f>F333-G333</f>
        <v>0</v>
      </c>
      <c r="L333" s="39">
        <f>IF(F333=0,"",G333/F333)</f>
        <v>1</v>
      </c>
      <c r="M333" s="40">
        <f ca="1">I333-TODAY()</f>
        <v>-23</v>
      </c>
      <c r="N333">
        <f>_xlfn.ISOWEEKNUM(I333)</f>
        <v>10</v>
      </c>
      <c r="O333" t="str">
        <f>IF(ISNUMBER(SEARCH("Access Point",E333)),"AP",IF(OR(ISNUMBER(SEARCH("Switch",E333)),ISNUMBER(SEARCH("Control Type",E333))),"Switch","Infra"))</f>
        <v>Switch</v>
      </c>
    </row>
    <row r="334" spans="1:16" ht="14.25" customHeight="1">
      <c r="A334">
        <v>330</v>
      </c>
      <c r="B334" s="35" t="s">
        <v>21</v>
      </c>
      <c r="C334" s="36" t="s">
        <v>273</v>
      </c>
      <c r="D334" s="37" t="s">
        <v>276</v>
      </c>
      <c r="E334" s="37" t="s">
        <v>84</v>
      </c>
      <c r="F334" s="37">
        <v>3</v>
      </c>
      <c r="G334" s="37">
        <v>3</v>
      </c>
      <c r="H334" s="87">
        <v>46084</v>
      </c>
      <c r="I334" s="87">
        <v>46084</v>
      </c>
      <c r="J334" s="37" t="s">
        <v>77</v>
      </c>
      <c r="K334" s="38">
        <f>F334-G334</f>
        <v>0</v>
      </c>
      <c r="L334" s="39">
        <f>IF(F334=0,"",G334/F334)</f>
        <v>1</v>
      </c>
      <c r="M334" s="40">
        <f ca="1">I334-TODAY()</f>
        <v>-23</v>
      </c>
      <c r="N334">
        <f>_xlfn.ISOWEEKNUM(I334)</f>
        <v>10</v>
      </c>
      <c r="O334" t="str">
        <f>IF(ISNUMBER(SEARCH("Access Point",E334)),"AP",IF(OR(ISNUMBER(SEARCH("Switch",E334)),ISNUMBER(SEARCH("Control Type",E334))),"Switch","Infra"))</f>
        <v>Switch</v>
      </c>
    </row>
    <row r="335" spans="1:16" ht="14.25" customHeight="1">
      <c r="A335">
        <v>331</v>
      </c>
      <c r="B335" s="35" t="s">
        <v>21</v>
      </c>
      <c r="C335" s="36" t="s">
        <v>273</v>
      </c>
      <c r="D335" s="37" t="s">
        <v>277</v>
      </c>
      <c r="E335" s="37" t="s">
        <v>79</v>
      </c>
      <c r="F335" s="37">
        <v>1</v>
      </c>
      <c r="G335" s="37">
        <v>1</v>
      </c>
      <c r="H335" s="87">
        <v>46084</v>
      </c>
      <c r="I335" s="87">
        <v>46084</v>
      </c>
      <c r="J335" s="37" t="s">
        <v>77</v>
      </c>
      <c r="K335" s="38">
        <f>F335-G335</f>
        <v>0</v>
      </c>
      <c r="L335" s="39">
        <f>IF(F335=0,"",G335/F335)</f>
        <v>1</v>
      </c>
      <c r="M335" s="40">
        <f ca="1">I335-TODAY()</f>
        <v>-23</v>
      </c>
      <c r="N335">
        <f>_xlfn.ISOWEEKNUM(I335)</f>
        <v>10</v>
      </c>
      <c r="O335" t="str">
        <f>IF(ISNUMBER(SEARCH("Access Point",E335)),"AP",IF(OR(ISNUMBER(SEARCH("Switch",E335)),ISNUMBER(SEARCH("Control Type",E335))),"Switch","Infra"))</f>
        <v>Switch</v>
      </c>
    </row>
    <row r="336" spans="1:16" ht="14.25" customHeight="1">
      <c r="A336">
        <v>332</v>
      </c>
      <c r="B336" s="35" t="s">
        <v>21</v>
      </c>
      <c r="C336" s="36" t="s">
        <v>278</v>
      </c>
      <c r="D336" s="37" t="s">
        <v>279</v>
      </c>
      <c r="E336" s="37" t="s">
        <v>79</v>
      </c>
      <c r="F336" s="37">
        <v>1</v>
      </c>
      <c r="G336" s="37">
        <v>1</v>
      </c>
      <c r="H336" s="87">
        <v>46082</v>
      </c>
      <c r="I336" s="87">
        <v>46082</v>
      </c>
      <c r="J336" s="37" t="s">
        <v>77</v>
      </c>
      <c r="K336" s="38">
        <f>F336-G336</f>
        <v>0</v>
      </c>
      <c r="L336" s="39">
        <f>IF(F336=0,"",G336/F336)</f>
        <v>1</v>
      </c>
      <c r="M336" s="40">
        <f ca="1">I336-TODAY()</f>
        <v>-25</v>
      </c>
      <c r="N336">
        <f>_xlfn.ISOWEEKNUM(I336)</f>
        <v>9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333</v>
      </c>
      <c r="B337" s="35" t="s">
        <v>21</v>
      </c>
      <c r="C337" s="36" t="s">
        <v>278</v>
      </c>
      <c r="D337" s="37" t="s">
        <v>280</v>
      </c>
      <c r="E337" s="37" t="s">
        <v>118</v>
      </c>
      <c r="F337" s="37">
        <v>2</v>
      </c>
      <c r="G337" s="37">
        <v>2</v>
      </c>
      <c r="H337" s="87">
        <v>46081</v>
      </c>
      <c r="I337" s="87">
        <v>46081</v>
      </c>
      <c r="J337" s="37" t="s">
        <v>77</v>
      </c>
      <c r="K337" s="38">
        <f>F337-G337</f>
        <v>0</v>
      </c>
      <c r="L337" s="39">
        <f>IF(F337=0,"",G337/F337)</f>
        <v>1</v>
      </c>
      <c r="M337" s="40">
        <f ca="1">I337-TODAY()</f>
        <v>-26</v>
      </c>
      <c r="N337">
        <f>_xlfn.ISOWEEKNUM(I337)</f>
        <v>9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334</v>
      </c>
      <c r="B338" s="35" t="s">
        <v>21</v>
      </c>
      <c r="C338" s="36" t="s">
        <v>278</v>
      </c>
      <c r="D338" s="37" t="s">
        <v>281</v>
      </c>
      <c r="E338" s="37" t="s">
        <v>79</v>
      </c>
      <c r="F338" s="37">
        <v>7</v>
      </c>
      <c r="G338" s="37">
        <v>7</v>
      </c>
      <c r="H338" s="87">
        <v>46081</v>
      </c>
      <c r="I338" s="87">
        <v>46081</v>
      </c>
      <c r="J338" s="37" t="s">
        <v>77</v>
      </c>
      <c r="K338" s="38">
        <f>F338-G338</f>
        <v>0</v>
      </c>
      <c r="L338" s="39">
        <f>IF(F338=0,"",G338/F338)</f>
        <v>1</v>
      </c>
      <c r="M338" s="40">
        <f ca="1">I338-TODAY()</f>
        <v>-26</v>
      </c>
      <c r="N338">
        <f>_xlfn.ISOWEEKNUM(I338)</f>
        <v>9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335</v>
      </c>
      <c r="B339" s="35" t="s">
        <v>21</v>
      </c>
      <c r="C339" s="36" t="s">
        <v>278</v>
      </c>
      <c r="D339" s="37" t="s">
        <v>282</v>
      </c>
      <c r="E339" s="37" t="s">
        <v>79</v>
      </c>
      <c r="F339" s="37">
        <v>4</v>
      </c>
      <c r="G339" s="37">
        <v>4</v>
      </c>
      <c r="H339" s="87">
        <v>46081</v>
      </c>
      <c r="I339" s="87">
        <v>46081</v>
      </c>
      <c r="J339" s="37" t="s">
        <v>77</v>
      </c>
      <c r="K339" s="38">
        <f>F339-G339</f>
        <v>0</v>
      </c>
      <c r="L339" s="39">
        <f>IF(F339=0,"",G339/F339)</f>
        <v>1</v>
      </c>
      <c r="M339" s="40">
        <f ca="1">I339-TODAY()</f>
        <v>-26</v>
      </c>
      <c r="N339">
        <f>_xlfn.ISOWEEKNUM(I339)</f>
        <v>9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336</v>
      </c>
      <c r="B340" s="35" t="s">
        <v>21</v>
      </c>
      <c r="C340" s="36" t="s">
        <v>283</v>
      </c>
      <c r="D340" s="37" t="s">
        <v>279</v>
      </c>
      <c r="E340" s="37" t="s">
        <v>79</v>
      </c>
      <c r="F340" s="37">
        <v>8</v>
      </c>
      <c r="G340" s="37">
        <v>8</v>
      </c>
      <c r="H340" s="87">
        <v>46082</v>
      </c>
      <c r="I340" s="87">
        <v>46082</v>
      </c>
      <c r="J340" s="37" t="s">
        <v>77</v>
      </c>
      <c r="K340" s="38">
        <f>F340-G340</f>
        <v>0</v>
      </c>
      <c r="L340" s="39">
        <f>IF(F340=0,"",G340/F340)</f>
        <v>1</v>
      </c>
      <c r="M340" s="40">
        <f ca="1">I340-TODAY()</f>
        <v>-25</v>
      </c>
      <c r="N340">
        <f>_xlfn.ISOWEEKNUM(I340)</f>
        <v>9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337</v>
      </c>
      <c r="B341" s="35" t="s">
        <v>21</v>
      </c>
      <c r="C341" s="36" t="s">
        <v>283</v>
      </c>
      <c r="D341" s="37" t="s">
        <v>284</v>
      </c>
      <c r="E341" s="37" t="s">
        <v>118</v>
      </c>
      <c r="F341" s="37">
        <v>2</v>
      </c>
      <c r="G341" s="37">
        <v>2</v>
      </c>
      <c r="H341" s="87">
        <v>46082</v>
      </c>
      <c r="I341" s="87">
        <v>46082</v>
      </c>
      <c r="J341" s="37" t="s">
        <v>77</v>
      </c>
      <c r="K341" s="38">
        <f>F341-G341</f>
        <v>0</v>
      </c>
      <c r="L341" s="39">
        <f>IF(F341=0,"",G341/F341)</f>
        <v>1</v>
      </c>
      <c r="M341" s="40">
        <f ca="1">I341-TODAY()</f>
        <v>-25</v>
      </c>
      <c r="N341">
        <f>_xlfn.ISOWEEKNUM(I341)</f>
        <v>9</v>
      </c>
      <c r="O341" t="str">
        <f>IF(ISNUMBER(SEARCH("Access Point",E341)),"AP",IF(OR(ISNUMBER(SEARCH("Switch",E341)),ISNUMBER(SEARCH("Control Type",E341))),"Switch","Infra"))</f>
        <v>Switch</v>
      </c>
    </row>
    <row r="342" spans="1:16" ht="14.25" customHeight="1">
      <c r="A342">
        <v>338</v>
      </c>
      <c r="B342" s="35" t="s">
        <v>21</v>
      </c>
      <c r="C342" s="36" t="s">
        <v>283</v>
      </c>
      <c r="D342" s="37" t="s">
        <v>285</v>
      </c>
      <c r="E342" s="37" t="s">
        <v>79</v>
      </c>
      <c r="F342" s="37">
        <v>1</v>
      </c>
      <c r="G342" s="37">
        <v>1</v>
      </c>
      <c r="H342" s="87">
        <v>46082</v>
      </c>
      <c r="I342" s="87">
        <v>46082</v>
      </c>
      <c r="J342" s="37" t="s">
        <v>77</v>
      </c>
      <c r="K342" s="38">
        <f>F342-G342</f>
        <v>0</v>
      </c>
      <c r="L342" s="39">
        <f>IF(F342=0,"",G342/F342)</f>
        <v>1</v>
      </c>
      <c r="M342" s="40">
        <f ca="1">I342-TODAY()</f>
        <v>-25</v>
      </c>
      <c r="N342">
        <f>_xlfn.ISOWEEKNUM(I342)</f>
        <v>9</v>
      </c>
      <c r="O342" t="str">
        <f>IF(ISNUMBER(SEARCH("Access Point",E342)),"AP",IF(OR(ISNUMBER(SEARCH("Switch",E342)),ISNUMBER(SEARCH("Control Type",E342))),"Switch","Infra"))</f>
        <v>Switch</v>
      </c>
    </row>
    <row r="343" spans="1:16" ht="14.25" customHeight="1">
      <c r="A343">
        <v>339</v>
      </c>
      <c r="B343" s="35" t="s">
        <v>21</v>
      </c>
      <c r="C343" s="36" t="s">
        <v>286</v>
      </c>
      <c r="D343" s="37" t="s">
        <v>287</v>
      </c>
      <c r="E343" s="37" t="s">
        <v>118</v>
      </c>
      <c r="F343" s="37">
        <v>2</v>
      </c>
      <c r="G343" s="37">
        <v>2</v>
      </c>
      <c r="H343" s="87">
        <v>46084</v>
      </c>
      <c r="I343" s="87">
        <v>46084</v>
      </c>
      <c r="J343" s="37" t="s">
        <v>77</v>
      </c>
      <c r="K343" s="38">
        <f>F343-G343</f>
        <v>0</v>
      </c>
      <c r="L343" s="39">
        <f>IF(F343=0,"",G343/F343)</f>
        <v>1</v>
      </c>
      <c r="M343" s="40">
        <f ca="1">I343-TODAY()</f>
        <v>-23</v>
      </c>
      <c r="N343">
        <f>_xlfn.ISOWEEKNUM(I343)</f>
        <v>10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customHeight="1">
      <c r="A344">
        <v>340</v>
      </c>
      <c r="B344" s="35" t="s">
        <v>21</v>
      </c>
      <c r="C344" s="36" t="s">
        <v>286</v>
      </c>
      <c r="D344" s="37" t="s">
        <v>288</v>
      </c>
      <c r="E344" s="37" t="s">
        <v>79</v>
      </c>
      <c r="F344" s="37">
        <v>4</v>
      </c>
      <c r="G344" s="37">
        <v>4</v>
      </c>
      <c r="H344" s="87">
        <v>46084</v>
      </c>
      <c r="I344" s="87">
        <v>46084</v>
      </c>
      <c r="J344" s="37" t="s">
        <v>77</v>
      </c>
      <c r="K344" s="38">
        <f>F344-G344</f>
        <v>0</v>
      </c>
      <c r="L344" s="39">
        <f>IF(F344=0,"",G344/F344)</f>
        <v>1</v>
      </c>
      <c r="M344" s="40">
        <f ca="1">I344-TODAY()</f>
        <v>-23</v>
      </c>
      <c r="N344">
        <f>_xlfn.ISOWEEKNUM(I344)</f>
        <v>10</v>
      </c>
      <c r="O344" t="str">
        <f>IF(ISNUMBER(SEARCH("Access Point",E344)),"AP",IF(OR(ISNUMBER(SEARCH("Switch",E344)),ISNUMBER(SEARCH("Control Type",E344))),"Switch","Infra"))</f>
        <v>Switch</v>
      </c>
    </row>
    <row r="345" spans="1:16" ht="15" customHeight="1">
      <c r="A345">
        <v>341</v>
      </c>
      <c r="B345" s="35" t="s">
        <v>21</v>
      </c>
      <c r="C345" s="36" t="s">
        <v>286</v>
      </c>
      <c r="D345" s="36" t="s">
        <v>289</v>
      </c>
      <c r="E345" s="37" t="s">
        <v>79</v>
      </c>
      <c r="F345" s="37">
        <v>1</v>
      </c>
      <c r="G345" s="37">
        <v>1</v>
      </c>
      <c r="H345" s="87">
        <v>46084</v>
      </c>
      <c r="I345" s="87">
        <v>46084</v>
      </c>
      <c r="J345" s="37" t="s">
        <v>77</v>
      </c>
      <c r="K345" s="38">
        <f>F345-G345</f>
        <v>0</v>
      </c>
      <c r="L345" s="39">
        <f>IF(F345=0,"",G345/F345)</f>
        <v>1</v>
      </c>
      <c r="M345" s="40">
        <f ca="1">I345-TODAY()</f>
        <v>-23</v>
      </c>
      <c r="N345">
        <f>_xlfn.ISOWEEKNUM(I345)</f>
        <v>10</v>
      </c>
      <c r="O345" t="str">
        <f>IF(ISNUMBER(SEARCH("Access Point",E345)),"AP",IF(OR(ISNUMBER(SEARCH("Switch",E345)),ISNUMBER(SEARCH("Control Type",E345))),"Switch","Infra"))</f>
        <v>Switch</v>
      </c>
      <c r="P345" s="41" t="s">
        <v>290</v>
      </c>
    </row>
    <row r="346" spans="1:16" ht="14.25" customHeight="1">
      <c r="A346">
        <v>342</v>
      </c>
      <c r="B346" s="35" t="s">
        <v>21</v>
      </c>
      <c r="C346" s="36" t="s">
        <v>291</v>
      </c>
      <c r="D346" s="37" t="s">
        <v>292</v>
      </c>
      <c r="E346" s="37" t="s">
        <v>79</v>
      </c>
      <c r="F346" s="37">
        <v>2</v>
      </c>
      <c r="G346" s="37">
        <v>2</v>
      </c>
      <c r="H346" s="87">
        <v>46084</v>
      </c>
      <c r="I346" s="87">
        <v>46084</v>
      </c>
      <c r="J346" s="37" t="s">
        <v>77</v>
      </c>
      <c r="K346" s="38">
        <f>F346-G346</f>
        <v>0</v>
      </c>
      <c r="L346" s="39">
        <f>IF(F346=0,"",G346/F346)</f>
        <v>1</v>
      </c>
      <c r="M346" s="40">
        <f ca="1">I346-TODAY()</f>
        <v>-23</v>
      </c>
      <c r="N346">
        <f>_xlfn.ISOWEEKNUM(I346)</f>
        <v>10</v>
      </c>
      <c r="O346" t="str">
        <f>IF(ISNUMBER(SEARCH("Access Point",E346)),"AP",IF(OR(ISNUMBER(SEARCH("Switch",E346)),ISNUMBER(SEARCH("Control Type",E346))),"Switch","Infra"))</f>
        <v>Switch</v>
      </c>
    </row>
    <row r="347" spans="1:16" ht="15" customHeight="1">
      <c r="A347">
        <v>343</v>
      </c>
      <c r="B347" s="35" t="s">
        <v>21</v>
      </c>
      <c r="C347" s="36" t="s">
        <v>291</v>
      </c>
      <c r="D347" s="36" t="s">
        <v>293</v>
      </c>
      <c r="E347" s="37" t="s">
        <v>79</v>
      </c>
      <c r="F347" s="37">
        <v>2</v>
      </c>
      <c r="G347" s="37">
        <v>2</v>
      </c>
      <c r="H347" s="87">
        <v>46084</v>
      </c>
      <c r="I347" s="87">
        <v>46084</v>
      </c>
      <c r="J347" s="37" t="s">
        <v>77</v>
      </c>
      <c r="K347" s="38">
        <f>F347-G347</f>
        <v>0</v>
      </c>
      <c r="L347" s="39">
        <f>IF(F347=0,"",G347/F347)</f>
        <v>1</v>
      </c>
      <c r="M347" s="40">
        <f ca="1">I347-TODAY()</f>
        <v>-23</v>
      </c>
      <c r="N347">
        <f>_xlfn.ISOWEEKNUM(I347)</f>
        <v>10</v>
      </c>
      <c r="O347" t="str">
        <f>IF(ISNUMBER(SEARCH("Access Point",E347)),"AP",IF(OR(ISNUMBER(SEARCH("Switch",E347)),ISNUMBER(SEARCH("Control Type",E347))),"Switch","Infra"))</f>
        <v>Switch</v>
      </c>
      <c r="P347" s="41" t="s">
        <v>290</v>
      </c>
    </row>
    <row r="348" spans="1:16" ht="14.25" customHeight="1">
      <c r="A348">
        <v>344</v>
      </c>
      <c r="B348" s="35" t="s">
        <v>21</v>
      </c>
      <c r="C348" s="36" t="s">
        <v>294</v>
      </c>
      <c r="D348" s="37" t="s">
        <v>295</v>
      </c>
      <c r="E348" s="37" t="s">
        <v>79</v>
      </c>
      <c r="F348" s="37">
        <v>3</v>
      </c>
      <c r="G348" s="37">
        <v>3</v>
      </c>
      <c r="H348" s="87">
        <v>46086</v>
      </c>
      <c r="I348" s="87">
        <v>46086</v>
      </c>
      <c r="J348" s="37" t="s">
        <v>77</v>
      </c>
      <c r="K348" s="38">
        <f>F348-G348</f>
        <v>0</v>
      </c>
      <c r="L348" s="39">
        <f>IF(F348=0,"",G348/F348)</f>
        <v>1</v>
      </c>
      <c r="M348" s="40">
        <f ca="1">I348-TODAY()</f>
        <v>-21</v>
      </c>
      <c r="N348">
        <f>_xlfn.ISOWEEKNUM(I348)</f>
        <v>10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345</v>
      </c>
      <c r="B349" s="35" t="s">
        <v>21</v>
      </c>
      <c r="C349" s="37" t="s">
        <v>296</v>
      </c>
      <c r="D349" s="37" t="s">
        <v>73</v>
      </c>
      <c r="E349" s="37" t="s">
        <v>74</v>
      </c>
      <c r="F349" s="37">
        <v>1</v>
      </c>
      <c r="G349" s="37"/>
      <c r="H349" s="87"/>
      <c r="I349" s="87">
        <v>46104</v>
      </c>
      <c r="J349" s="37" t="s">
        <v>4</v>
      </c>
      <c r="K349" s="38">
        <f>F349-G349</f>
        <v>1</v>
      </c>
      <c r="L349" s="39">
        <f>IF(F349=0,"",G349/F349)</f>
        <v>0</v>
      </c>
      <c r="M349" s="40">
        <f ca="1">I349-TODAY()</f>
        <v>-3</v>
      </c>
      <c r="N349">
        <f>_xlfn.ISOWEEKNUM(I349)</f>
        <v>13</v>
      </c>
      <c r="O349" t="str">
        <f>IF(ISNUMBER(SEARCH("Access Point",E349)),"AP",IF(OR(ISNUMBER(SEARCH("Switch",E349)),ISNUMBER(SEARCH("Control Type",E349))),"Switch","Infra"))</f>
        <v>AP</v>
      </c>
    </row>
    <row r="350" spans="1:16" ht="14.25" customHeight="1">
      <c r="A350">
        <v>346</v>
      </c>
      <c r="B350" s="35" t="s">
        <v>21</v>
      </c>
      <c r="C350" s="37" t="s">
        <v>296</v>
      </c>
      <c r="D350" s="37" t="s">
        <v>297</v>
      </c>
      <c r="E350" s="37" t="s">
        <v>79</v>
      </c>
      <c r="F350" s="37">
        <v>2</v>
      </c>
      <c r="G350" s="37"/>
      <c r="H350" s="87"/>
      <c r="I350" s="87">
        <v>46104</v>
      </c>
      <c r="J350" s="37" t="s">
        <v>4</v>
      </c>
      <c r="K350" s="38">
        <f>F350-G350</f>
        <v>2</v>
      </c>
      <c r="L350" s="39">
        <f>IF(F350=0,"",G350/F350)</f>
        <v>0</v>
      </c>
      <c r="M350" s="40">
        <f ca="1">I350-TODAY()</f>
        <v>-3</v>
      </c>
      <c r="N350">
        <f>_xlfn.ISOWEEKNUM(I350)</f>
        <v>13</v>
      </c>
      <c r="O350" t="str">
        <f>IF(ISNUMBER(SEARCH("Access Point",E350)),"AP",IF(OR(ISNUMBER(SEARCH("Switch",E350)),ISNUMBER(SEARCH("Control Type",E350))),"Switch","Infra"))</f>
        <v>Switch</v>
      </c>
    </row>
    <row r="351" spans="1:16" ht="14.25" customHeight="1">
      <c r="A351">
        <v>347</v>
      </c>
      <c r="B351" s="35" t="s">
        <v>21</v>
      </c>
      <c r="C351" s="36" t="s">
        <v>298</v>
      </c>
      <c r="D351" s="37" t="s">
        <v>299</v>
      </c>
      <c r="E351" s="37" t="s">
        <v>79</v>
      </c>
      <c r="F351" s="37">
        <v>2</v>
      </c>
      <c r="G351" s="37">
        <v>2</v>
      </c>
      <c r="H351" s="87">
        <v>46095</v>
      </c>
      <c r="I351" s="87">
        <v>46095</v>
      </c>
      <c r="J351" s="37" t="s">
        <v>77</v>
      </c>
      <c r="K351" s="38">
        <f>F351-G351</f>
        <v>0</v>
      </c>
      <c r="L351" s="39">
        <f>IF(F351=0,"",G351/F351)</f>
        <v>1</v>
      </c>
      <c r="M351" s="40">
        <f ca="1">I351-TODAY()</f>
        <v>-12</v>
      </c>
      <c r="N351">
        <f>_xlfn.ISOWEEKNUM(I351)</f>
        <v>11</v>
      </c>
      <c r="O351" t="str">
        <f>IF(ISNUMBER(SEARCH("Access Point",E351)),"AP",IF(OR(ISNUMBER(SEARCH("Switch",E351)),ISNUMBER(SEARCH("Control Type",E351))),"Switch","Infra"))</f>
        <v>Switch</v>
      </c>
      <c r="P351" s="41" t="s">
        <v>300</v>
      </c>
    </row>
    <row r="352" spans="1:16" ht="14.25" customHeight="1">
      <c r="A352">
        <v>348</v>
      </c>
      <c r="B352" s="35" t="s">
        <v>21</v>
      </c>
      <c r="C352" s="36" t="s">
        <v>298</v>
      </c>
      <c r="D352" s="37" t="s">
        <v>299</v>
      </c>
      <c r="E352" s="37" t="s">
        <v>118</v>
      </c>
      <c r="F352" s="37">
        <v>1</v>
      </c>
      <c r="G352" s="37">
        <v>2</v>
      </c>
      <c r="H352" s="87">
        <v>46095</v>
      </c>
      <c r="I352" s="87">
        <v>46095</v>
      </c>
      <c r="J352" s="37" t="s">
        <v>77</v>
      </c>
      <c r="K352" s="38">
        <f>F352-G352</f>
        <v>-1</v>
      </c>
      <c r="L352" s="39">
        <f>IF(F352=0,"",G352/F352)</f>
        <v>2</v>
      </c>
      <c r="M352" s="40">
        <f ca="1">I352-TODAY()</f>
        <v>-12</v>
      </c>
      <c r="N352">
        <f>_xlfn.ISOWEEKNUM(I352)</f>
        <v>11</v>
      </c>
      <c r="O352" t="str">
        <f>IF(ISNUMBER(SEARCH("Access Point",E352)),"AP",IF(OR(ISNUMBER(SEARCH("Switch",E352)),ISNUMBER(SEARCH("Control Type",E352))),"Switch","Infra"))</f>
        <v>Switch</v>
      </c>
      <c r="P352" s="41" t="s">
        <v>301</v>
      </c>
    </row>
    <row r="353" spans="1:16" ht="14.25" customHeight="1">
      <c r="A353">
        <v>349</v>
      </c>
      <c r="B353" s="35" t="s">
        <v>21</v>
      </c>
      <c r="C353" s="36" t="s">
        <v>302</v>
      </c>
      <c r="D353" s="37" t="s">
        <v>303</v>
      </c>
      <c r="E353" s="37" t="s">
        <v>79</v>
      </c>
      <c r="F353" s="37">
        <v>1</v>
      </c>
      <c r="G353" s="37">
        <v>1</v>
      </c>
      <c r="H353" s="87">
        <v>46080</v>
      </c>
      <c r="I353" s="87">
        <v>46080</v>
      </c>
      <c r="J353" s="37" t="s">
        <v>77</v>
      </c>
      <c r="K353" s="38">
        <f>F353-G353</f>
        <v>0</v>
      </c>
      <c r="L353" s="39">
        <f>IF(F353=0,"",G353/F353)</f>
        <v>1</v>
      </c>
      <c r="M353" s="40">
        <f ca="1">I353-TODAY()</f>
        <v>-27</v>
      </c>
      <c r="N353">
        <f>_xlfn.ISOWEEKNUM(I353)</f>
        <v>9</v>
      </c>
      <c r="O353" t="str">
        <f>IF(ISNUMBER(SEARCH("Access Point",E353)),"AP",IF(OR(ISNUMBER(SEARCH("Switch",E353)),ISNUMBER(SEARCH("Control Type",E353))),"Switch","Infra"))</f>
        <v>Switch</v>
      </c>
    </row>
    <row r="354" spans="1:16" ht="14.25" customHeight="1">
      <c r="A354">
        <v>350</v>
      </c>
      <c r="B354" s="35" t="s">
        <v>21</v>
      </c>
      <c r="C354" s="36" t="s">
        <v>302</v>
      </c>
      <c r="D354" s="37" t="s">
        <v>304</v>
      </c>
      <c r="E354" s="37" t="s">
        <v>79</v>
      </c>
      <c r="F354" s="37">
        <v>2</v>
      </c>
      <c r="G354" s="37">
        <v>2</v>
      </c>
      <c r="H354" s="87">
        <v>46080</v>
      </c>
      <c r="I354" s="87">
        <v>46080</v>
      </c>
      <c r="J354" s="37" t="s">
        <v>77</v>
      </c>
      <c r="K354" s="38">
        <f>F354-G354</f>
        <v>0</v>
      </c>
      <c r="L354" s="39">
        <f>IF(F354=0,"",G354/F354)</f>
        <v>1</v>
      </c>
      <c r="M354" s="40">
        <f ca="1">I354-TODAY()</f>
        <v>-27</v>
      </c>
      <c r="N354">
        <f>_xlfn.ISOWEEKNUM(I354)</f>
        <v>9</v>
      </c>
      <c r="O354" t="str">
        <f>IF(ISNUMBER(SEARCH("Access Point",E354)),"AP",IF(OR(ISNUMBER(SEARCH("Switch",E354)),ISNUMBER(SEARCH("Control Type",E354))),"Switch","Infra"))</f>
        <v>Switch</v>
      </c>
    </row>
    <row r="355" spans="1:16" ht="14.25" customHeight="1">
      <c r="A355">
        <v>351</v>
      </c>
      <c r="B355" s="35" t="s">
        <v>21</v>
      </c>
      <c r="C355" s="36" t="s">
        <v>305</v>
      </c>
      <c r="D355" s="37" t="s">
        <v>306</v>
      </c>
      <c r="E355" s="37" t="s">
        <v>79</v>
      </c>
      <c r="F355" s="37">
        <v>2</v>
      </c>
      <c r="G355" s="37">
        <v>2</v>
      </c>
      <c r="H355" s="87">
        <v>46095</v>
      </c>
      <c r="I355" s="87">
        <v>46095</v>
      </c>
      <c r="J355" s="37" t="s">
        <v>77</v>
      </c>
      <c r="K355" s="38">
        <f>F355-G355</f>
        <v>0</v>
      </c>
      <c r="L355" s="39">
        <f>IF(F355=0,"",G355/F355)</f>
        <v>1</v>
      </c>
      <c r="M355" s="40">
        <f ca="1">I355-TODAY()</f>
        <v>-12</v>
      </c>
      <c r="N355">
        <f>_xlfn.ISOWEEKNUM(I355)</f>
        <v>11</v>
      </c>
      <c r="O355" t="str">
        <f>IF(ISNUMBER(SEARCH("Access Point",E355)),"AP",IF(OR(ISNUMBER(SEARCH("Switch",E355)),ISNUMBER(SEARCH("Control Type",E355))),"Switch","Infra"))</f>
        <v>Switch</v>
      </c>
    </row>
    <row r="356" spans="1:16" ht="14.25" customHeight="1">
      <c r="A356">
        <v>352</v>
      </c>
      <c r="B356" s="35" t="s">
        <v>21</v>
      </c>
      <c r="C356" s="37" t="s">
        <v>307</v>
      </c>
      <c r="D356" s="37" t="s">
        <v>308</v>
      </c>
      <c r="E356" s="37" t="s">
        <v>79</v>
      </c>
      <c r="F356" s="37">
        <v>2</v>
      </c>
      <c r="G356" s="37"/>
      <c r="H356" s="87"/>
      <c r="I356" s="87">
        <v>46104</v>
      </c>
      <c r="J356" s="37" t="s">
        <v>4</v>
      </c>
      <c r="K356" s="38">
        <f>F356-G356</f>
        <v>2</v>
      </c>
      <c r="L356" s="39">
        <f>IF(F356=0,"",G356/F356)</f>
        <v>0</v>
      </c>
      <c r="M356" s="40">
        <f ca="1">I356-TODAY()</f>
        <v>-3</v>
      </c>
      <c r="N356">
        <f>_xlfn.ISOWEEKNUM(I356)</f>
        <v>13</v>
      </c>
      <c r="O356" t="str">
        <f>IF(ISNUMBER(SEARCH("Access Point",E356)),"AP",IF(OR(ISNUMBER(SEARCH("Switch",E356)),ISNUMBER(SEARCH("Control Type",E356))),"Switch","Infra"))</f>
        <v>Switch</v>
      </c>
    </row>
    <row r="357" spans="1:16" ht="14.25" customHeight="1">
      <c r="A357">
        <v>353</v>
      </c>
      <c r="B357" s="35" t="s">
        <v>21</v>
      </c>
      <c r="C357" s="37" t="s">
        <v>309</v>
      </c>
      <c r="D357" s="37" t="s">
        <v>310</v>
      </c>
      <c r="E357" s="37" t="s">
        <v>79</v>
      </c>
      <c r="F357" s="37">
        <v>2</v>
      </c>
      <c r="G357" s="37"/>
      <c r="H357" s="87"/>
      <c r="I357" s="87">
        <v>46104</v>
      </c>
      <c r="J357" s="37" t="s">
        <v>4</v>
      </c>
      <c r="K357" s="38">
        <f>F357-G357</f>
        <v>2</v>
      </c>
      <c r="L357" s="39">
        <f>IF(F357=0,"",G357/F357)</f>
        <v>0</v>
      </c>
      <c r="M357" s="40">
        <f ca="1">I357-TODAY()</f>
        <v>-3</v>
      </c>
      <c r="N357">
        <f>_xlfn.ISOWEEKNUM(I357)</f>
        <v>13</v>
      </c>
      <c r="O357" t="str">
        <f>IF(ISNUMBER(SEARCH("Access Point",E357)),"AP",IF(OR(ISNUMBER(SEARCH("Switch",E357)),ISNUMBER(SEARCH("Control Type",E357))),"Switch","Infra"))</f>
        <v>Switch</v>
      </c>
    </row>
    <row r="358" spans="1:16" ht="14.25" customHeight="1">
      <c r="A358">
        <v>354</v>
      </c>
      <c r="B358" s="35" t="s">
        <v>21</v>
      </c>
      <c r="C358" s="36" t="s">
        <v>311</v>
      </c>
      <c r="D358" s="37" t="s">
        <v>312</v>
      </c>
      <c r="E358" s="37" t="s">
        <v>79</v>
      </c>
      <c r="F358" s="37">
        <v>2</v>
      </c>
      <c r="G358" s="37"/>
      <c r="H358" s="87"/>
      <c r="I358" s="87">
        <v>46104</v>
      </c>
      <c r="J358" s="37" t="s">
        <v>4</v>
      </c>
      <c r="K358" s="38">
        <f>F358-G358</f>
        <v>2</v>
      </c>
      <c r="L358" s="39">
        <f>IF(F358=0,"",G358/F358)</f>
        <v>0</v>
      </c>
      <c r="M358" s="40">
        <f ca="1">I358-TODAY()</f>
        <v>-3</v>
      </c>
      <c r="N358">
        <f>_xlfn.ISOWEEKNUM(I358)</f>
        <v>13</v>
      </c>
      <c r="O358" t="str">
        <f>IF(ISNUMBER(SEARCH("Access Point",E358)),"AP",IF(OR(ISNUMBER(SEARCH("Switch",E358)),ISNUMBER(SEARCH("Control Type",E358))),"Switch","Infra"))</f>
        <v>Switch</v>
      </c>
    </row>
    <row r="359" spans="1:16" ht="14.25" customHeight="1">
      <c r="A359">
        <v>355</v>
      </c>
      <c r="B359" s="35" t="s">
        <v>21</v>
      </c>
      <c r="C359" s="37" t="s">
        <v>313</v>
      </c>
      <c r="D359" s="37" t="s">
        <v>314</v>
      </c>
      <c r="E359" s="37" t="s">
        <v>79</v>
      </c>
      <c r="F359" s="37">
        <v>2</v>
      </c>
      <c r="G359" s="37"/>
      <c r="H359" s="87"/>
      <c r="I359" s="87">
        <v>46104</v>
      </c>
      <c r="J359" s="37" t="s">
        <v>4</v>
      </c>
      <c r="K359" s="38">
        <f>F359-G359</f>
        <v>2</v>
      </c>
      <c r="L359" s="39">
        <f>IF(F359=0,"",G359/F359)</f>
        <v>0</v>
      </c>
      <c r="M359" s="40">
        <f ca="1">I359-TODAY()</f>
        <v>-3</v>
      </c>
      <c r="N359">
        <f>_xlfn.ISOWEEKNUM(I359)</f>
        <v>13</v>
      </c>
      <c r="O359" t="str">
        <f>IF(ISNUMBER(SEARCH("Access Point",E359)),"AP",IF(OR(ISNUMBER(SEARCH("Switch",E359)),ISNUMBER(SEARCH("Control Type",E359))),"Switch","Infra"))</f>
        <v>Switch</v>
      </c>
    </row>
    <row r="360" spans="1:16" ht="14.25" customHeight="1">
      <c r="A360">
        <v>356</v>
      </c>
      <c r="B360" s="35" t="s">
        <v>21</v>
      </c>
      <c r="C360" s="37" t="s">
        <v>315</v>
      </c>
      <c r="D360" s="37" t="s">
        <v>274</v>
      </c>
      <c r="E360" s="37" t="s">
        <v>118</v>
      </c>
      <c r="F360" s="37">
        <v>2</v>
      </c>
      <c r="G360" s="37"/>
      <c r="H360" s="87"/>
      <c r="I360" s="87">
        <v>46104</v>
      </c>
      <c r="J360" s="37" t="s">
        <v>4</v>
      </c>
      <c r="K360" s="38">
        <f>F360-G360</f>
        <v>2</v>
      </c>
      <c r="L360" s="39">
        <f>IF(F360=0,"",G360/F360)</f>
        <v>0</v>
      </c>
      <c r="M360" s="40">
        <f ca="1">I360-TODAY()</f>
        <v>-3</v>
      </c>
      <c r="N360">
        <f>_xlfn.ISOWEEKNUM(I360)</f>
        <v>13</v>
      </c>
      <c r="O360" t="str">
        <f>IF(ISNUMBER(SEARCH("Access Point",E360)),"AP",IF(OR(ISNUMBER(SEARCH("Switch",E360)),ISNUMBER(SEARCH("Control Type",E360))),"Switch","Infra"))</f>
        <v>Switch</v>
      </c>
      <c r="P360" s="41" t="s">
        <v>316</v>
      </c>
    </row>
    <row r="361" spans="1:16" ht="14.25" customHeight="1">
      <c r="A361">
        <v>357</v>
      </c>
      <c r="B361" s="35" t="s">
        <v>21</v>
      </c>
      <c r="C361" s="37" t="s">
        <v>317</v>
      </c>
      <c r="D361" s="37" t="s">
        <v>318</v>
      </c>
      <c r="E361" s="37" t="s">
        <v>79</v>
      </c>
      <c r="F361" s="37">
        <v>2</v>
      </c>
      <c r="G361" s="37"/>
      <c r="H361" s="87"/>
      <c r="I361" s="87">
        <v>46104</v>
      </c>
      <c r="J361" s="37" t="s">
        <v>4</v>
      </c>
      <c r="K361" s="38">
        <f>F361-G361</f>
        <v>2</v>
      </c>
      <c r="L361" s="39">
        <f>IF(F361=0,"",G361/F361)</f>
        <v>0</v>
      </c>
      <c r="M361" s="40">
        <f ca="1">I361-TODAY()</f>
        <v>-3</v>
      </c>
      <c r="N361">
        <f>_xlfn.ISOWEEKNUM(I361)</f>
        <v>13</v>
      </c>
      <c r="O361" t="str">
        <f>IF(ISNUMBER(SEARCH("Access Point",E361)),"AP",IF(OR(ISNUMBER(SEARCH("Switch",E361)),ISNUMBER(SEARCH("Control Type",E361))),"Switch","Infra"))</f>
        <v>Switch</v>
      </c>
    </row>
    <row r="362" spans="1:16" ht="14.25" customHeight="1">
      <c r="A362">
        <v>358</v>
      </c>
      <c r="B362" s="35" t="s">
        <v>21</v>
      </c>
      <c r="C362" s="36" t="s">
        <v>319</v>
      </c>
      <c r="D362" s="37" t="s">
        <v>192</v>
      </c>
      <c r="E362" s="37" t="s">
        <v>257</v>
      </c>
      <c r="F362" s="37">
        <v>2</v>
      </c>
      <c r="G362" s="37"/>
      <c r="H362" s="87"/>
      <c r="I362" s="87">
        <v>46104</v>
      </c>
      <c r="J362" s="37" t="s">
        <v>4</v>
      </c>
      <c r="K362" s="38">
        <f>F362-G362</f>
        <v>2</v>
      </c>
      <c r="L362" s="39">
        <f>IF(F362=0,"",G362/F362)</f>
        <v>0</v>
      </c>
      <c r="M362" s="40">
        <f ca="1">I362-TODAY()</f>
        <v>-3</v>
      </c>
      <c r="N362">
        <f>_xlfn.ISOWEEKNUM(I362)</f>
        <v>13</v>
      </c>
      <c r="O362" t="str">
        <f>IF(ISNUMBER(SEARCH("Access Point",E362)),"AP",IF(OR(ISNUMBER(SEARCH("Switch",E362)),ISNUMBER(SEARCH("Control Type",E362))),"Switch","Infra"))</f>
        <v>Infra</v>
      </c>
    </row>
    <row r="363" spans="1:16" ht="14.25" customHeight="1">
      <c r="A363">
        <v>359</v>
      </c>
      <c r="B363" s="35" t="s">
        <v>21</v>
      </c>
      <c r="C363" s="36" t="s">
        <v>320</v>
      </c>
      <c r="D363" s="37" t="s">
        <v>321</v>
      </c>
      <c r="E363" s="37" t="s">
        <v>79</v>
      </c>
      <c r="F363" s="37">
        <v>1</v>
      </c>
      <c r="G363" s="37">
        <v>1</v>
      </c>
      <c r="H363" s="87">
        <v>46079</v>
      </c>
      <c r="I363" s="87">
        <v>46079</v>
      </c>
      <c r="J363" s="37" t="s">
        <v>77</v>
      </c>
      <c r="K363" s="38">
        <f>F363-G363</f>
        <v>0</v>
      </c>
      <c r="L363" s="39">
        <f>IF(F363=0,"",G363/F363)</f>
        <v>1</v>
      </c>
      <c r="M363" s="40">
        <f ca="1">I363-TODAY()</f>
        <v>-28</v>
      </c>
      <c r="N363">
        <f>_xlfn.ISOWEEKNUM(I363)</f>
        <v>9</v>
      </c>
      <c r="O363" t="str">
        <f>IF(ISNUMBER(SEARCH("Access Point",E363)),"AP",IF(OR(ISNUMBER(SEARCH("Switch",E363)),ISNUMBER(SEARCH("Control Type",E363))),"Switch","Infra"))</f>
        <v>Switch</v>
      </c>
    </row>
    <row r="364" spans="1:16" ht="14.25" customHeight="1">
      <c r="A364">
        <v>360</v>
      </c>
      <c r="B364" s="35" t="s">
        <v>21</v>
      </c>
      <c r="C364" s="36" t="s">
        <v>322</v>
      </c>
      <c r="D364" s="37" t="s">
        <v>323</v>
      </c>
      <c r="E364" s="37" t="s">
        <v>79</v>
      </c>
      <c r="F364" s="37">
        <v>1</v>
      </c>
      <c r="G364" s="37">
        <v>1</v>
      </c>
      <c r="H364" s="87">
        <v>46095</v>
      </c>
      <c r="I364" s="87">
        <v>46095</v>
      </c>
      <c r="J364" s="37" t="s">
        <v>77</v>
      </c>
      <c r="K364" s="38">
        <f>F364-G364</f>
        <v>0</v>
      </c>
      <c r="L364" s="39">
        <f>IF(F364=0,"",G364/F364)</f>
        <v>1</v>
      </c>
      <c r="M364" s="40">
        <f ca="1">I364-TODAY()</f>
        <v>-12</v>
      </c>
      <c r="N364">
        <f>_xlfn.ISOWEEKNUM(I364)</f>
        <v>11</v>
      </c>
      <c r="O364" t="str">
        <f>IF(ISNUMBER(SEARCH("Access Point",E364)),"AP",IF(OR(ISNUMBER(SEARCH("Switch",E364)),ISNUMBER(SEARCH("Control Type",E364))),"Switch","Infra"))</f>
        <v>Switch</v>
      </c>
    </row>
    <row r="365" spans="1:16" ht="14.25" customHeight="1">
      <c r="A365">
        <v>361</v>
      </c>
      <c r="B365" s="35" t="s">
        <v>21</v>
      </c>
      <c r="C365" s="36" t="s">
        <v>324</v>
      </c>
      <c r="D365" s="37" t="s">
        <v>325</v>
      </c>
      <c r="E365" s="37" t="s">
        <v>79</v>
      </c>
      <c r="F365" s="37">
        <v>1</v>
      </c>
      <c r="G365" s="37">
        <v>1</v>
      </c>
      <c r="H365" s="87">
        <v>46079</v>
      </c>
      <c r="I365" s="87">
        <v>46079</v>
      </c>
      <c r="J365" s="37" t="s">
        <v>77</v>
      </c>
      <c r="K365" s="38">
        <f>F365-G365</f>
        <v>0</v>
      </c>
      <c r="L365" s="39">
        <f>IF(F365=0,"",G365/F365)</f>
        <v>1</v>
      </c>
      <c r="M365" s="40">
        <f ca="1">I365-TODAY()</f>
        <v>-28</v>
      </c>
      <c r="N365">
        <f>_xlfn.ISOWEEKNUM(I365)</f>
        <v>9</v>
      </c>
      <c r="O365" t="str">
        <f>IF(ISNUMBER(SEARCH("Access Point",E365)),"AP",IF(OR(ISNUMBER(SEARCH("Switch",E365)),ISNUMBER(SEARCH("Control Type",E365))),"Switch","Infra"))</f>
        <v>Switch</v>
      </c>
    </row>
    <row r="366" spans="1:16" ht="14.25" customHeight="1">
      <c r="A366">
        <v>362</v>
      </c>
      <c r="B366" s="35" t="s">
        <v>21</v>
      </c>
      <c r="C366" s="36" t="s">
        <v>326</v>
      </c>
      <c r="D366" s="37" t="s">
        <v>327</v>
      </c>
      <c r="E366" s="37" t="s">
        <v>79</v>
      </c>
      <c r="F366" s="37">
        <v>1</v>
      </c>
      <c r="G366" s="37">
        <v>1</v>
      </c>
      <c r="H366" s="87">
        <v>46095</v>
      </c>
      <c r="I366" s="87">
        <v>46095</v>
      </c>
      <c r="J366" s="37" t="s">
        <v>77</v>
      </c>
      <c r="K366" s="38">
        <f>F366-G366</f>
        <v>0</v>
      </c>
      <c r="L366" s="39">
        <f>IF(F366=0,"",G366/F366)</f>
        <v>1</v>
      </c>
      <c r="M366" s="40">
        <f ca="1">I366-TODAY()</f>
        <v>-12</v>
      </c>
      <c r="N366">
        <f>_xlfn.ISOWEEKNUM(I366)</f>
        <v>11</v>
      </c>
      <c r="O366" t="str">
        <f>IF(ISNUMBER(SEARCH("Access Point",E366)),"AP",IF(OR(ISNUMBER(SEARCH("Switch",E366)),ISNUMBER(SEARCH("Control Type",E366))),"Switch","Infra"))</f>
        <v>Switch</v>
      </c>
      <c r="P366" s="41" t="s">
        <v>104</v>
      </c>
    </row>
    <row r="367" spans="1:16" ht="14.25" customHeight="1">
      <c r="A367">
        <v>363</v>
      </c>
      <c r="B367" s="35" t="s">
        <v>21</v>
      </c>
      <c r="C367" s="36" t="s">
        <v>328</v>
      </c>
      <c r="D367" s="37" t="s">
        <v>329</v>
      </c>
      <c r="E367" s="37" t="s">
        <v>79</v>
      </c>
      <c r="F367" s="37">
        <v>1</v>
      </c>
      <c r="G367" s="37">
        <v>1</v>
      </c>
      <c r="H367" s="87">
        <v>46079</v>
      </c>
      <c r="I367" s="87">
        <v>46079</v>
      </c>
      <c r="J367" s="37" t="s">
        <v>77</v>
      </c>
      <c r="K367" s="38">
        <f>F367-G367</f>
        <v>0</v>
      </c>
      <c r="L367" s="39">
        <f>IF(F367=0,"",G367/F367)</f>
        <v>1</v>
      </c>
      <c r="M367" s="40">
        <f ca="1">I367-TODAY()</f>
        <v>-28</v>
      </c>
      <c r="N367">
        <f>_xlfn.ISOWEEKNUM(I367)</f>
        <v>9</v>
      </c>
      <c r="O367" t="str">
        <f>IF(ISNUMBER(SEARCH("Access Point",E367)),"AP",IF(OR(ISNUMBER(SEARCH("Switch",E367)),ISNUMBER(SEARCH("Control Type",E367))),"Switch","Infra"))</f>
        <v>Switch</v>
      </c>
    </row>
    <row r="368" spans="1:16" ht="14.25" customHeight="1">
      <c r="A368">
        <v>364</v>
      </c>
      <c r="B368" s="35" t="s">
        <v>21</v>
      </c>
      <c r="C368" s="36" t="s">
        <v>330</v>
      </c>
      <c r="D368" s="37" t="s">
        <v>331</v>
      </c>
      <c r="E368" s="37" t="s">
        <v>79</v>
      </c>
      <c r="F368" s="37">
        <v>1</v>
      </c>
      <c r="G368" s="37">
        <v>1</v>
      </c>
      <c r="H368" s="87">
        <v>46080</v>
      </c>
      <c r="I368" s="87">
        <v>46080</v>
      </c>
      <c r="J368" s="37" t="s">
        <v>77</v>
      </c>
      <c r="K368" s="38">
        <f>F368-G368</f>
        <v>0</v>
      </c>
      <c r="L368" s="39">
        <f>IF(F368=0,"",G368/F368)</f>
        <v>1</v>
      </c>
      <c r="M368" s="40">
        <f ca="1">I368-TODAY()</f>
        <v>-27</v>
      </c>
      <c r="N368">
        <f>_xlfn.ISOWEEKNUM(I368)</f>
        <v>9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customHeight="1">
      <c r="A369">
        <v>365</v>
      </c>
      <c r="B369" s="35" t="s">
        <v>21</v>
      </c>
      <c r="C369" s="36" t="s">
        <v>332</v>
      </c>
      <c r="D369" s="37" t="s">
        <v>333</v>
      </c>
      <c r="E369" s="37" t="s">
        <v>79</v>
      </c>
      <c r="F369" s="37">
        <v>1</v>
      </c>
      <c r="G369" s="37">
        <v>1</v>
      </c>
      <c r="H369" s="87">
        <v>46080</v>
      </c>
      <c r="I369" s="87">
        <v>46080</v>
      </c>
      <c r="J369" s="37" t="s">
        <v>77</v>
      </c>
      <c r="K369" s="38">
        <f>F369-G369</f>
        <v>0</v>
      </c>
      <c r="L369" s="39">
        <f>IF(F369=0,"",G369/F369)</f>
        <v>1</v>
      </c>
      <c r="M369" s="40">
        <f ca="1">I369-TODAY()</f>
        <v>-27</v>
      </c>
      <c r="N369">
        <f>_xlfn.ISOWEEKNUM(I369)</f>
        <v>9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customHeight="1">
      <c r="A370">
        <v>366</v>
      </c>
      <c r="B370" s="35" t="s">
        <v>21</v>
      </c>
      <c r="C370" s="36" t="s">
        <v>334</v>
      </c>
      <c r="D370" s="37" t="s">
        <v>335</v>
      </c>
      <c r="E370" s="37" t="s">
        <v>79</v>
      </c>
      <c r="F370" s="37">
        <v>1</v>
      </c>
      <c r="G370" s="37">
        <v>1</v>
      </c>
      <c r="H370" s="87">
        <v>46080</v>
      </c>
      <c r="I370" s="87">
        <v>46080</v>
      </c>
      <c r="J370" s="37" t="s">
        <v>77</v>
      </c>
      <c r="K370" s="38">
        <f>F370-G370</f>
        <v>0</v>
      </c>
      <c r="L370" s="39">
        <f>IF(F370=0,"",G370/F370)</f>
        <v>1</v>
      </c>
      <c r="M370" s="40">
        <f ca="1">I370-TODAY()</f>
        <v>-27</v>
      </c>
      <c r="N370">
        <f>_xlfn.ISOWEEKNUM(I370)</f>
        <v>9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customHeight="1">
      <c r="A371">
        <v>367</v>
      </c>
      <c r="B371" s="35" t="s">
        <v>21</v>
      </c>
      <c r="C371" s="36" t="s">
        <v>336</v>
      </c>
      <c r="D371" s="37" t="s">
        <v>337</v>
      </c>
      <c r="E371" s="37" t="s">
        <v>79</v>
      </c>
      <c r="F371" s="37">
        <v>1</v>
      </c>
      <c r="G371" s="37">
        <v>1</v>
      </c>
      <c r="H371" s="87">
        <v>46080</v>
      </c>
      <c r="I371" s="87">
        <v>46080</v>
      </c>
      <c r="J371" s="37" t="s">
        <v>77</v>
      </c>
      <c r="K371" s="38">
        <f>F371-G371</f>
        <v>0</v>
      </c>
      <c r="L371" s="39">
        <f>IF(F371=0,"",G371/F371)</f>
        <v>1</v>
      </c>
      <c r="M371" s="40">
        <f ca="1">I371-TODAY()</f>
        <v>-27</v>
      </c>
      <c r="N371">
        <f>_xlfn.ISOWEEKNUM(I371)</f>
        <v>9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368</v>
      </c>
      <c r="B372" s="35" t="s">
        <v>21</v>
      </c>
      <c r="C372" s="36" t="s">
        <v>338</v>
      </c>
      <c r="D372" s="37" t="s">
        <v>339</v>
      </c>
      <c r="E372" s="37" t="s">
        <v>79</v>
      </c>
      <c r="F372" s="37">
        <v>1</v>
      </c>
      <c r="G372" s="37">
        <v>1</v>
      </c>
      <c r="H372" s="87">
        <v>46080</v>
      </c>
      <c r="I372" s="87">
        <v>46080</v>
      </c>
      <c r="J372" s="37" t="s">
        <v>77</v>
      </c>
      <c r="K372" s="38">
        <f>F372-G372</f>
        <v>0</v>
      </c>
      <c r="L372" s="39">
        <f>IF(F372=0,"",G372/F372)</f>
        <v>1</v>
      </c>
      <c r="M372" s="40">
        <f ca="1">I372-TODAY()</f>
        <v>-27</v>
      </c>
      <c r="N372">
        <f>_xlfn.ISOWEEKNUM(I372)</f>
        <v>9</v>
      </c>
      <c r="O372" t="str">
        <f>IF(ISNUMBER(SEARCH("Access Point",E372)),"AP",IF(OR(ISNUMBER(SEARCH("Switch",E372)),ISNUMBER(SEARCH("Control Type",E372))),"Switch","Infra"))</f>
        <v>Switch</v>
      </c>
    </row>
    <row r="373" spans="1:15" ht="14.25" customHeight="1">
      <c r="A373">
        <v>369</v>
      </c>
      <c r="B373" s="35" t="s">
        <v>21</v>
      </c>
      <c r="C373" s="36" t="s">
        <v>340</v>
      </c>
      <c r="D373" s="37" t="s">
        <v>341</v>
      </c>
      <c r="E373" s="37" t="s">
        <v>79</v>
      </c>
      <c r="F373" s="37">
        <v>1</v>
      </c>
      <c r="G373" s="37">
        <v>1</v>
      </c>
      <c r="H373" s="87">
        <v>46079</v>
      </c>
      <c r="I373" s="87">
        <v>46079</v>
      </c>
      <c r="J373" s="37" t="s">
        <v>77</v>
      </c>
      <c r="K373" s="38">
        <f>F373-G373</f>
        <v>0</v>
      </c>
      <c r="L373" s="39">
        <f>IF(F373=0,"",G373/F373)</f>
        <v>1</v>
      </c>
      <c r="M373" s="40">
        <f ca="1">I373-TODAY()</f>
        <v>-28</v>
      </c>
      <c r="N373">
        <f>_xlfn.ISOWEEKNUM(I373)</f>
        <v>9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customHeight="1">
      <c r="A374">
        <v>370</v>
      </c>
      <c r="B374" s="35" t="s">
        <v>21</v>
      </c>
      <c r="C374" s="36" t="s">
        <v>342</v>
      </c>
      <c r="D374" s="37" t="s">
        <v>343</v>
      </c>
      <c r="E374" s="37" t="s">
        <v>79</v>
      </c>
      <c r="F374" s="37">
        <v>1</v>
      </c>
      <c r="G374" s="37">
        <v>1</v>
      </c>
      <c r="H374" s="87">
        <v>46095</v>
      </c>
      <c r="I374" s="87">
        <v>46095</v>
      </c>
      <c r="J374" s="37" t="s">
        <v>77</v>
      </c>
      <c r="K374" s="38">
        <f>F374-G374</f>
        <v>0</v>
      </c>
      <c r="L374" s="39">
        <f>IF(F374=0,"",G374/F374)</f>
        <v>1</v>
      </c>
      <c r="M374" s="40">
        <f ca="1">I374-TODAY()</f>
        <v>-12</v>
      </c>
      <c r="N374">
        <f>_xlfn.ISOWEEKNUM(I374)</f>
        <v>11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customHeight="1">
      <c r="A375">
        <v>371</v>
      </c>
      <c r="B375" s="35" t="s">
        <v>22</v>
      </c>
      <c r="C375" s="36" t="s">
        <v>344</v>
      </c>
      <c r="D375" s="37" t="s">
        <v>73</v>
      </c>
      <c r="E375" s="37" t="s">
        <v>74</v>
      </c>
      <c r="F375" s="37">
        <v>44</v>
      </c>
      <c r="G375" s="37"/>
      <c r="H375" s="87"/>
      <c r="I375" s="87">
        <v>46139</v>
      </c>
      <c r="J375" s="37" t="s">
        <v>4</v>
      </c>
      <c r="K375" s="38">
        <f>F375-G375</f>
        <v>44</v>
      </c>
      <c r="L375" s="39">
        <f>IF(F375=0,"",G375/F375)</f>
        <v>0</v>
      </c>
      <c r="M375" s="40">
        <f ca="1">I375-TODAY()</f>
        <v>32</v>
      </c>
      <c r="N375">
        <f>_xlfn.ISOWEEKNUM(I375)</f>
        <v>18</v>
      </c>
      <c r="O375" t="str">
        <f>IF(ISNUMBER(SEARCH("Access Point",E375)),"AP",IF(OR(ISNUMBER(SEARCH("Switch",E375)),ISNUMBER(SEARCH("Control Type",E375))),"Switch","Infra"))</f>
        <v>AP</v>
      </c>
    </row>
    <row r="376" spans="1:15" ht="14.25" customHeight="1">
      <c r="A376">
        <v>372</v>
      </c>
      <c r="B376" s="35" t="s">
        <v>22</v>
      </c>
      <c r="C376" s="36" t="s">
        <v>344</v>
      </c>
      <c r="D376" s="37" t="s">
        <v>345</v>
      </c>
      <c r="E376" s="37" t="s">
        <v>79</v>
      </c>
      <c r="F376" s="37">
        <v>3</v>
      </c>
      <c r="G376" s="37"/>
      <c r="H376" s="87"/>
      <c r="I376" s="87">
        <v>46142</v>
      </c>
      <c r="J376" s="37" t="s">
        <v>4</v>
      </c>
      <c r="K376" s="38">
        <f>F376-G376</f>
        <v>3</v>
      </c>
      <c r="L376" s="39">
        <f>IF(F376=0,"",G376/F376)</f>
        <v>0</v>
      </c>
      <c r="M376" s="40">
        <f ca="1">I376-TODAY()</f>
        <v>35</v>
      </c>
      <c r="N376">
        <f>_xlfn.ISOWEEKNUM(I376)</f>
        <v>18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customHeight="1">
      <c r="A377">
        <v>373</v>
      </c>
      <c r="B377" s="35" t="s">
        <v>22</v>
      </c>
      <c r="C377" s="36" t="s">
        <v>344</v>
      </c>
      <c r="D377" s="37" t="s">
        <v>345</v>
      </c>
      <c r="E377" s="37" t="s">
        <v>84</v>
      </c>
      <c r="F377" s="37">
        <v>2</v>
      </c>
      <c r="G377" s="37"/>
      <c r="H377" s="87"/>
      <c r="I377" s="87">
        <v>46142</v>
      </c>
      <c r="J377" s="37" t="s">
        <v>4</v>
      </c>
      <c r="K377" s="38">
        <f>F377-G377</f>
        <v>2</v>
      </c>
      <c r="L377" s="39">
        <f>IF(F377=0,"",G377/F377)</f>
        <v>0</v>
      </c>
      <c r="M377" s="40">
        <f ca="1">I377-TODAY()</f>
        <v>35</v>
      </c>
      <c r="N377">
        <f>_xlfn.ISOWEEKNUM(I377)</f>
        <v>18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customHeight="1">
      <c r="A378">
        <v>374</v>
      </c>
      <c r="B378" s="35" t="s">
        <v>22</v>
      </c>
      <c r="C378" s="36" t="s">
        <v>344</v>
      </c>
      <c r="D378" s="37" t="s">
        <v>346</v>
      </c>
      <c r="E378" s="37" t="s">
        <v>79</v>
      </c>
      <c r="F378" s="37">
        <v>3</v>
      </c>
      <c r="G378" s="37"/>
      <c r="H378" s="87"/>
      <c r="I378" s="87">
        <v>46147</v>
      </c>
      <c r="J378" s="37" t="s">
        <v>4</v>
      </c>
      <c r="K378" s="38">
        <f>F378-G378</f>
        <v>3</v>
      </c>
      <c r="L378" s="39">
        <f>IF(F378=0,"",G378/F378)</f>
        <v>0</v>
      </c>
      <c r="M378" s="40">
        <f ca="1">I378-TODAY()</f>
        <v>40</v>
      </c>
      <c r="N378">
        <f>_xlfn.ISOWEEKNUM(I378)</f>
        <v>19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customHeight="1">
      <c r="A379">
        <v>375</v>
      </c>
      <c r="B379" s="35" t="s">
        <v>22</v>
      </c>
      <c r="C379" s="36" t="s">
        <v>344</v>
      </c>
      <c r="D379" s="37" t="s">
        <v>346</v>
      </c>
      <c r="E379" s="37" t="s">
        <v>84</v>
      </c>
      <c r="F379" s="37">
        <v>3</v>
      </c>
      <c r="G379" s="37"/>
      <c r="H379" s="87"/>
      <c r="I379" s="87">
        <v>46147</v>
      </c>
      <c r="J379" s="37" t="s">
        <v>4</v>
      </c>
      <c r="K379" s="38">
        <f>F379-G379</f>
        <v>3</v>
      </c>
      <c r="L379" s="39">
        <f>IF(F379=0,"",G379/F379)</f>
        <v>0</v>
      </c>
      <c r="M379" s="40">
        <f ca="1">I379-TODAY()</f>
        <v>40</v>
      </c>
      <c r="N379">
        <f>_xlfn.ISOWEEKNUM(I379)</f>
        <v>19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376</v>
      </c>
      <c r="B380" s="35" t="s">
        <v>22</v>
      </c>
      <c r="C380" s="36" t="s">
        <v>344</v>
      </c>
      <c r="D380" s="37" t="s">
        <v>347</v>
      </c>
      <c r="E380" s="37" t="s">
        <v>79</v>
      </c>
      <c r="F380" s="37">
        <v>3</v>
      </c>
      <c r="G380" s="37"/>
      <c r="H380" s="87"/>
      <c r="I380" s="87">
        <v>46147</v>
      </c>
      <c r="J380" s="37" t="s">
        <v>4</v>
      </c>
      <c r="K380" s="38">
        <f>F380-G380</f>
        <v>3</v>
      </c>
      <c r="L380" s="39">
        <f>IF(F380=0,"",G380/F380)</f>
        <v>0</v>
      </c>
      <c r="M380" s="40">
        <f ca="1">I380-TODAY()</f>
        <v>40</v>
      </c>
      <c r="N380">
        <f>_xlfn.ISOWEEKNUM(I380)</f>
        <v>19</v>
      </c>
      <c r="O380" t="str">
        <f>IF(ISNUMBER(SEARCH("Access Point",E380)),"AP",IF(OR(ISNUMBER(SEARCH("Switch",E380)),ISNUMBER(SEARCH("Control Type",E380))),"Switch","Infra"))</f>
        <v>Switch</v>
      </c>
    </row>
    <row r="381" spans="1:15" ht="14.25" customHeight="1">
      <c r="A381">
        <v>377</v>
      </c>
      <c r="B381" s="35" t="s">
        <v>22</v>
      </c>
      <c r="C381" s="36" t="s">
        <v>344</v>
      </c>
      <c r="D381" s="37" t="s">
        <v>347</v>
      </c>
      <c r="E381" s="37" t="s">
        <v>84</v>
      </c>
      <c r="F381" s="37">
        <v>3</v>
      </c>
      <c r="G381" s="37"/>
      <c r="H381" s="87"/>
      <c r="I381" s="87">
        <v>46147</v>
      </c>
      <c r="J381" s="37" t="s">
        <v>4</v>
      </c>
      <c r="K381" s="38">
        <f>F381-G381</f>
        <v>3</v>
      </c>
      <c r="L381" s="39">
        <f>IF(F381=0,"",G381/F381)</f>
        <v>0</v>
      </c>
      <c r="M381" s="40">
        <f ca="1">I381-TODAY()</f>
        <v>40</v>
      </c>
      <c r="N381">
        <f>_xlfn.ISOWEEKNUM(I381)</f>
        <v>19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customHeight="1">
      <c r="A382">
        <v>378</v>
      </c>
      <c r="B382" s="35" t="s">
        <v>22</v>
      </c>
      <c r="C382" s="36" t="s">
        <v>344</v>
      </c>
      <c r="D382" s="37" t="s">
        <v>348</v>
      </c>
      <c r="E382" s="37" t="s">
        <v>79</v>
      </c>
      <c r="F382" s="37">
        <v>3</v>
      </c>
      <c r="G382" s="37"/>
      <c r="H382" s="87"/>
      <c r="I382" s="87">
        <v>46148</v>
      </c>
      <c r="J382" s="37" t="s">
        <v>4</v>
      </c>
      <c r="K382" s="38">
        <f>F382-G382</f>
        <v>3</v>
      </c>
      <c r="L382" s="39">
        <f>IF(F382=0,"",G382/F382)</f>
        <v>0</v>
      </c>
      <c r="M382" s="40">
        <f ca="1">I382-TODAY()</f>
        <v>41</v>
      </c>
      <c r="N382">
        <f>_xlfn.ISOWEEKNUM(I382)</f>
        <v>19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customHeight="1">
      <c r="A383">
        <v>379</v>
      </c>
      <c r="B383" s="35" t="s">
        <v>22</v>
      </c>
      <c r="C383" s="36" t="s">
        <v>344</v>
      </c>
      <c r="D383" s="37" t="s">
        <v>348</v>
      </c>
      <c r="E383" s="37" t="s">
        <v>84</v>
      </c>
      <c r="F383" s="37">
        <v>3</v>
      </c>
      <c r="G383" s="37"/>
      <c r="H383" s="87"/>
      <c r="I383" s="87">
        <v>46148</v>
      </c>
      <c r="J383" s="37" t="s">
        <v>4</v>
      </c>
      <c r="K383" s="38">
        <f>F383-G383</f>
        <v>3</v>
      </c>
      <c r="L383" s="39">
        <f>IF(F383=0,"",G383/F383)</f>
        <v>0</v>
      </c>
      <c r="M383" s="40">
        <f ca="1">I383-TODAY()</f>
        <v>41</v>
      </c>
      <c r="N383">
        <f>_xlfn.ISOWEEKNUM(I383)</f>
        <v>19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customHeight="1">
      <c r="A384">
        <v>380</v>
      </c>
      <c r="B384" s="35" t="s">
        <v>22</v>
      </c>
      <c r="C384" s="36" t="s">
        <v>344</v>
      </c>
      <c r="D384" s="37" t="s">
        <v>349</v>
      </c>
      <c r="E384" s="37" t="s">
        <v>79</v>
      </c>
      <c r="F384" s="37">
        <v>3</v>
      </c>
      <c r="G384" s="37"/>
      <c r="H384" s="87"/>
      <c r="I384" s="87">
        <v>46148</v>
      </c>
      <c r="J384" s="37" t="s">
        <v>4</v>
      </c>
      <c r="K384" s="38">
        <f>F384-G384</f>
        <v>3</v>
      </c>
      <c r="L384" s="39">
        <f>IF(F384=0,"",G384/F384)</f>
        <v>0</v>
      </c>
      <c r="M384" s="40">
        <f ca="1">I384-TODAY()</f>
        <v>41</v>
      </c>
      <c r="N384">
        <f>_xlfn.ISOWEEKNUM(I384)</f>
        <v>19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381</v>
      </c>
      <c r="B385" s="35" t="s">
        <v>22</v>
      </c>
      <c r="C385" s="36" t="s">
        <v>344</v>
      </c>
      <c r="D385" s="37" t="s">
        <v>349</v>
      </c>
      <c r="E385" s="37" t="s">
        <v>84</v>
      </c>
      <c r="F385" s="37">
        <v>3</v>
      </c>
      <c r="G385" s="37"/>
      <c r="H385" s="87"/>
      <c r="I385" s="87">
        <v>46148</v>
      </c>
      <c r="J385" s="37" t="s">
        <v>4</v>
      </c>
      <c r="K385" s="38">
        <f>F385-G385</f>
        <v>3</v>
      </c>
      <c r="L385" s="39">
        <f>IF(F385=0,"",G385/F385)</f>
        <v>0</v>
      </c>
      <c r="M385" s="40">
        <f ca="1">I385-TODAY()</f>
        <v>41</v>
      </c>
      <c r="N385">
        <f>_xlfn.ISOWEEKNUM(I385)</f>
        <v>19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382</v>
      </c>
      <c r="B386" s="35" t="s">
        <v>22</v>
      </c>
      <c r="C386" s="36" t="s">
        <v>344</v>
      </c>
      <c r="D386" s="37" t="s">
        <v>350</v>
      </c>
      <c r="E386" s="37" t="s">
        <v>79</v>
      </c>
      <c r="F386" s="37">
        <v>3</v>
      </c>
      <c r="G386" s="37"/>
      <c r="H386" s="87"/>
      <c r="I386" s="87">
        <v>46149</v>
      </c>
      <c r="J386" s="37" t="s">
        <v>4</v>
      </c>
      <c r="K386" s="38">
        <f>F386-G386</f>
        <v>3</v>
      </c>
      <c r="L386" s="39">
        <f>IF(F386=0,"",G386/F386)</f>
        <v>0</v>
      </c>
      <c r="M386" s="40">
        <f ca="1">I386-TODAY()</f>
        <v>42</v>
      </c>
      <c r="N386">
        <f>_xlfn.ISOWEEKNUM(I386)</f>
        <v>19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383</v>
      </c>
      <c r="B387" s="35" t="s">
        <v>22</v>
      </c>
      <c r="C387" s="36" t="s">
        <v>344</v>
      </c>
      <c r="D387" s="37" t="s">
        <v>350</v>
      </c>
      <c r="E387" s="37" t="s">
        <v>84</v>
      </c>
      <c r="F387" s="37">
        <v>3</v>
      </c>
      <c r="G387" s="37"/>
      <c r="H387" s="87"/>
      <c r="I387" s="87">
        <v>46149</v>
      </c>
      <c r="J387" s="37" t="s">
        <v>4</v>
      </c>
      <c r="K387" s="38">
        <f>F387-G387</f>
        <v>3</v>
      </c>
      <c r="L387" s="39">
        <f>IF(F387=0,"",G387/F387)</f>
        <v>0</v>
      </c>
      <c r="M387" s="40">
        <f ca="1">I387-TODAY()</f>
        <v>42</v>
      </c>
      <c r="N387">
        <f>_xlfn.ISOWEEKNUM(I387)</f>
        <v>19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384</v>
      </c>
      <c r="B388" s="35" t="s">
        <v>22</v>
      </c>
      <c r="C388" s="36" t="s">
        <v>344</v>
      </c>
      <c r="D388" s="37" t="s">
        <v>351</v>
      </c>
      <c r="E388" s="37" t="s">
        <v>79</v>
      </c>
      <c r="F388" s="37">
        <v>3</v>
      </c>
      <c r="G388" s="37"/>
      <c r="H388" s="87"/>
      <c r="I388" s="87">
        <v>46149</v>
      </c>
      <c r="J388" s="37" t="s">
        <v>4</v>
      </c>
      <c r="K388" s="38">
        <f>F388-G388</f>
        <v>3</v>
      </c>
      <c r="L388" s="39">
        <f>IF(F388=0,"",G388/F388)</f>
        <v>0</v>
      </c>
      <c r="M388" s="40">
        <f ca="1">I388-TODAY()</f>
        <v>42</v>
      </c>
      <c r="N388">
        <f>_xlfn.ISOWEEKNUM(I388)</f>
        <v>19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385</v>
      </c>
      <c r="B389" s="35" t="s">
        <v>22</v>
      </c>
      <c r="C389" s="36" t="s">
        <v>344</v>
      </c>
      <c r="D389" s="37" t="s">
        <v>351</v>
      </c>
      <c r="E389" s="37" t="s">
        <v>84</v>
      </c>
      <c r="F389" s="37">
        <v>3</v>
      </c>
      <c r="G389" s="37"/>
      <c r="H389" s="87"/>
      <c r="I389" s="87">
        <v>46149</v>
      </c>
      <c r="J389" s="37" t="s">
        <v>4</v>
      </c>
      <c r="K389" s="38">
        <f>F389-G389</f>
        <v>3</v>
      </c>
      <c r="L389" s="39">
        <f>IF(F389=0,"",G389/F389)</f>
        <v>0</v>
      </c>
      <c r="M389" s="40">
        <f ca="1">I389-TODAY()</f>
        <v>42</v>
      </c>
      <c r="N389">
        <f>_xlfn.ISOWEEKNUM(I389)</f>
        <v>19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386</v>
      </c>
      <c r="B390" s="35" t="s">
        <v>22</v>
      </c>
      <c r="C390" s="36" t="s">
        <v>344</v>
      </c>
      <c r="D390" s="37" t="s">
        <v>352</v>
      </c>
      <c r="E390" s="37" t="s">
        <v>79</v>
      </c>
      <c r="F390" s="37">
        <v>3</v>
      </c>
      <c r="G390" s="37"/>
      <c r="H390" s="87"/>
      <c r="I390" s="87">
        <v>46150</v>
      </c>
      <c r="J390" s="37" t="s">
        <v>4</v>
      </c>
      <c r="K390" s="38">
        <f>F390-G390</f>
        <v>3</v>
      </c>
      <c r="L390" s="39">
        <f>IF(F390=0,"",G390/F390)</f>
        <v>0</v>
      </c>
      <c r="M390" s="40">
        <f ca="1">I390-TODAY()</f>
        <v>43</v>
      </c>
      <c r="N390">
        <f>_xlfn.ISOWEEKNUM(I390)</f>
        <v>19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387</v>
      </c>
      <c r="B391" s="35" t="s">
        <v>22</v>
      </c>
      <c r="C391" s="36" t="s">
        <v>344</v>
      </c>
      <c r="D391" s="37" t="s">
        <v>352</v>
      </c>
      <c r="E391" s="37" t="s">
        <v>84</v>
      </c>
      <c r="F391" s="37">
        <v>3</v>
      </c>
      <c r="G391" s="37"/>
      <c r="H391" s="87"/>
      <c r="I391" s="87">
        <v>46150</v>
      </c>
      <c r="J391" s="37" t="s">
        <v>4</v>
      </c>
      <c r="K391" s="38">
        <f>F391-G391</f>
        <v>3</v>
      </c>
      <c r="L391" s="39">
        <f>IF(F391=0,"",G391/F391)</f>
        <v>0</v>
      </c>
      <c r="M391" s="40">
        <f ca="1">I391-TODAY()</f>
        <v>43</v>
      </c>
      <c r="N391">
        <f>_xlfn.ISOWEEKNUM(I391)</f>
        <v>19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388</v>
      </c>
      <c r="B392" s="35" t="s">
        <v>22</v>
      </c>
      <c r="C392" s="36" t="s">
        <v>344</v>
      </c>
      <c r="D392" s="37" t="s">
        <v>353</v>
      </c>
      <c r="E392" s="37" t="s">
        <v>79</v>
      </c>
      <c r="F392" s="37">
        <v>3</v>
      </c>
      <c r="G392" s="37"/>
      <c r="H392" s="87"/>
      <c r="I392" s="87">
        <v>46150</v>
      </c>
      <c r="J392" s="37" t="s">
        <v>4</v>
      </c>
      <c r="K392" s="38">
        <f>F392-G392</f>
        <v>3</v>
      </c>
      <c r="L392" s="39">
        <f>IF(F392=0,"",G392/F392)</f>
        <v>0</v>
      </c>
      <c r="M392" s="40">
        <f ca="1">I392-TODAY()</f>
        <v>43</v>
      </c>
      <c r="N392">
        <f>_xlfn.ISOWEEKNUM(I392)</f>
        <v>19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389</v>
      </c>
      <c r="B393" s="35" t="s">
        <v>22</v>
      </c>
      <c r="C393" s="36" t="s">
        <v>344</v>
      </c>
      <c r="D393" s="37" t="s">
        <v>353</v>
      </c>
      <c r="E393" s="37" t="s">
        <v>84</v>
      </c>
      <c r="F393" s="37">
        <v>3</v>
      </c>
      <c r="G393" s="37"/>
      <c r="H393" s="87"/>
      <c r="I393" s="87">
        <v>46150</v>
      </c>
      <c r="J393" s="37" t="s">
        <v>4</v>
      </c>
      <c r="K393" s="38">
        <f>F393-G393</f>
        <v>3</v>
      </c>
      <c r="L393" s="39">
        <f>IF(F393=0,"",G393/F393)</f>
        <v>0</v>
      </c>
      <c r="M393" s="40">
        <f ca="1">I393-TODAY()</f>
        <v>43</v>
      </c>
      <c r="N393">
        <f>_xlfn.ISOWEEKNUM(I393)</f>
        <v>19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390</v>
      </c>
      <c r="B394" s="35" t="s">
        <v>22</v>
      </c>
      <c r="C394" s="36" t="s">
        <v>344</v>
      </c>
      <c r="D394" s="37" t="s">
        <v>354</v>
      </c>
      <c r="E394" s="37" t="s">
        <v>79</v>
      </c>
      <c r="F394" s="37">
        <v>3</v>
      </c>
      <c r="G394" s="37"/>
      <c r="H394" s="87"/>
      <c r="I394" s="87">
        <v>46153</v>
      </c>
      <c r="J394" s="37" t="s">
        <v>4</v>
      </c>
      <c r="K394" s="38">
        <f>F394-G394</f>
        <v>3</v>
      </c>
      <c r="L394" s="39">
        <f>IF(F394=0,"",G394/F394)</f>
        <v>0</v>
      </c>
      <c r="M394" s="40">
        <f ca="1">I394-TODAY()</f>
        <v>46</v>
      </c>
      <c r="N394">
        <f>_xlfn.ISOWEEKNUM(I394)</f>
        <v>20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391</v>
      </c>
      <c r="B395" s="35" t="s">
        <v>22</v>
      </c>
      <c r="C395" s="36" t="s">
        <v>344</v>
      </c>
      <c r="D395" s="37" t="s">
        <v>354</v>
      </c>
      <c r="E395" s="37" t="s">
        <v>84</v>
      </c>
      <c r="F395" s="37">
        <v>3</v>
      </c>
      <c r="G395" s="37"/>
      <c r="H395" s="87"/>
      <c r="I395" s="87">
        <v>46153</v>
      </c>
      <c r="J395" s="37" t="s">
        <v>4</v>
      </c>
      <c r="K395" s="38">
        <f>F395-G395</f>
        <v>3</v>
      </c>
      <c r="L395" s="39">
        <f>IF(F395=0,"",G395/F395)</f>
        <v>0</v>
      </c>
      <c r="M395" s="40">
        <f ca="1">I395-TODAY()</f>
        <v>46</v>
      </c>
      <c r="N395">
        <f>_xlfn.ISOWEEKNUM(I395)</f>
        <v>20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392</v>
      </c>
      <c r="B396" s="35" t="s">
        <v>22</v>
      </c>
      <c r="C396" s="36" t="s">
        <v>344</v>
      </c>
      <c r="D396" s="37" t="s">
        <v>355</v>
      </c>
      <c r="E396" s="37" t="s">
        <v>79</v>
      </c>
      <c r="F396" s="37">
        <v>1</v>
      </c>
      <c r="G396" s="37"/>
      <c r="H396" s="87"/>
      <c r="I396" s="87">
        <v>46153</v>
      </c>
      <c r="J396" s="37" t="s">
        <v>4</v>
      </c>
      <c r="K396" s="38">
        <f>F396-G396</f>
        <v>1</v>
      </c>
      <c r="L396" s="39">
        <f>IF(F396=0,"",G396/F396)</f>
        <v>0</v>
      </c>
      <c r="M396" s="40">
        <f ca="1">I396-TODAY()</f>
        <v>46</v>
      </c>
      <c r="N396">
        <f>_xlfn.ISOWEEKNUM(I396)</f>
        <v>20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393</v>
      </c>
      <c r="B397" s="35" t="s">
        <v>22</v>
      </c>
      <c r="C397" s="36" t="s">
        <v>344</v>
      </c>
      <c r="D397" s="37" t="s">
        <v>355</v>
      </c>
      <c r="E397" s="37" t="s">
        <v>84</v>
      </c>
      <c r="F397" s="37">
        <v>1</v>
      </c>
      <c r="G397" s="37"/>
      <c r="H397" s="87"/>
      <c r="I397" s="87">
        <v>46153</v>
      </c>
      <c r="J397" s="37" t="s">
        <v>4</v>
      </c>
      <c r="K397" s="38">
        <f>F397-G397</f>
        <v>1</v>
      </c>
      <c r="L397" s="39">
        <f>IF(F397=0,"",G397/F397)</f>
        <v>0</v>
      </c>
      <c r="M397" s="40">
        <f ca="1">I397-TODAY()</f>
        <v>46</v>
      </c>
      <c r="N397">
        <f>_xlfn.ISOWEEKNUM(I397)</f>
        <v>20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394</v>
      </c>
      <c r="B398" s="35" t="s">
        <v>22</v>
      </c>
      <c r="C398" s="36" t="s">
        <v>344</v>
      </c>
      <c r="D398" s="37" t="s">
        <v>356</v>
      </c>
      <c r="E398" s="37" t="s">
        <v>79</v>
      </c>
      <c r="F398" s="37">
        <v>1</v>
      </c>
      <c r="G398" s="37"/>
      <c r="H398" s="87"/>
      <c r="I398" s="87">
        <v>46153</v>
      </c>
      <c r="J398" s="37" t="s">
        <v>4</v>
      </c>
      <c r="K398" s="38">
        <f>F398-G398</f>
        <v>1</v>
      </c>
      <c r="L398" s="39">
        <f>IF(F398=0,"",G398/F398)</f>
        <v>0</v>
      </c>
      <c r="M398" s="40">
        <f ca="1">I398-TODAY()</f>
        <v>46</v>
      </c>
      <c r="N398">
        <f>_xlfn.ISOWEEKNUM(I398)</f>
        <v>20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395</v>
      </c>
      <c r="B399" s="35" t="s">
        <v>22</v>
      </c>
      <c r="C399" s="36" t="s">
        <v>344</v>
      </c>
      <c r="D399" s="37" t="s">
        <v>356</v>
      </c>
      <c r="E399" s="37" t="s">
        <v>84</v>
      </c>
      <c r="F399" s="37">
        <v>1</v>
      </c>
      <c r="G399" s="37"/>
      <c r="H399" s="87"/>
      <c r="I399" s="87">
        <v>46153</v>
      </c>
      <c r="J399" s="37" t="s">
        <v>4</v>
      </c>
      <c r="K399" s="38">
        <f>F399-G399</f>
        <v>1</v>
      </c>
      <c r="L399" s="39">
        <f>IF(F399=0,"",G399/F399)</f>
        <v>0</v>
      </c>
      <c r="M399" s="40">
        <f ca="1">I399-TODAY()</f>
        <v>46</v>
      </c>
      <c r="N399">
        <f>_xlfn.ISOWEEKNUM(I399)</f>
        <v>20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396</v>
      </c>
      <c r="B400" s="35" t="s">
        <v>22</v>
      </c>
      <c r="C400" s="36" t="s">
        <v>344</v>
      </c>
      <c r="D400" s="37" t="s">
        <v>356</v>
      </c>
      <c r="E400" s="37" t="s">
        <v>118</v>
      </c>
      <c r="F400" s="37">
        <v>1</v>
      </c>
      <c r="G400" s="37"/>
      <c r="H400" s="87"/>
      <c r="I400" s="87">
        <v>46153</v>
      </c>
      <c r="J400" s="37" t="s">
        <v>4</v>
      </c>
      <c r="K400" s="38">
        <f>F400-G400</f>
        <v>1</v>
      </c>
      <c r="L400" s="39">
        <f>IF(F400=0,"",G400/F400)</f>
        <v>0</v>
      </c>
      <c r="M400" s="40">
        <f ca="1">I400-TODAY()</f>
        <v>46</v>
      </c>
      <c r="N400">
        <f>_xlfn.ISOWEEKNUM(I400)</f>
        <v>20</v>
      </c>
      <c r="O400" t="str">
        <f>IF(ISNUMBER(SEARCH("Access Point",E400)),"AP",IF(OR(ISNUMBER(SEARCH("Switch",E400)),ISNUMBER(SEARCH("Control Type",E400))),"Switch","Infra"))</f>
        <v>Switch</v>
      </c>
    </row>
    <row r="401" spans="1:15" ht="14.25" customHeight="1">
      <c r="A401">
        <v>397</v>
      </c>
      <c r="B401" s="35" t="s">
        <v>22</v>
      </c>
      <c r="C401" s="36" t="s">
        <v>344</v>
      </c>
      <c r="D401" s="37" t="s">
        <v>357</v>
      </c>
      <c r="E401" s="37" t="s">
        <v>79</v>
      </c>
      <c r="F401" s="37">
        <v>3</v>
      </c>
      <c r="G401" s="37"/>
      <c r="H401" s="87"/>
      <c r="I401" s="87">
        <v>46155</v>
      </c>
      <c r="J401" s="37" t="s">
        <v>4</v>
      </c>
      <c r="K401" s="38">
        <f>F401-G401</f>
        <v>3</v>
      </c>
      <c r="L401" s="39">
        <f>IF(F401=0,"",G401/F401)</f>
        <v>0</v>
      </c>
      <c r="M401" s="40">
        <f ca="1">I401-TODAY()</f>
        <v>48</v>
      </c>
      <c r="N401">
        <f>_xlfn.ISOWEEKNUM(I401)</f>
        <v>20</v>
      </c>
      <c r="O401" t="str">
        <f>IF(ISNUMBER(SEARCH("Access Point",E401)),"AP",IF(OR(ISNUMBER(SEARCH("Switch",E401)),ISNUMBER(SEARCH("Control Type",E401))),"Switch","Infra"))</f>
        <v>Switch</v>
      </c>
    </row>
    <row r="402" spans="1:15" ht="14.25" customHeight="1">
      <c r="A402">
        <v>398</v>
      </c>
      <c r="B402" s="35" t="s">
        <v>22</v>
      </c>
      <c r="C402" s="36" t="s">
        <v>344</v>
      </c>
      <c r="D402" s="37" t="s">
        <v>357</v>
      </c>
      <c r="E402" s="37" t="s">
        <v>84</v>
      </c>
      <c r="F402" s="37">
        <v>1</v>
      </c>
      <c r="G402" s="37"/>
      <c r="H402" s="87"/>
      <c r="I402" s="87">
        <v>46155</v>
      </c>
      <c r="J402" s="37" t="s">
        <v>4</v>
      </c>
      <c r="K402" s="38">
        <f>F402-G402</f>
        <v>1</v>
      </c>
      <c r="L402" s="39">
        <f>IF(F402=0,"",G402/F402)</f>
        <v>0</v>
      </c>
      <c r="M402" s="40">
        <f ca="1">I402-TODAY()</f>
        <v>48</v>
      </c>
      <c r="N402">
        <f>_xlfn.ISOWEEKNUM(I402)</f>
        <v>20</v>
      </c>
      <c r="O402" t="str">
        <f>IF(ISNUMBER(SEARCH("Access Point",E402)),"AP",IF(OR(ISNUMBER(SEARCH("Switch",E402)),ISNUMBER(SEARCH("Control Type",E402))),"Switch","Infra"))</f>
        <v>Switch</v>
      </c>
    </row>
    <row r="403" spans="1:15" ht="14.25" customHeight="1">
      <c r="A403">
        <v>399</v>
      </c>
      <c r="B403" s="35" t="s">
        <v>22</v>
      </c>
      <c r="C403" s="36" t="s">
        <v>344</v>
      </c>
      <c r="D403" s="37" t="s">
        <v>357</v>
      </c>
      <c r="E403" s="37" t="s">
        <v>120</v>
      </c>
      <c r="F403" s="37">
        <v>1</v>
      </c>
      <c r="G403" s="37"/>
      <c r="H403" s="87"/>
      <c r="I403" s="87">
        <v>46155</v>
      </c>
      <c r="J403" s="37" t="s">
        <v>4</v>
      </c>
      <c r="K403" s="38">
        <f>F403-G403</f>
        <v>1</v>
      </c>
      <c r="L403" s="39">
        <f>IF(F403=0,"",G403/F403)</f>
        <v>0</v>
      </c>
      <c r="M403" s="40">
        <f ca="1">I403-TODAY()</f>
        <v>48</v>
      </c>
      <c r="N403">
        <f>_xlfn.ISOWEEKNUM(I403)</f>
        <v>20</v>
      </c>
      <c r="O403" t="str">
        <f>IF(ISNUMBER(SEARCH("Access Point",E403)),"AP",IF(OR(ISNUMBER(SEARCH("Switch",E403)),ISNUMBER(SEARCH("Control Type",E403))),"Switch","Infra"))</f>
        <v>Switch</v>
      </c>
    </row>
    <row r="404" spans="1:15" ht="14.25" customHeight="1">
      <c r="A404">
        <v>400</v>
      </c>
      <c r="B404" s="35" t="s">
        <v>22</v>
      </c>
      <c r="C404" s="36" t="s">
        <v>344</v>
      </c>
      <c r="D404" s="37" t="s">
        <v>357</v>
      </c>
      <c r="E404" s="37" t="s">
        <v>118</v>
      </c>
      <c r="F404" s="37">
        <v>1</v>
      </c>
      <c r="G404" s="37"/>
      <c r="H404" s="87"/>
      <c r="I404" s="87">
        <v>46155</v>
      </c>
      <c r="J404" s="37" t="s">
        <v>4</v>
      </c>
      <c r="K404" s="38">
        <f>F404-G404</f>
        <v>1</v>
      </c>
      <c r="L404" s="39">
        <f>IF(F404=0,"",G404/F404)</f>
        <v>0</v>
      </c>
      <c r="M404" s="40">
        <f ca="1">I404-TODAY()</f>
        <v>48</v>
      </c>
      <c r="N404">
        <f>_xlfn.ISOWEEKNUM(I404)</f>
        <v>20</v>
      </c>
      <c r="O404" t="str">
        <f>IF(ISNUMBER(SEARCH("Access Point",E404)),"AP",IF(OR(ISNUMBER(SEARCH("Switch",E404)),ISNUMBER(SEARCH("Control Type",E404))),"Switch","Infra"))</f>
        <v>Switch</v>
      </c>
    </row>
    <row r="405" spans="1:15" ht="14.25" customHeight="1">
      <c r="A405">
        <v>401</v>
      </c>
      <c r="B405" s="35" t="s">
        <v>22</v>
      </c>
      <c r="C405" s="36" t="s">
        <v>344</v>
      </c>
      <c r="D405" s="37" t="s">
        <v>358</v>
      </c>
      <c r="E405" s="37" t="s">
        <v>79</v>
      </c>
      <c r="F405" s="37">
        <v>1</v>
      </c>
      <c r="G405" s="37"/>
      <c r="H405" s="87"/>
      <c r="I405" s="87">
        <v>46155</v>
      </c>
      <c r="J405" s="37" t="s">
        <v>4</v>
      </c>
      <c r="K405" s="38">
        <f>F405-G405</f>
        <v>1</v>
      </c>
      <c r="L405" s="39">
        <f>IF(F405=0,"",G405/F405)</f>
        <v>0</v>
      </c>
      <c r="M405" s="40">
        <f ca="1">I405-TODAY()</f>
        <v>48</v>
      </c>
      <c r="N405">
        <f>_xlfn.ISOWEEKNUM(I405)</f>
        <v>20</v>
      </c>
      <c r="O405" t="str">
        <f>IF(ISNUMBER(SEARCH("Access Point",E405)),"AP",IF(OR(ISNUMBER(SEARCH("Switch",E405)),ISNUMBER(SEARCH("Control Type",E405))),"Switch","Infra"))</f>
        <v>Switch</v>
      </c>
    </row>
    <row r="406" spans="1:15" ht="14.25" customHeight="1">
      <c r="A406">
        <v>402</v>
      </c>
      <c r="B406" s="35" t="s">
        <v>22</v>
      </c>
      <c r="C406" s="36" t="s">
        <v>344</v>
      </c>
      <c r="D406" s="37" t="s">
        <v>358</v>
      </c>
      <c r="E406" s="37" t="s">
        <v>84</v>
      </c>
      <c r="F406" s="37">
        <v>1</v>
      </c>
      <c r="G406" s="37"/>
      <c r="H406" s="87"/>
      <c r="I406" s="87">
        <v>46155</v>
      </c>
      <c r="J406" s="37" t="s">
        <v>4</v>
      </c>
      <c r="K406" s="38">
        <f>F406-G406</f>
        <v>1</v>
      </c>
      <c r="L406" s="39">
        <f>IF(F406=0,"",G406/F406)</f>
        <v>0</v>
      </c>
      <c r="M406" s="40">
        <f ca="1">I406-TODAY()</f>
        <v>48</v>
      </c>
      <c r="N406">
        <f>_xlfn.ISOWEEKNUM(I406)</f>
        <v>20</v>
      </c>
      <c r="O406" t="str">
        <f>IF(ISNUMBER(SEARCH("Access Point",E406)),"AP",IF(OR(ISNUMBER(SEARCH("Switch",E406)),ISNUMBER(SEARCH("Control Type",E406))),"Switch","Infra"))</f>
        <v>Switch</v>
      </c>
    </row>
    <row r="407" spans="1:15" ht="14.25" customHeight="1">
      <c r="A407">
        <v>403</v>
      </c>
      <c r="B407" s="35" t="s">
        <v>22</v>
      </c>
      <c r="C407" s="36" t="s">
        <v>344</v>
      </c>
      <c r="D407" s="37" t="s">
        <v>358</v>
      </c>
      <c r="E407" s="37" t="s">
        <v>120</v>
      </c>
      <c r="F407" s="37">
        <v>1</v>
      </c>
      <c r="G407" s="37"/>
      <c r="H407" s="87"/>
      <c r="I407" s="87">
        <v>46155</v>
      </c>
      <c r="J407" s="37" t="s">
        <v>4</v>
      </c>
      <c r="K407" s="38">
        <f>F407-G407</f>
        <v>1</v>
      </c>
      <c r="L407" s="39">
        <f>IF(F407=0,"",G407/F407)</f>
        <v>0</v>
      </c>
      <c r="M407" s="40">
        <f ca="1">I407-TODAY()</f>
        <v>48</v>
      </c>
      <c r="N407">
        <f>_xlfn.ISOWEEKNUM(I407)</f>
        <v>20</v>
      </c>
      <c r="O407" t="str">
        <f>IF(ISNUMBER(SEARCH("Access Point",E407)),"AP",IF(OR(ISNUMBER(SEARCH("Switch",E407)),ISNUMBER(SEARCH("Control Type",E407))),"Switch","Infra"))</f>
        <v>Switch</v>
      </c>
    </row>
    <row r="408" spans="1:15" ht="14.25" customHeight="1">
      <c r="A408">
        <v>404</v>
      </c>
      <c r="B408" s="35" t="s">
        <v>22</v>
      </c>
      <c r="C408" s="36" t="s">
        <v>344</v>
      </c>
      <c r="D408" s="37" t="s">
        <v>358</v>
      </c>
      <c r="E408" s="37" t="s">
        <v>118</v>
      </c>
      <c r="F408" s="37">
        <v>1</v>
      </c>
      <c r="G408" s="37"/>
      <c r="H408" s="87"/>
      <c r="I408" s="87">
        <v>46155</v>
      </c>
      <c r="J408" s="37" t="s">
        <v>4</v>
      </c>
      <c r="K408" s="38">
        <f>F408-G408</f>
        <v>1</v>
      </c>
      <c r="L408" s="39">
        <f>IF(F408=0,"",G408/F408)</f>
        <v>0</v>
      </c>
      <c r="M408" s="40">
        <f ca="1">I408-TODAY()</f>
        <v>48</v>
      </c>
      <c r="N408">
        <f>_xlfn.ISOWEEKNUM(I408)</f>
        <v>20</v>
      </c>
      <c r="O408" t="str">
        <f>IF(ISNUMBER(SEARCH("Access Point",E408)),"AP",IF(OR(ISNUMBER(SEARCH("Switch",E408)),ISNUMBER(SEARCH("Control Type",E408))),"Switch","Infra"))</f>
        <v>Switch</v>
      </c>
    </row>
    <row r="409" spans="1:15" ht="14.25" customHeight="1">
      <c r="A409">
        <v>405</v>
      </c>
      <c r="B409" s="35" t="s">
        <v>22</v>
      </c>
      <c r="C409" s="36" t="s">
        <v>344</v>
      </c>
      <c r="D409" s="37" t="s">
        <v>359</v>
      </c>
      <c r="E409" s="37" t="s">
        <v>79</v>
      </c>
      <c r="F409" s="37">
        <v>1</v>
      </c>
      <c r="G409" s="37"/>
      <c r="H409" s="87"/>
      <c r="I409" s="87">
        <v>46155</v>
      </c>
      <c r="J409" s="37" t="s">
        <v>4</v>
      </c>
      <c r="K409" s="38">
        <f>F409-G409</f>
        <v>1</v>
      </c>
      <c r="L409" s="39">
        <f>IF(F409=0,"",G409/F409)</f>
        <v>0</v>
      </c>
      <c r="M409" s="40">
        <f ca="1">I409-TODAY()</f>
        <v>48</v>
      </c>
      <c r="N409">
        <f>_xlfn.ISOWEEKNUM(I409)</f>
        <v>20</v>
      </c>
      <c r="O409" t="str">
        <f>IF(ISNUMBER(SEARCH("Access Point",E409)),"AP",IF(OR(ISNUMBER(SEARCH("Switch",E409)),ISNUMBER(SEARCH("Control Type",E409))),"Switch","Infra"))</f>
        <v>Switch</v>
      </c>
    </row>
    <row r="410" spans="1:15" ht="14.25" customHeight="1">
      <c r="A410">
        <v>406</v>
      </c>
      <c r="B410" s="35" t="s">
        <v>22</v>
      </c>
      <c r="C410" s="36" t="s">
        <v>344</v>
      </c>
      <c r="D410" s="37" t="s">
        <v>359</v>
      </c>
      <c r="E410" s="37" t="s">
        <v>84</v>
      </c>
      <c r="F410" s="37">
        <v>1</v>
      </c>
      <c r="G410" s="37"/>
      <c r="H410" s="87"/>
      <c r="I410" s="87">
        <v>46155</v>
      </c>
      <c r="J410" s="37" t="s">
        <v>4</v>
      </c>
      <c r="K410" s="38">
        <f>F410-G410</f>
        <v>1</v>
      </c>
      <c r="L410" s="39">
        <f>IF(F410=0,"",G410/F410)</f>
        <v>0</v>
      </c>
      <c r="M410" s="40">
        <f ca="1">I410-TODAY()</f>
        <v>48</v>
      </c>
      <c r="N410">
        <f>_xlfn.ISOWEEKNUM(I410)</f>
        <v>20</v>
      </c>
      <c r="O410" t="str">
        <f>IF(ISNUMBER(SEARCH("Access Point",E410)),"AP",IF(OR(ISNUMBER(SEARCH("Switch",E410)),ISNUMBER(SEARCH("Control Type",E410))),"Switch","Infra"))</f>
        <v>Switch</v>
      </c>
    </row>
    <row r="411" spans="1:15" ht="14.25" customHeight="1">
      <c r="A411">
        <v>407</v>
      </c>
      <c r="B411" s="35" t="s">
        <v>22</v>
      </c>
      <c r="C411" s="36" t="s">
        <v>344</v>
      </c>
      <c r="D411" s="37" t="s">
        <v>359</v>
      </c>
      <c r="E411" s="37" t="s">
        <v>120</v>
      </c>
      <c r="F411" s="37">
        <v>1</v>
      </c>
      <c r="G411" s="37"/>
      <c r="H411" s="87"/>
      <c r="I411" s="87">
        <v>46155</v>
      </c>
      <c r="J411" s="37" t="s">
        <v>4</v>
      </c>
      <c r="K411" s="38">
        <f>F411-G411</f>
        <v>1</v>
      </c>
      <c r="L411" s="39">
        <f>IF(F411=0,"",G411/F411)</f>
        <v>0</v>
      </c>
      <c r="M411" s="40">
        <f ca="1">I411-TODAY()</f>
        <v>48</v>
      </c>
      <c r="N411">
        <f>_xlfn.ISOWEEKNUM(I411)</f>
        <v>20</v>
      </c>
      <c r="O411" t="str">
        <f>IF(ISNUMBER(SEARCH("Access Point",E411)),"AP",IF(OR(ISNUMBER(SEARCH("Switch",E411)),ISNUMBER(SEARCH("Control Type",E411))),"Switch","Infra"))</f>
        <v>Switch</v>
      </c>
    </row>
    <row r="412" spans="1:15" ht="14.25" customHeight="1">
      <c r="A412">
        <v>408</v>
      </c>
      <c r="B412" s="35" t="s">
        <v>22</v>
      </c>
      <c r="C412" s="36" t="s">
        <v>344</v>
      </c>
      <c r="D412" s="37" t="s">
        <v>360</v>
      </c>
      <c r="E412" s="37" t="s">
        <v>79</v>
      </c>
      <c r="F412" s="37">
        <v>1</v>
      </c>
      <c r="G412" s="37"/>
      <c r="H412" s="87"/>
      <c r="I412" s="87">
        <v>46156</v>
      </c>
      <c r="J412" s="37" t="s">
        <v>4</v>
      </c>
      <c r="K412" s="38">
        <f>F412-G412</f>
        <v>1</v>
      </c>
      <c r="L412" s="39">
        <f>IF(F412=0,"",G412/F412)</f>
        <v>0</v>
      </c>
      <c r="M412" s="40">
        <f ca="1">I412-TODAY()</f>
        <v>49</v>
      </c>
      <c r="N412">
        <f>_xlfn.ISOWEEKNUM(I412)</f>
        <v>20</v>
      </c>
      <c r="O412" t="str">
        <f>IF(ISNUMBER(SEARCH("Access Point",E412)),"AP",IF(OR(ISNUMBER(SEARCH("Switch",E412)),ISNUMBER(SEARCH("Control Type",E412))),"Switch","Infra"))</f>
        <v>Switch</v>
      </c>
    </row>
    <row r="413" spans="1:15" ht="14.25" customHeight="1">
      <c r="A413">
        <v>409</v>
      </c>
      <c r="B413" s="35" t="s">
        <v>22</v>
      </c>
      <c r="C413" s="36" t="s">
        <v>344</v>
      </c>
      <c r="D413" s="37" t="s">
        <v>360</v>
      </c>
      <c r="E413" s="37" t="s">
        <v>84</v>
      </c>
      <c r="F413" s="37">
        <v>1</v>
      </c>
      <c r="G413" s="37"/>
      <c r="H413" s="87"/>
      <c r="I413" s="87">
        <v>46156</v>
      </c>
      <c r="J413" s="37" t="s">
        <v>4</v>
      </c>
      <c r="K413" s="38">
        <f>F413-G413</f>
        <v>1</v>
      </c>
      <c r="L413" s="39">
        <f>IF(F413=0,"",G413/F413)</f>
        <v>0</v>
      </c>
      <c r="M413" s="40">
        <f ca="1">I413-TODAY()</f>
        <v>49</v>
      </c>
      <c r="N413">
        <f>_xlfn.ISOWEEKNUM(I413)</f>
        <v>20</v>
      </c>
      <c r="O413" t="str">
        <f>IF(ISNUMBER(SEARCH("Access Point",E413)),"AP",IF(OR(ISNUMBER(SEARCH("Switch",E413)),ISNUMBER(SEARCH("Control Type",E413))),"Switch","Infra"))</f>
        <v>Switch</v>
      </c>
    </row>
    <row r="414" spans="1:15" ht="14.25" customHeight="1">
      <c r="A414">
        <v>410</v>
      </c>
      <c r="B414" s="35" t="s">
        <v>22</v>
      </c>
      <c r="C414" s="36" t="s">
        <v>344</v>
      </c>
      <c r="D414" s="37" t="s">
        <v>361</v>
      </c>
      <c r="E414" s="37" t="s">
        <v>79</v>
      </c>
      <c r="F414" s="37">
        <v>1</v>
      </c>
      <c r="G414" s="37"/>
      <c r="H414" s="87"/>
      <c r="I414" s="87">
        <v>46156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49</v>
      </c>
      <c r="N414">
        <f>_xlfn.ISOWEEKNUM(I414)</f>
        <v>20</v>
      </c>
      <c r="O414" t="str">
        <f>IF(ISNUMBER(SEARCH("Access Point",E414)),"AP",IF(OR(ISNUMBER(SEARCH("Switch",E414)),ISNUMBER(SEARCH("Control Type",E414))),"Switch","Infra"))</f>
        <v>Switch</v>
      </c>
    </row>
    <row r="415" spans="1:15" ht="14.25" customHeight="1">
      <c r="A415">
        <v>411</v>
      </c>
      <c r="B415" s="35" t="s">
        <v>22</v>
      </c>
      <c r="C415" s="36" t="s">
        <v>344</v>
      </c>
      <c r="D415" s="37" t="s">
        <v>361</v>
      </c>
      <c r="E415" s="37" t="s">
        <v>84</v>
      </c>
      <c r="F415" s="37">
        <v>1</v>
      </c>
      <c r="G415" s="37"/>
      <c r="H415" s="87"/>
      <c r="I415" s="87">
        <v>46156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49</v>
      </c>
      <c r="N415">
        <f>_xlfn.ISOWEEKNUM(I415)</f>
        <v>20</v>
      </c>
      <c r="O415" t="str">
        <f>IF(ISNUMBER(SEARCH("Access Point",E415)),"AP",IF(OR(ISNUMBER(SEARCH("Switch",E415)),ISNUMBER(SEARCH("Control Type",E415))),"Switch","Infra"))</f>
        <v>Switch</v>
      </c>
    </row>
    <row r="416" spans="1:15" ht="14.25" customHeight="1">
      <c r="A416">
        <v>412</v>
      </c>
      <c r="B416" s="35" t="s">
        <v>22</v>
      </c>
      <c r="C416" s="36" t="s">
        <v>344</v>
      </c>
      <c r="D416" s="37" t="s">
        <v>361</v>
      </c>
      <c r="E416" s="37" t="s">
        <v>120</v>
      </c>
      <c r="F416" s="37">
        <v>1</v>
      </c>
      <c r="G416" s="37"/>
      <c r="H416" s="87"/>
      <c r="I416" s="87">
        <v>46156</v>
      </c>
      <c r="J416" s="37" t="s">
        <v>4</v>
      </c>
      <c r="K416" s="38">
        <f>F416-G416</f>
        <v>1</v>
      </c>
      <c r="L416" s="39">
        <f>IF(F416=0,"",G416/F416)</f>
        <v>0</v>
      </c>
      <c r="M416" s="40">
        <f ca="1">I416-TODAY()</f>
        <v>49</v>
      </c>
      <c r="N416">
        <f>_xlfn.ISOWEEKNUM(I416)</f>
        <v>20</v>
      </c>
      <c r="O416" t="str">
        <f>IF(ISNUMBER(SEARCH("Access Point",E416)),"AP",IF(OR(ISNUMBER(SEARCH("Switch",E416)),ISNUMBER(SEARCH("Control Type",E416))),"Switch","Infra"))</f>
        <v>Switch</v>
      </c>
    </row>
    <row r="417" spans="1:15" ht="14.25" customHeight="1">
      <c r="A417">
        <v>413</v>
      </c>
      <c r="B417" s="35" t="s">
        <v>22</v>
      </c>
      <c r="C417" s="36" t="s">
        <v>344</v>
      </c>
      <c r="D417" s="37" t="s">
        <v>362</v>
      </c>
      <c r="E417" s="37" t="s">
        <v>79</v>
      </c>
      <c r="F417" s="37">
        <v>4</v>
      </c>
      <c r="G417" s="37"/>
      <c r="H417" s="87"/>
      <c r="I417" s="87">
        <v>46156</v>
      </c>
      <c r="J417" s="37" t="s">
        <v>4</v>
      </c>
      <c r="K417" s="38">
        <f>F417-G417</f>
        <v>4</v>
      </c>
      <c r="L417" s="39">
        <f>IF(F417=0,"",G417/F417)</f>
        <v>0</v>
      </c>
      <c r="M417" s="40">
        <f ca="1">I417-TODAY()</f>
        <v>49</v>
      </c>
      <c r="N417">
        <f>_xlfn.ISOWEEKNUM(I417)</f>
        <v>20</v>
      </c>
      <c r="O417" t="str">
        <f>IF(ISNUMBER(SEARCH("Access Point",E417)),"AP",IF(OR(ISNUMBER(SEARCH("Switch",E417)),ISNUMBER(SEARCH("Control Type",E417))),"Switch","Infra"))</f>
        <v>Switch</v>
      </c>
    </row>
    <row r="418" spans="1:15" ht="14.25" customHeight="1">
      <c r="A418">
        <v>414</v>
      </c>
      <c r="B418" s="35" t="s">
        <v>22</v>
      </c>
      <c r="C418" s="36" t="s">
        <v>344</v>
      </c>
      <c r="D418" s="37" t="s">
        <v>362</v>
      </c>
      <c r="E418" s="37" t="s">
        <v>84</v>
      </c>
      <c r="F418" s="37">
        <v>3</v>
      </c>
      <c r="G418" s="37"/>
      <c r="H418" s="87"/>
      <c r="I418" s="87">
        <v>46156</v>
      </c>
      <c r="J418" s="37" t="s">
        <v>4</v>
      </c>
      <c r="K418" s="38">
        <f>F418-G418</f>
        <v>3</v>
      </c>
      <c r="L418" s="39">
        <f>IF(F418=0,"",G418/F418)</f>
        <v>0</v>
      </c>
      <c r="M418" s="40">
        <f ca="1">I418-TODAY()</f>
        <v>49</v>
      </c>
      <c r="N418">
        <f>_xlfn.ISOWEEKNUM(I418)</f>
        <v>20</v>
      </c>
      <c r="O418" t="str">
        <f>IF(ISNUMBER(SEARCH("Access Point",E418)),"AP",IF(OR(ISNUMBER(SEARCH("Switch",E418)),ISNUMBER(SEARCH("Control Type",E418))),"Switch","Infra"))</f>
        <v>Switch</v>
      </c>
    </row>
    <row r="419" spans="1:15" ht="14.25" customHeight="1">
      <c r="A419">
        <v>415</v>
      </c>
      <c r="B419" s="35" t="s">
        <v>22</v>
      </c>
      <c r="C419" s="36" t="s">
        <v>344</v>
      </c>
      <c r="D419" s="37" t="s">
        <v>362</v>
      </c>
      <c r="E419" s="37" t="s">
        <v>120</v>
      </c>
      <c r="F419" s="37">
        <v>2</v>
      </c>
      <c r="G419" s="37"/>
      <c r="H419" s="87"/>
      <c r="I419" s="87">
        <v>46156</v>
      </c>
      <c r="J419" s="37" t="s">
        <v>4</v>
      </c>
      <c r="K419" s="38">
        <f>F419-G419</f>
        <v>2</v>
      </c>
      <c r="L419" s="39">
        <f>IF(F419=0,"",G419/F419)</f>
        <v>0</v>
      </c>
      <c r="M419" s="40">
        <f ca="1">I419-TODAY()</f>
        <v>49</v>
      </c>
      <c r="N419">
        <f>_xlfn.ISOWEEKNUM(I419)</f>
        <v>20</v>
      </c>
      <c r="O419" t="str">
        <f>IF(ISNUMBER(SEARCH("Access Point",E419)),"AP",IF(OR(ISNUMBER(SEARCH("Switch",E419)),ISNUMBER(SEARCH("Control Type",E419))),"Switch","Infra"))</f>
        <v>Switch</v>
      </c>
    </row>
    <row r="420" spans="1:15" ht="14.25" customHeight="1">
      <c r="A420">
        <v>416</v>
      </c>
      <c r="B420" s="35" t="s">
        <v>22</v>
      </c>
      <c r="C420" s="36" t="s">
        <v>344</v>
      </c>
      <c r="D420" s="37" t="s">
        <v>363</v>
      </c>
      <c r="E420" s="37" t="s">
        <v>79</v>
      </c>
      <c r="F420" s="37">
        <v>3</v>
      </c>
      <c r="G420" s="37"/>
      <c r="H420" s="87"/>
      <c r="I420" s="87">
        <v>46157</v>
      </c>
      <c r="J420" s="37" t="s">
        <v>4</v>
      </c>
      <c r="K420" s="38">
        <f>F420-G420</f>
        <v>3</v>
      </c>
      <c r="L420" s="39">
        <f>IF(F420=0,"",G420/F420)</f>
        <v>0</v>
      </c>
      <c r="M420" s="40">
        <f ca="1">I420-TODAY()</f>
        <v>50</v>
      </c>
      <c r="N420">
        <f>_xlfn.ISOWEEKNUM(I420)</f>
        <v>20</v>
      </c>
      <c r="O420" t="str">
        <f>IF(ISNUMBER(SEARCH("Access Point",E420)),"AP",IF(OR(ISNUMBER(SEARCH("Switch",E420)),ISNUMBER(SEARCH("Control Type",E420))),"Switch","Infra"))</f>
        <v>Switch</v>
      </c>
    </row>
    <row r="421" spans="1:15" ht="14.25" customHeight="1">
      <c r="A421">
        <v>417</v>
      </c>
      <c r="B421" s="35" t="s">
        <v>22</v>
      </c>
      <c r="C421" s="36" t="s">
        <v>344</v>
      </c>
      <c r="D421" s="37" t="s">
        <v>363</v>
      </c>
      <c r="E421" s="37" t="s">
        <v>84</v>
      </c>
      <c r="F421" s="37">
        <v>1</v>
      </c>
      <c r="G421" s="37"/>
      <c r="H421" s="87"/>
      <c r="I421" s="87">
        <v>46157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50</v>
      </c>
      <c r="N421">
        <f>_xlfn.ISOWEEKNUM(I421)</f>
        <v>20</v>
      </c>
      <c r="O421" t="str">
        <f>IF(ISNUMBER(SEARCH("Access Point",E421)),"AP",IF(OR(ISNUMBER(SEARCH("Switch",E421)),ISNUMBER(SEARCH("Control Type",E421))),"Switch","Infra"))</f>
        <v>Switch</v>
      </c>
    </row>
    <row r="422" spans="1:15" ht="14.25" customHeight="1">
      <c r="A422">
        <v>418</v>
      </c>
      <c r="B422" s="35" t="s">
        <v>22</v>
      </c>
      <c r="C422" s="36" t="s">
        <v>344</v>
      </c>
      <c r="D422" s="37" t="s">
        <v>363</v>
      </c>
      <c r="E422" s="37" t="s">
        <v>120</v>
      </c>
      <c r="F422" s="37">
        <v>1</v>
      </c>
      <c r="G422" s="37"/>
      <c r="H422" s="87"/>
      <c r="I422" s="87">
        <v>46157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50</v>
      </c>
      <c r="N422">
        <f>_xlfn.ISOWEEKNUM(I422)</f>
        <v>20</v>
      </c>
      <c r="O422" t="str">
        <f>IF(ISNUMBER(SEARCH("Access Point",E422)),"AP",IF(OR(ISNUMBER(SEARCH("Switch",E422)),ISNUMBER(SEARCH("Control Type",E422))),"Switch","Infra"))</f>
        <v>Switch</v>
      </c>
    </row>
    <row r="423" spans="1:15" ht="14.25" customHeight="1">
      <c r="A423">
        <v>419</v>
      </c>
      <c r="B423" s="35" t="s">
        <v>22</v>
      </c>
      <c r="C423" s="36" t="s">
        <v>344</v>
      </c>
      <c r="D423" s="37" t="s">
        <v>363</v>
      </c>
      <c r="E423" s="37" t="s">
        <v>118</v>
      </c>
      <c r="F423" s="37">
        <v>1</v>
      </c>
      <c r="G423" s="37"/>
      <c r="H423" s="87"/>
      <c r="I423" s="87">
        <v>46157</v>
      </c>
      <c r="J423" s="37" t="s">
        <v>4</v>
      </c>
      <c r="K423" s="38">
        <f>F423-G423</f>
        <v>1</v>
      </c>
      <c r="L423" s="39">
        <f>IF(F423=0,"",G423/F423)</f>
        <v>0</v>
      </c>
      <c r="M423" s="40">
        <f ca="1">I423-TODAY()</f>
        <v>50</v>
      </c>
      <c r="N423">
        <f>_xlfn.ISOWEEKNUM(I423)</f>
        <v>20</v>
      </c>
      <c r="O423" t="str">
        <f>IF(ISNUMBER(SEARCH("Access Point",E423)),"AP",IF(OR(ISNUMBER(SEARCH("Switch",E423)),ISNUMBER(SEARCH("Control Type",E423))),"Switch","Infra"))</f>
        <v>Switch</v>
      </c>
    </row>
    <row r="424" spans="1:15" ht="14.25" customHeight="1">
      <c r="A424">
        <v>420</v>
      </c>
      <c r="B424" s="35" t="s">
        <v>22</v>
      </c>
      <c r="C424" s="36" t="s">
        <v>344</v>
      </c>
      <c r="D424" s="37" t="s">
        <v>364</v>
      </c>
      <c r="E424" s="37" t="s">
        <v>79</v>
      </c>
      <c r="F424" s="37">
        <v>3</v>
      </c>
      <c r="G424" s="37"/>
      <c r="H424" s="87"/>
      <c r="I424" s="87">
        <v>46157</v>
      </c>
      <c r="J424" s="37" t="s">
        <v>4</v>
      </c>
      <c r="K424" s="38">
        <f>F424-G424</f>
        <v>3</v>
      </c>
      <c r="L424" s="39">
        <f>IF(F424=0,"",G424/F424)</f>
        <v>0</v>
      </c>
      <c r="M424" s="40">
        <f ca="1">I424-TODAY()</f>
        <v>50</v>
      </c>
      <c r="N424">
        <f>_xlfn.ISOWEEKNUM(I424)</f>
        <v>20</v>
      </c>
      <c r="O424" t="str">
        <f>IF(ISNUMBER(SEARCH("Access Point",E424)),"AP",IF(OR(ISNUMBER(SEARCH("Switch",E424)),ISNUMBER(SEARCH("Control Type",E424))),"Switch","Infra"))</f>
        <v>Switch</v>
      </c>
    </row>
    <row r="425" spans="1:15" ht="14.25" customHeight="1">
      <c r="A425">
        <v>421</v>
      </c>
      <c r="B425" s="35" t="s">
        <v>22</v>
      </c>
      <c r="C425" s="36" t="s">
        <v>344</v>
      </c>
      <c r="D425" s="37" t="s">
        <v>364</v>
      </c>
      <c r="E425" s="37" t="s">
        <v>84</v>
      </c>
      <c r="F425" s="37">
        <v>2</v>
      </c>
      <c r="G425" s="37"/>
      <c r="H425" s="87"/>
      <c r="I425" s="87">
        <v>46157</v>
      </c>
      <c r="J425" s="37" t="s">
        <v>4</v>
      </c>
      <c r="K425" s="38">
        <f>F425-G425</f>
        <v>2</v>
      </c>
      <c r="L425" s="39">
        <f>IF(F425=0,"",G425/F425)</f>
        <v>0</v>
      </c>
      <c r="M425" s="40">
        <f ca="1">I425-TODAY()</f>
        <v>50</v>
      </c>
      <c r="N425">
        <f>_xlfn.ISOWEEKNUM(I425)</f>
        <v>20</v>
      </c>
      <c r="O425" t="str">
        <f>IF(ISNUMBER(SEARCH("Access Point",E425)),"AP",IF(OR(ISNUMBER(SEARCH("Switch",E425)),ISNUMBER(SEARCH("Control Type",E425))),"Switch","Infra"))</f>
        <v>Switch</v>
      </c>
    </row>
    <row r="426" spans="1:15" ht="14.25" customHeight="1">
      <c r="A426">
        <v>422</v>
      </c>
      <c r="B426" s="35" t="s">
        <v>22</v>
      </c>
      <c r="C426" s="36" t="s">
        <v>344</v>
      </c>
      <c r="D426" s="37" t="s">
        <v>364</v>
      </c>
      <c r="E426" s="37" t="s">
        <v>120</v>
      </c>
      <c r="F426" s="37">
        <v>1</v>
      </c>
      <c r="G426" s="37"/>
      <c r="H426" s="87"/>
      <c r="I426" s="87">
        <v>46157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50</v>
      </c>
      <c r="N426">
        <f>_xlfn.ISOWEEKNUM(I426)</f>
        <v>20</v>
      </c>
      <c r="O426" t="str">
        <f>IF(ISNUMBER(SEARCH("Access Point",E426)),"AP",IF(OR(ISNUMBER(SEARCH("Switch",E426)),ISNUMBER(SEARCH("Control Type",E426))),"Switch","Infra"))</f>
        <v>Switch</v>
      </c>
    </row>
    <row r="427" spans="1:15" ht="14.25" customHeight="1">
      <c r="A427">
        <v>423</v>
      </c>
      <c r="B427" s="35" t="s">
        <v>22</v>
      </c>
      <c r="C427" s="36" t="s">
        <v>344</v>
      </c>
      <c r="D427" s="37" t="s">
        <v>365</v>
      </c>
      <c r="E427" s="37" t="s">
        <v>79</v>
      </c>
      <c r="F427" s="37">
        <v>2</v>
      </c>
      <c r="G427" s="37"/>
      <c r="H427" s="87"/>
      <c r="I427" s="87">
        <v>46160</v>
      </c>
      <c r="J427" s="37" t="s">
        <v>4</v>
      </c>
      <c r="K427" s="38">
        <f>F427-G427</f>
        <v>2</v>
      </c>
      <c r="L427" s="39">
        <f>IF(F427=0,"",G427/F427)</f>
        <v>0</v>
      </c>
      <c r="M427" s="40">
        <f ca="1">I427-TODAY()</f>
        <v>53</v>
      </c>
      <c r="N427">
        <f>_xlfn.ISOWEEKNUM(I427)</f>
        <v>21</v>
      </c>
      <c r="O427" t="str">
        <f>IF(ISNUMBER(SEARCH("Access Point",E427)),"AP",IF(OR(ISNUMBER(SEARCH("Switch",E427)),ISNUMBER(SEARCH("Control Type",E427))),"Switch","Infra"))</f>
        <v>Switch</v>
      </c>
    </row>
    <row r="428" spans="1:15" ht="14.25" customHeight="1">
      <c r="A428">
        <v>424</v>
      </c>
      <c r="B428" s="35" t="s">
        <v>22</v>
      </c>
      <c r="C428" s="36" t="s">
        <v>344</v>
      </c>
      <c r="D428" s="37" t="s">
        <v>365</v>
      </c>
      <c r="E428" s="37" t="s">
        <v>84</v>
      </c>
      <c r="F428" s="37">
        <v>1</v>
      </c>
      <c r="G428" s="37"/>
      <c r="H428" s="87"/>
      <c r="I428" s="87">
        <v>46160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53</v>
      </c>
      <c r="N428">
        <f>_xlfn.ISOWEEKNUM(I428)</f>
        <v>21</v>
      </c>
      <c r="O428" t="str">
        <f>IF(ISNUMBER(SEARCH("Access Point",E428)),"AP",IF(OR(ISNUMBER(SEARCH("Switch",E428)),ISNUMBER(SEARCH("Control Type",E428))),"Switch","Infra"))</f>
        <v>Switch</v>
      </c>
    </row>
    <row r="429" spans="1:15" ht="14.25" customHeight="1">
      <c r="A429">
        <v>425</v>
      </c>
      <c r="B429" s="35" t="s">
        <v>22</v>
      </c>
      <c r="C429" s="36" t="s">
        <v>344</v>
      </c>
      <c r="D429" s="37" t="s">
        <v>365</v>
      </c>
      <c r="E429" s="37" t="s">
        <v>120</v>
      </c>
      <c r="F429" s="37">
        <v>1</v>
      </c>
      <c r="G429" s="37"/>
      <c r="H429" s="87"/>
      <c r="I429" s="87">
        <v>46160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53</v>
      </c>
      <c r="N429">
        <f>_xlfn.ISOWEEKNUM(I429)</f>
        <v>21</v>
      </c>
      <c r="O429" t="str">
        <f>IF(ISNUMBER(SEARCH("Access Point",E429)),"AP",IF(OR(ISNUMBER(SEARCH("Switch",E429)),ISNUMBER(SEARCH("Control Type",E429))),"Switch","Infra"))</f>
        <v>Switch</v>
      </c>
    </row>
    <row r="430" spans="1:15" ht="14.25" customHeight="1">
      <c r="A430">
        <v>426</v>
      </c>
      <c r="B430" s="35" t="s">
        <v>22</v>
      </c>
      <c r="C430" s="36" t="s">
        <v>344</v>
      </c>
      <c r="D430" s="37" t="s">
        <v>366</v>
      </c>
      <c r="E430" s="37" t="s">
        <v>79</v>
      </c>
      <c r="F430" s="37">
        <v>1</v>
      </c>
      <c r="G430" s="37"/>
      <c r="H430" s="87"/>
      <c r="I430" s="87">
        <v>46160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53</v>
      </c>
      <c r="N430">
        <f>_xlfn.ISOWEEKNUM(I430)</f>
        <v>21</v>
      </c>
      <c r="O430" t="str">
        <f>IF(ISNUMBER(SEARCH("Access Point",E430)),"AP",IF(OR(ISNUMBER(SEARCH("Switch",E430)),ISNUMBER(SEARCH("Control Type",E430))),"Switch","Infra"))</f>
        <v>Switch</v>
      </c>
    </row>
    <row r="431" spans="1:15" ht="14.25" customHeight="1">
      <c r="A431">
        <v>427</v>
      </c>
      <c r="B431" s="35" t="s">
        <v>22</v>
      </c>
      <c r="C431" s="36" t="s">
        <v>344</v>
      </c>
      <c r="D431" s="37" t="s">
        <v>366</v>
      </c>
      <c r="E431" s="37" t="s">
        <v>84</v>
      </c>
      <c r="F431" s="37">
        <v>1</v>
      </c>
      <c r="G431" s="37"/>
      <c r="H431" s="87"/>
      <c r="I431" s="87">
        <v>46160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53</v>
      </c>
      <c r="N431">
        <f>_xlfn.ISOWEEKNUM(I431)</f>
        <v>21</v>
      </c>
      <c r="O431" t="str">
        <f>IF(ISNUMBER(SEARCH("Access Point",E431)),"AP",IF(OR(ISNUMBER(SEARCH("Switch",E431)),ISNUMBER(SEARCH("Control Type",E431))),"Switch","Infra"))</f>
        <v>Switch</v>
      </c>
    </row>
    <row r="432" spans="1:15" ht="14.25" customHeight="1">
      <c r="A432">
        <v>428</v>
      </c>
      <c r="B432" s="35" t="s">
        <v>22</v>
      </c>
      <c r="C432" s="36" t="s">
        <v>344</v>
      </c>
      <c r="D432" s="37" t="s">
        <v>366</v>
      </c>
      <c r="E432" s="37" t="s">
        <v>118</v>
      </c>
      <c r="F432" s="37">
        <v>1</v>
      </c>
      <c r="G432" s="37"/>
      <c r="H432" s="87"/>
      <c r="I432" s="87">
        <v>46160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53</v>
      </c>
      <c r="N432">
        <f>_xlfn.ISOWEEKNUM(I432)</f>
        <v>21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429</v>
      </c>
      <c r="B433" s="35" t="s">
        <v>22</v>
      </c>
      <c r="C433" s="36" t="s">
        <v>344</v>
      </c>
      <c r="D433" s="37" t="s">
        <v>367</v>
      </c>
      <c r="E433" s="37" t="s">
        <v>79</v>
      </c>
      <c r="F433" s="37">
        <v>1</v>
      </c>
      <c r="G433" s="37"/>
      <c r="H433" s="87"/>
      <c r="I433" s="87">
        <v>46160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53</v>
      </c>
      <c r="N433">
        <f>_xlfn.ISOWEEKNUM(I433)</f>
        <v>21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430</v>
      </c>
      <c r="B434" s="35" t="s">
        <v>22</v>
      </c>
      <c r="C434" s="36" t="s">
        <v>344</v>
      </c>
      <c r="D434" s="37" t="s">
        <v>367</v>
      </c>
      <c r="E434" s="37" t="s">
        <v>84</v>
      </c>
      <c r="F434" s="37">
        <v>1</v>
      </c>
      <c r="G434" s="37"/>
      <c r="H434" s="87"/>
      <c r="I434" s="87">
        <v>46160</v>
      </c>
      <c r="J434" s="37" t="s">
        <v>4</v>
      </c>
      <c r="K434" s="38">
        <f>F434-G434</f>
        <v>1</v>
      </c>
      <c r="L434" s="39">
        <f>IF(F434=0,"",G434/F434)</f>
        <v>0</v>
      </c>
      <c r="M434" s="40">
        <f ca="1">I434-TODAY()</f>
        <v>53</v>
      </c>
      <c r="N434">
        <f>_xlfn.ISOWEEKNUM(I434)</f>
        <v>21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431</v>
      </c>
      <c r="B435" s="35" t="s">
        <v>22</v>
      </c>
      <c r="C435" s="36" t="s">
        <v>344</v>
      </c>
      <c r="D435" s="37" t="s">
        <v>368</v>
      </c>
      <c r="E435" s="37" t="s">
        <v>79</v>
      </c>
      <c r="F435" s="37">
        <v>1</v>
      </c>
      <c r="G435" s="37"/>
      <c r="H435" s="87"/>
      <c r="I435" s="87">
        <v>46161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54</v>
      </c>
      <c r="N435">
        <f>_xlfn.ISOWEEKNUM(I435)</f>
        <v>21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432</v>
      </c>
      <c r="B436" s="35" t="s">
        <v>22</v>
      </c>
      <c r="C436" s="36" t="s">
        <v>344</v>
      </c>
      <c r="D436" s="37" t="s">
        <v>368</v>
      </c>
      <c r="E436" s="37" t="s">
        <v>84</v>
      </c>
      <c r="F436" s="37">
        <v>1</v>
      </c>
      <c r="G436" s="37"/>
      <c r="H436" s="87"/>
      <c r="I436" s="87">
        <v>46161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54</v>
      </c>
      <c r="N436">
        <f>_xlfn.ISOWEEKNUM(I436)</f>
        <v>21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433</v>
      </c>
      <c r="B437" s="35" t="s">
        <v>22</v>
      </c>
      <c r="C437" s="36" t="s">
        <v>344</v>
      </c>
      <c r="D437" s="37" t="s">
        <v>369</v>
      </c>
      <c r="E437" s="37" t="s">
        <v>79</v>
      </c>
      <c r="F437" s="37">
        <v>1</v>
      </c>
      <c r="G437" s="37"/>
      <c r="H437" s="87"/>
      <c r="I437" s="87">
        <v>46161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54</v>
      </c>
      <c r="N437">
        <f>_xlfn.ISOWEEKNUM(I437)</f>
        <v>21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434</v>
      </c>
      <c r="B438" s="35" t="s">
        <v>22</v>
      </c>
      <c r="C438" s="36" t="s">
        <v>344</v>
      </c>
      <c r="D438" s="37" t="s">
        <v>369</v>
      </c>
      <c r="E438" s="37" t="s">
        <v>84</v>
      </c>
      <c r="F438" s="37">
        <v>1</v>
      </c>
      <c r="G438" s="37"/>
      <c r="H438" s="87"/>
      <c r="I438" s="87">
        <v>46161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54</v>
      </c>
      <c r="N438">
        <f>_xlfn.ISOWEEKNUM(I438)</f>
        <v>21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435</v>
      </c>
      <c r="B439" s="35" t="s">
        <v>22</v>
      </c>
      <c r="C439" s="36" t="s">
        <v>344</v>
      </c>
      <c r="D439" s="37" t="s">
        <v>370</v>
      </c>
      <c r="E439" s="37" t="s">
        <v>79</v>
      </c>
      <c r="F439" s="37">
        <v>1</v>
      </c>
      <c r="G439" s="37"/>
      <c r="H439" s="87"/>
      <c r="I439" s="87">
        <v>46161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54</v>
      </c>
      <c r="N439">
        <f>_xlfn.ISOWEEKNUM(I439)</f>
        <v>21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436</v>
      </c>
      <c r="B440" s="35" t="s">
        <v>22</v>
      </c>
      <c r="C440" s="36" t="s">
        <v>344</v>
      </c>
      <c r="D440" s="37" t="s">
        <v>370</v>
      </c>
      <c r="E440" s="37" t="s">
        <v>84</v>
      </c>
      <c r="F440" s="37">
        <v>1</v>
      </c>
      <c r="G440" s="37"/>
      <c r="H440" s="87"/>
      <c r="I440" s="87">
        <v>46161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54</v>
      </c>
      <c r="N440">
        <f>_xlfn.ISOWEEKNUM(I440)</f>
        <v>21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437</v>
      </c>
      <c r="B441" s="35" t="s">
        <v>22</v>
      </c>
      <c r="C441" s="36" t="s">
        <v>344</v>
      </c>
      <c r="D441" s="37" t="s">
        <v>371</v>
      </c>
      <c r="E441" s="37" t="s">
        <v>79</v>
      </c>
      <c r="F441" s="37">
        <v>1</v>
      </c>
      <c r="G441" s="37"/>
      <c r="H441" s="87"/>
      <c r="I441" s="87">
        <v>46161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54</v>
      </c>
      <c r="N441">
        <f>_xlfn.ISOWEEKNUM(I441)</f>
        <v>21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438</v>
      </c>
      <c r="B442" s="35" t="s">
        <v>22</v>
      </c>
      <c r="C442" s="36" t="s">
        <v>344</v>
      </c>
      <c r="D442" s="37" t="s">
        <v>371</v>
      </c>
      <c r="E442" s="37" t="s">
        <v>84</v>
      </c>
      <c r="F442" s="37">
        <v>1</v>
      </c>
      <c r="G442" s="37"/>
      <c r="H442" s="87"/>
      <c r="I442" s="87">
        <v>46161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54</v>
      </c>
      <c r="N442">
        <f>_xlfn.ISOWEEKNUM(I442)</f>
        <v>21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439</v>
      </c>
      <c r="B443" s="35" t="s">
        <v>22</v>
      </c>
      <c r="C443" s="36" t="s">
        <v>344</v>
      </c>
      <c r="D443" s="37" t="s">
        <v>372</v>
      </c>
      <c r="E443" s="37" t="s">
        <v>79</v>
      </c>
      <c r="F443" s="37">
        <v>1</v>
      </c>
      <c r="G443" s="37"/>
      <c r="H443" s="87"/>
      <c r="I443" s="87">
        <v>46161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54</v>
      </c>
      <c r="N443">
        <f>_xlfn.ISOWEEKNUM(I443)</f>
        <v>21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440</v>
      </c>
      <c r="B444" s="35" t="s">
        <v>22</v>
      </c>
      <c r="C444" s="36" t="s">
        <v>344</v>
      </c>
      <c r="D444" s="37" t="s">
        <v>372</v>
      </c>
      <c r="E444" s="37" t="s">
        <v>84</v>
      </c>
      <c r="F444" s="37">
        <v>1</v>
      </c>
      <c r="G444" s="37"/>
      <c r="H444" s="87"/>
      <c r="I444" s="87">
        <v>46161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54</v>
      </c>
      <c r="N444">
        <f>_xlfn.ISOWEEKNUM(I444)</f>
        <v>21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441</v>
      </c>
      <c r="B445" s="35" t="s">
        <v>22</v>
      </c>
      <c r="C445" s="36" t="s">
        <v>344</v>
      </c>
      <c r="D445" s="37" t="s">
        <v>373</v>
      </c>
      <c r="E445" s="37" t="s">
        <v>79</v>
      </c>
      <c r="F445" s="37">
        <v>1</v>
      </c>
      <c r="G445" s="37"/>
      <c r="H445" s="87"/>
      <c r="I445" s="87">
        <v>46161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54</v>
      </c>
      <c r="N445">
        <f>_xlfn.ISOWEEKNUM(I445)</f>
        <v>21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442</v>
      </c>
      <c r="B446" s="35" t="s">
        <v>22</v>
      </c>
      <c r="C446" s="36" t="s">
        <v>344</v>
      </c>
      <c r="D446" s="37" t="s">
        <v>373</v>
      </c>
      <c r="E446" s="37" t="s">
        <v>84</v>
      </c>
      <c r="F446" s="37">
        <v>2</v>
      </c>
      <c r="G446" s="37"/>
      <c r="H446" s="87"/>
      <c r="I446" s="87">
        <v>46161</v>
      </c>
      <c r="J446" s="37" t="s">
        <v>4</v>
      </c>
      <c r="K446" s="38">
        <f>F446-G446</f>
        <v>2</v>
      </c>
      <c r="L446" s="39">
        <f>IF(F446=0,"",G446/F446)</f>
        <v>0</v>
      </c>
      <c r="M446" s="40">
        <f ca="1">I446-TODAY()</f>
        <v>54</v>
      </c>
      <c r="N446">
        <f>_xlfn.ISOWEEKNUM(I446)</f>
        <v>21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443</v>
      </c>
      <c r="B447" s="35" t="s">
        <v>22</v>
      </c>
      <c r="C447" s="36" t="s">
        <v>344</v>
      </c>
      <c r="D447" s="37" t="s">
        <v>374</v>
      </c>
      <c r="E447" s="37" t="s">
        <v>79</v>
      </c>
      <c r="F447" s="37">
        <v>1</v>
      </c>
      <c r="G447" s="37"/>
      <c r="H447" s="87"/>
      <c r="I447" s="87">
        <v>46162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55</v>
      </c>
      <c r="N447">
        <f>_xlfn.ISOWEEKNUM(I447)</f>
        <v>21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444</v>
      </c>
      <c r="B448" s="35" t="s">
        <v>22</v>
      </c>
      <c r="C448" s="36" t="s">
        <v>344</v>
      </c>
      <c r="D448" s="37" t="s">
        <v>374</v>
      </c>
      <c r="E448" s="37" t="s">
        <v>84</v>
      </c>
      <c r="F448" s="37">
        <v>1</v>
      </c>
      <c r="G448" s="37"/>
      <c r="H448" s="87"/>
      <c r="I448" s="87">
        <v>46162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55</v>
      </c>
      <c r="N448">
        <f>_xlfn.ISOWEEKNUM(I448)</f>
        <v>21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445</v>
      </c>
      <c r="B449" s="35" t="s">
        <v>22</v>
      </c>
      <c r="C449" s="36" t="s">
        <v>344</v>
      </c>
      <c r="D449" s="37" t="s">
        <v>375</v>
      </c>
      <c r="E449" s="37" t="s">
        <v>79</v>
      </c>
      <c r="F449" s="37">
        <v>1</v>
      </c>
      <c r="G449" s="37"/>
      <c r="H449" s="87"/>
      <c r="I449" s="87">
        <v>46162</v>
      </c>
      <c r="J449" s="37" t="s">
        <v>4</v>
      </c>
      <c r="K449" s="38">
        <f>F449-G449</f>
        <v>1</v>
      </c>
      <c r="L449" s="39">
        <f>IF(F449=0,"",G449/F449)</f>
        <v>0</v>
      </c>
      <c r="M449" s="40">
        <f ca="1">I449-TODAY()</f>
        <v>55</v>
      </c>
      <c r="N449">
        <f>_xlfn.ISOWEEKNUM(I449)</f>
        <v>21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446</v>
      </c>
      <c r="B450" s="35" t="s">
        <v>22</v>
      </c>
      <c r="C450" s="36" t="s">
        <v>344</v>
      </c>
      <c r="D450" s="37" t="s">
        <v>375</v>
      </c>
      <c r="E450" s="37" t="s">
        <v>84</v>
      </c>
      <c r="F450" s="37">
        <v>1</v>
      </c>
      <c r="G450" s="37"/>
      <c r="H450" s="87"/>
      <c r="I450" s="87">
        <v>46162</v>
      </c>
      <c r="J450" s="37" t="s">
        <v>4</v>
      </c>
      <c r="K450" s="38">
        <f>F450-G450</f>
        <v>1</v>
      </c>
      <c r="L450" s="39">
        <f>IF(F450=0,"",G450/F450)</f>
        <v>0</v>
      </c>
      <c r="M450" s="40">
        <f ca="1">I450-TODAY()</f>
        <v>55</v>
      </c>
      <c r="N450">
        <f>_xlfn.ISOWEEKNUM(I450)</f>
        <v>21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447</v>
      </c>
      <c r="B451" s="35" t="s">
        <v>22</v>
      </c>
      <c r="C451" s="36" t="s">
        <v>344</v>
      </c>
      <c r="D451" s="37" t="s">
        <v>376</v>
      </c>
      <c r="E451" s="37" t="s">
        <v>79</v>
      </c>
      <c r="F451" s="37">
        <v>1</v>
      </c>
      <c r="G451" s="37"/>
      <c r="H451" s="87"/>
      <c r="I451" s="87">
        <v>46162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55</v>
      </c>
      <c r="N451">
        <f>_xlfn.ISOWEEKNUM(I451)</f>
        <v>21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448</v>
      </c>
      <c r="B452" s="35" t="s">
        <v>22</v>
      </c>
      <c r="C452" s="36" t="s">
        <v>344</v>
      </c>
      <c r="D452" s="37" t="s">
        <v>376</v>
      </c>
      <c r="E452" s="37" t="s">
        <v>84</v>
      </c>
      <c r="F452" s="37">
        <v>1</v>
      </c>
      <c r="G452" s="37"/>
      <c r="H452" s="87"/>
      <c r="I452" s="87">
        <v>46162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55</v>
      </c>
      <c r="N452">
        <f>_xlfn.ISOWEEKNUM(I452)</f>
        <v>21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449</v>
      </c>
      <c r="B453" s="35" t="s">
        <v>22</v>
      </c>
      <c r="C453" s="36" t="s">
        <v>344</v>
      </c>
      <c r="D453" s="37" t="s">
        <v>377</v>
      </c>
      <c r="E453" s="37" t="s">
        <v>79</v>
      </c>
      <c r="F453" s="37">
        <v>1</v>
      </c>
      <c r="G453" s="37"/>
      <c r="H453" s="87"/>
      <c r="I453" s="87">
        <v>46162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55</v>
      </c>
      <c r="N453">
        <f>_xlfn.ISOWEEKNUM(I453)</f>
        <v>21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450</v>
      </c>
      <c r="B454" s="35" t="s">
        <v>22</v>
      </c>
      <c r="C454" s="36" t="s">
        <v>344</v>
      </c>
      <c r="D454" s="37" t="s">
        <v>377</v>
      </c>
      <c r="E454" s="37" t="s">
        <v>84</v>
      </c>
      <c r="F454" s="37">
        <v>1</v>
      </c>
      <c r="G454" s="37"/>
      <c r="H454" s="87"/>
      <c r="I454" s="87">
        <v>46162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55</v>
      </c>
      <c r="N454">
        <f>_xlfn.ISOWEEKNUM(I454)</f>
        <v>21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451</v>
      </c>
      <c r="B455" s="35" t="s">
        <v>22</v>
      </c>
      <c r="C455" s="36" t="s">
        <v>344</v>
      </c>
      <c r="D455" s="37" t="s">
        <v>378</v>
      </c>
      <c r="E455" s="37" t="s">
        <v>79</v>
      </c>
      <c r="F455" s="37">
        <v>1</v>
      </c>
      <c r="G455" s="37"/>
      <c r="H455" s="87"/>
      <c r="I455" s="87">
        <v>46162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55</v>
      </c>
      <c r="N455">
        <f>_xlfn.ISOWEEKNUM(I455)</f>
        <v>21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452</v>
      </c>
      <c r="B456" s="35" t="s">
        <v>22</v>
      </c>
      <c r="C456" s="36" t="s">
        <v>344</v>
      </c>
      <c r="D456" s="37" t="s">
        <v>378</v>
      </c>
      <c r="E456" s="37" t="s">
        <v>84</v>
      </c>
      <c r="F456" s="37">
        <v>1</v>
      </c>
      <c r="G456" s="37"/>
      <c r="H456" s="87"/>
      <c r="I456" s="87">
        <v>46162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55</v>
      </c>
      <c r="N456">
        <f>_xlfn.ISOWEEKNUM(I456)</f>
        <v>21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453</v>
      </c>
      <c r="B457" s="35" t="s">
        <v>22</v>
      </c>
      <c r="C457" s="36" t="s">
        <v>344</v>
      </c>
      <c r="D457" s="37" t="s">
        <v>379</v>
      </c>
      <c r="E457" s="37" t="s">
        <v>79</v>
      </c>
      <c r="F457" s="37">
        <v>1</v>
      </c>
      <c r="G457" s="37"/>
      <c r="H457" s="87"/>
      <c r="I457" s="87">
        <v>46162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55</v>
      </c>
      <c r="N457">
        <f>_xlfn.ISOWEEKNUM(I457)</f>
        <v>21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454</v>
      </c>
      <c r="B458" s="35" t="s">
        <v>22</v>
      </c>
      <c r="C458" s="36" t="s">
        <v>344</v>
      </c>
      <c r="D458" s="37" t="s">
        <v>379</v>
      </c>
      <c r="E458" s="37" t="s">
        <v>84</v>
      </c>
      <c r="F458" s="37">
        <v>1</v>
      </c>
      <c r="G458" s="37"/>
      <c r="H458" s="87"/>
      <c r="I458" s="87">
        <v>46162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55</v>
      </c>
      <c r="N458">
        <f>_xlfn.ISOWEEKNUM(I458)</f>
        <v>21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455</v>
      </c>
      <c r="B459" s="35" t="s">
        <v>22</v>
      </c>
      <c r="C459" s="36" t="s">
        <v>344</v>
      </c>
      <c r="D459" s="37" t="s">
        <v>380</v>
      </c>
      <c r="E459" s="37" t="s">
        <v>79</v>
      </c>
      <c r="F459" s="37">
        <v>1</v>
      </c>
      <c r="G459" s="37"/>
      <c r="H459" s="87"/>
      <c r="I459" s="87">
        <v>46163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56</v>
      </c>
      <c r="N459">
        <f>_xlfn.ISOWEEKNUM(I459)</f>
        <v>21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456</v>
      </c>
      <c r="B460" s="35" t="s">
        <v>22</v>
      </c>
      <c r="C460" s="36" t="s">
        <v>344</v>
      </c>
      <c r="D460" s="37" t="s">
        <v>380</v>
      </c>
      <c r="E460" s="37" t="s">
        <v>84</v>
      </c>
      <c r="F460" s="37">
        <v>1</v>
      </c>
      <c r="G460" s="37"/>
      <c r="H460" s="87"/>
      <c r="I460" s="87">
        <v>46163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56</v>
      </c>
      <c r="N460">
        <f>_xlfn.ISOWEEKNUM(I460)</f>
        <v>21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457</v>
      </c>
      <c r="B461" s="35" t="s">
        <v>22</v>
      </c>
      <c r="C461" s="36" t="s">
        <v>344</v>
      </c>
      <c r="D461" s="37" t="s">
        <v>381</v>
      </c>
      <c r="E461" s="37" t="s">
        <v>79</v>
      </c>
      <c r="F461" s="37">
        <v>1</v>
      </c>
      <c r="G461" s="37"/>
      <c r="H461" s="87"/>
      <c r="I461" s="87">
        <v>46163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56</v>
      </c>
      <c r="N461">
        <f>_xlfn.ISOWEEKNUM(I461)</f>
        <v>21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458</v>
      </c>
      <c r="B462" s="35" t="s">
        <v>22</v>
      </c>
      <c r="C462" s="36" t="s">
        <v>344</v>
      </c>
      <c r="D462" s="37" t="s">
        <v>381</v>
      </c>
      <c r="E462" s="37" t="s">
        <v>84</v>
      </c>
      <c r="F462" s="37">
        <v>1</v>
      </c>
      <c r="G462" s="37"/>
      <c r="H462" s="87"/>
      <c r="I462" s="87">
        <v>46163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56</v>
      </c>
      <c r="N462">
        <f>_xlfn.ISOWEEKNUM(I462)</f>
        <v>21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459</v>
      </c>
      <c r="B463" s="35" t="s">
        <v>22</v>
      </c>
      <c r="C463" s="36" t="s">
        <v>344</v>
      </c>
      <c r="D463" s="37" t="s">
        <v>382</v>
      </c>
      <c r="E463" s="37" t="s">
        <v>79</v>
      </c>
      <c r="F463" s="37">
        <v>1</v>
      </c>
      <c r="G463" s="37"/>
      <c r="H463" s="87"/>
      <c r="I463" s="87">
        <v>46163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56</v>
      </c>
      <c r="N463">
        <f>_xlfn.ISOWEEKNUM(I463)</f>
        <v>21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460</v>
      </c>
      <c r="B464" s="35" t="s">
        <v>22</v>
      </c>
      <c r="C464" s="36" t="s">
        <v>344</v>
      </c>
      <c r="D464" s="37" t="s">
        <v>383</v>
      </c>
      <c r="E464" s="37" t="s">
        <v>79</v>
      </c>
      <c r="F464" s="37">
        <v>2</v>
      </c>
      <c r="G464" s="37"/>
      <c r="H464" s="87"/>
      <c r="I464" s="87">
        <v>46163</v>
      </c>
      <c r="J464" s="37" t="s">
        <v>4</v>
      </c>
      <c r="K464" s="38">
        <f>F464-G464</f>
        <v>2</v>
      </c>
      <c r="L464" s="39">
        <f>IF(F464=0,"",G464/F464)</f>
        <v>0</v>
      </c>
      <c r="M464" s="40">
        <f ca="1">I464-TODAY()</f>
        <v>56</v>
      </c>
      <c r="N464">
        <f>_xlfn.ISOWEEKNUM(I464)</f>
        <v>21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461</v>
      </c>
      <c r="B465" s="35" t="s">
        <v>22</v>
      </c>
      <c r="C465" s="36" t="s">
        <v>344</v>
      </c>
      <c r="D465" s="37" t="s">
        <v>383</v>
      </c>
      <c r="E465" s="37" t="s">
        <v>84</v>
      </c>
      <c r="F465" s="37">
        <v>1</v>
      </c>
      <c r="G465" s="37"/>
      <c r="H465" s="87"/>
      <c r="I465" s="87">
        <v>46163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56</v>
      </c>
      <c r="N465">
        <f>_xlfn.ISOWEEKNUM(I465)</f>
        <v>21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462</v>
      </c>
      <c r="B466" s="35" t="s">
        <v>22</v>
      </c>
      <c r="C466" s="36" t="s">
        <v>344</v>
      </c>
      <c r="D466" s="37" t="s">
        <v>384</v>
      </c>
      <c r="E466" s="37" t="s">
        <v>79</v>
      </c>
      <c r="F466" s="37">
        <v>2</v>
      </c>
      <c r="G466" s="37"/>
      <c r="H466" s="87"/>
      <c r="I466" s="87">
        <v>46163</v>
      </c>
      <c r="J466" s="37" t="s">
        <v>4</v>
      </c>
      <c r="K466" s="38">
        <f>F466-G466</f>
        <v>2</v>
      </c>
      <c r="L466" s="39">
        <f>IF(F466=0,"",G466/F466)</f>
        <v>0</v>
      </c>
      <c r="M466" s="40">
        <f ca="1">I466-TODAY()</f>
        <v>56</v>
      </c>
      <c r="N466">
        <f>_xlfn.ISOWEEKNUM(I466)</f>
        <v>21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463</v>
      </c>
      <c r="B467" s="35" t="s">
        <v>22</v>
      </c>
      <c r="C467" s="36" t="s">
        <v>344</v>
      </c>
      <c r="D467" s="37" t="s">
        <v>384</v>
      </c>
      <c r="E467" s="37" t="s">
        <v>84</v>
      </c>
      <c r="F467" s="37">
        <v>1</v>
      </c>
      <c r="G467" s="37"/>
      <c r="H467" s="87"/>
      <c r="I467" s="87">
        <v>46163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56</v>
      </c>
      <c r="N467">
        <f>_xlfn.ISOWEEKNUM(I467)</f>
        <v>21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464</v>
      </c>
      <c r="B468" s="35" t="s">
        <v>22</v>
      </c>
      <c r="C468" s="36" t="s">
        <v>344</v>
      </c>
      <c r="D468" s="37" t="s">
        <v>385</v>
      </c>
      <c r="E468" s="37" t="s">
        <v>79</v>
      </c>
      <c r="F468" s="37">
        <v>2</v>
      </c>
      <c r="G468" s="37"/>
      <c r="H468" s="87"/>
      <c r="I468" s="87">
        <v>46164</v>
      </c>
      <c r="J468" s="37" t="s">
        <v>4</v>
      </c>
      <c r="K468" s="38">
        <f>F468-G468</f>
        <v>2</v>
      </c>
      <c r="L468" s="39">
        <f>IF(F468=0,"",G468/F468)</f>
        <v>0</v>
      </c>
      <c r="M468" s="40">
        <f ca="1">I468-TODAY()</f>
        <v>57</v>
      </c>
      <c r="N468">
        <f>_xlfn.ISOWEEKNUM(I468)</f>
        <v>21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465</v>
      </c>
      <c r="B469" s="35" t="s">
        <v>22</v>
      </c>
      <c r="C469" s="36" t="s">
        <v>344</v>
      </c>
      <c r="D469" s="37" t="s">
        <v>385</v>
      </c>
      <c r="E469" s="37" t="s">
        <v>84</v>
      </c>
      <c r="F469" s="37">
        <v>1</v>
      </c>
      <c r="G469" s="37"/>
      <c r="H469" s="87"/>
      <c r="I469" s="87">
        <v>46164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57</v>
      </c>
      <c r="N469">
        <f>_xlfn.ISOWEEKNUM(I469)</f>
        <v>21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466</v>
      </c>
      <c r="B470" s="35" t="s">
        <v>22</v>
      </c>
      <c r="C470" s="36" t="s">
        <v>344</v>
      </c>
      <c r="D470" s="37" t="s">
        <v>386</v>
      </c>
      <c r="E470" s="37" t="s">
        <v>79</v>
      </c>
      <c r="F470" s="37">
        <v>2</v>
      </c>
      <c r="G470" s="37"/>
      <c r="H470" s="87"/>
      <c r="I470" s="87">
        <v>46164</v>
      </c>
      <c r="J470" s="37" t="s">
        <v>4</v>
      </c>
      <c r="K470" s="38">
        <f>F470-G470</f>
        <v>2</v>
      </c>
      <c r="L470" s="39">
        <f>IF(F470=0,"",G470/F470)</f>
        <v>0</v>
      </c>
      <c r="M470" s="40">
        <f ca="1">I470-TODAY()</f>
        <v>57</v>
      </c>
      <c r="N470">
        <f>_xlfn.ISOWEEKNUM(I470)</f>
        <v>21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467</v>
      </c>
      <c r="B471" s="35" t="s">
        <v>22</v>
      </c>
      <c r="C471" s="36" t="s">
        <v>344</v>
      </c>
      <c r="D471" s="37" t="s">
        <v>386</v>
      </c>
      <c r="E471" s="37" t="s">
        <v>84</v>
      </c>
      <c r="F471" s="37">
        <v>1</v>
      </c>
      <c r="G471" s="37"/>
      <c r="H471" s="87"/>
      <c r="I471" s="87">
        <v>46164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57</v>
      </c>
      <c r="N471">
        <f>_xlfn.ISOWEEKNUM(I471)</f>
        <v>21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468</v>
      </c>
      <c r="B472" s="35" t="s">
        <v>22</v>
      </c>
      <c r="C472" s="36" t="s">
        <v>344</v>
      </c>
      <c r="D472" s="37" t="s">
        <v>387</v>
      </c>
      <c r="E472" s="37" t="s">
        <v>79</v>
      </c>
      <c r="F472" s="37">
        <v>2</v>
      </c>
      <c r="G472" s="37"/>
      <c r="H472" s="87"/>
      <c r="I472" s="87">
        <v>46164</v>
      </c>
      <c r="J472" s="37" t="s">
        <v>4</v>
      </c>
      <c r="K472" s="38">
        <f>F472-G472</f>
        <v>2</v>
      </c>
      <c r="L472" s="39">
        <f>IF(F472=0,"",G472/F472)</f>
        <v>0</v>
      </c>
      <c r="M472" s="40">
        <f ca="1">I472-TODAY()</f>
        <v>57</v>
      </c>
      <c r="N472">
        <f>_xlfn.ISOWEEKNUM(I472)</f>
        <v>21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469</v>
      </c>
      <c r="B473" s="35" t="s">
        <v>22</v>
      </c>
      <c r="C473" s="36" t="s">
        <v>344</v>
      </c>
      <c r="D473" s="37" t="s">
        <v>387</v>
      </c>
      <c r="E473" s="37" t="s">
        <v>84</v>
      </c>
      <c r="F473" s="37">
        <v>1</v>
      </c>
      <c r="G473" s="37"/>
      <c r="H473" s="87"/>
      <c r="I473" s="87">
        <v>46164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57</v>
      </c>
      <c r="N473">
        <f>_xlfn.ISOWEEKNUM(I473)</f>
        <v>21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470</v>
      </c>
      <c r="B474" s="35" t="s">
        <v>22</v>
      </c>
      <c r="C474" s="36" t="s">
        <v>344</v>
      </c>
      <c r="D474" s="37" t="s">
        <v>388</v>
      </c>
      <c r="E474" s="37" t="s">
        <v>79</v>
      </c>
      <c r="F474" s="37">
        <v>1</v>
      </c>
      <c r="G474" s="37"/>
      <c r="H474" s="87"/>
      <c r="I474" s="87">
        <v>46164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57</v>
      </c>
      <c r="N474">
        <f>_xlfn.ISOWEEKNUM(I474)</f>
        <v>21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471</v>
      </c>
      <c r="B475" s="35" t="s">
        <v>22</v>
      </c>
      <c r="C475" s="36" t="s">
        <v>344</v>
      </c>
      <c r="D475" s="37" t="s">
        <v>388</v>
      </c>
      <c r="E475" s="37" t="s">
        <v>84</v>
      </c>
      <c r="F475" s="37">
        <v>1</v>
      </c>
      <c r="G475" s="37"/>
      <c r="H475" s="87"/>
      <c r="I475" s="87">
        <v>46164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57</v>
      </c>
      <c r="N475">
        <f>_xlfn.ISOWEEKNUM(I475)</f>
        <v>21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472</v>
      </c>
      <c r="B476" s="35" t="s">
        <v>22</v>
      </c>
      <c r="C476" s="36" t="s">
        <v>344</v>
      </c>
      <c r="D476" s="37" t="s">
        <v>388</v>
      </c>
      <c r="E476" s="37" t="s">
        <v>120</v>
      </c>
      <c r="F476" s="37">
        <v>1</v>
      </c>
      <c r="G476" s="37"/>
      <c r="H476" s="87"/>
      <c r="I476" s="87">
        <v>46164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57</v>
      </c>
      <c r="N476">
        <f>_xlfn.ISOWEEKNUM(I476)</f>
        <v>21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473</v>
      </c>
      <c r="B477" s="35" t="s">
        <v>22</v>
      </c>
      <c r="C477" s="36" t="s">
        <v>344</v>
      </c>
      <c r="D477" s="37" t="s">
        <v>388</v>
      </c>
      <c r="E477" s="37" t="s">
        <v>118</v>
      </c>
      <c r="F477" s="37">
        <v>1</v>
      </c>
      <c r="G477" s="37"/>
      <c r="H477" s="87"/>
      <c r="I477" s="87">
        <v>46164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57</v>
      </c>
      <c r="N477">
        <f>_xlfn.ISOWEEKNUM(I477)</f>
        <v>21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474</v>
      </c>
      <c r="B478" s="35" t="s">
        <v>22</v>
      </c>
      <c r="C478" s="36" t="s">
        <v>344</v>
      </c>
      <c r="D478" s="37" t="s">
        <v>389</v>
      </c>
      <c r="E478" s="37" t="s">
        <v>79</v>
      </c>
      <c r="F478" s="37">
        <v>1</v>
      </c>
      <c r="G478" s="37"/>
      <c r="H478" s="87"/>
      <c r="I478" s="87">
        <v>46167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60</v>
      </c>
      <c r="N478">
        <f>_xlfn.ISOWEEKNUM(I478)</f>
        <v>22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475</v>
      </c>
      <c r="B479" s="35" t="s">
        <v>22</v>
      </c>
      <c r="C479" s="36" t="s">
        <v>344</v>
      </c>
      <c r="D479" s="37" t="s">
        <v>389</v>
      </c>
      <c r="E479" s="37" t="s">
        <v>84</v>
      </c>
      <c r="F479" s="37">
        <v>1</v>
      </c>
      <c r="G479" s="37"/>
      <c r="H479" s="87"/>
      <c r="I479" s="87">
        <v>46167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60</v>
      </c>
      <c r="N479">
        <f>_xlfn.ISOWEEKNUM(I479)</f>
        <v>22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476</v>
      </c>
      <c r="B480" s="35" t="s">
        <v>22</v>
      </c>
      <c r="C480" s="36" t="s">
        <v>344</v>
      </c>
      <c r="D480" s="37" t="s">
        <v>390</v>
      </c>
      <c r="E480" s="37" t="s">
        <v>79</v>
      </c>
      <c r="F480" s="37">
        <v>2</v>
      </c>
      <c r="G480" s="37"/>
      <c r="H480" s="87"/>
      <c r="I480" s="87">
        <v>46167</v>
      </c>
      <c r="J480" s="37" t="s">
        <v>4</v>
      </c>
      <c r="K480" s="38">
        <f>F480-G480</f>
        <v>2</v>
      </c>
      <c r="L480" s="39">
        <f>IF(F480=0,"",G480/F480)</f>
        <v>0</v>
      </c>
      <c r="M480" s="40">
        <f ca="1">I480-TODAY()</f>
        <v>60</v>
      </c>
      <c r="N480">
        <f>_xlfn.ISOWEEKNUM(I480)</f>
        <v>22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477</v>
      </c>
      <c r="B481" s="35" t="s">
        <v>22</v>
      </c>
      <c r="C481" s="36" t="s">
        <v>344</v>
      </c>
      <c r="D481" s="37" t="s">
        <v>390</v>
      </c>
      <c r="E481" s="37" t="s">
        <v>84</v>
      </c>
      <c r="F481" s="37">
        <v>1</v>
      </c>
      <c r="G481" s="37"/>
      <c r="H481" s="87"/>
      <c r="I481" s="87">
        <v>46167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60</v>
      </c>
      <c r="N481">
        <f>_xlfn.ISOWEEKNUM(I481)</f>
        <v>22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478</v>
      </c>
      <c r="B482" s="35" t="s">
        <v>22</v>
      </c>
      <c r="C482" s="36" t="s">
        <v>344</v>
      </c>
      <c r="D482" s="37" t="s">
        <v>390</v>
      </c>
      <c r="E482" s="37" t="s">
        <v>120</v>
      </c>
      <c r="F482" s="37">
        <v>1</v>
      </c>
      <c r="G482" s="37"/>
      <c r="H482" s="87"/>
      <c r="I482" s="87">
        <v>46167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60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479</v>
      </c>
      <c r="B483" s="35" t="s">
        <v>22</v>
      </c>
      <c r="C483" s="36" t="s">
        <v>344</v>
      </c>
      <c r="D483" s="37" t="s">
        <v>390</v>
      </c>
      <c r="E483" s="37" t="s">
        <v>118</v>
      </c>
      <c r="F483" s="37">
        <v>1</v>
      </c>
      <c r="G483" s="37"/>
      <c r="H483" s="87"/>
      <c r="I483" s="87">
        <v>46167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60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480</v>
      </c>
      <c r="B484" s="35" t="s">
        <v>22</v>
      </c>
      <c r="C484" s="36" t="s">
        <v>344</v>
      </c>
      <c r="D484" s="37" t="s">
        <v>391</v>
      </c>
      <c r="E484" s="37" t="s">
        <v>79</v>
      </c>
      <c r="F484" s="37">
        <v>1</v>
      </c>
      <c r="G484" s="37"/>
      <c r="H484" s="87"/>
      <c r="I484" s="87">
        <v>46167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60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481</v>
      </c>
      <c r="B485" s="35" t="s">
        <v>22</v>
      </c>
      <c r="C485" s="36" t="s">
        <v>344</v>
      </c>
      <c r="D485" s="37" t="s">
        <v>391</v>
      </c>
      <c r="E485" s="37" t="s">
        <v>84</v>
      </c>
      <c r="F485" s="37">
        <v>1</v>
      </c>
      <c r="G485" s="37"/>
      <c r="H485" s="87"/>
      <c r="I485" s="87">
        <v>46167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60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482</v>
      </c>
      <c r="B486" s="35" t="s">
        <v>22</v>
      </c>
      <c r="C486" s="36" t="s">
        <v>344</v>
      </c>
      <c r="D486" s="37" t="s">
        <v>392</v>
      </c>
      <c r="E486" s="37" t="s">
        <v>79</v>
      </c>
      <c r="F486" s="37">
        <v>1</v>
      </c>
      <c r="G486" s="37"/>
      <c r="H486" s="87"/>
      <c r="I486" s="87">
        <v>46167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60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483</v>
      </c>
      <c r="B487" s="35" t="s">
        <v>22</v>
      </c>
      <c r="C487" s="36" t="s">
        <v>344</v>
      </c>
      <c r="D487" s="37" t="s">
        <v>392</v>
      </c>
      <c r="E487" s="37" t="s">
        <v>84</v>
      </c>
      <c r="F487" s="37">
        <v>1</v>
      </c>
      <c r="G487" s="37"/>
      <c r="H487" s="87"/>
      <c r="I487" s="87">
        <v>46167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60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484</v>
      </c>
      <c r="B488" s="35" t="s">
        <v>22</v>
      </c>
      <c r="C488" s="36" t="s">
        <v>344</v>
      </c>
      <c r="D488" s="37" t="s">
        <v>392</v>
      </c>
      <c r="E488" s="37" t="s">
        <v>120</v>
      </c>
      <c r="F488" s="37">
        <v>1</v>
      </c>
      <c r="G488" s="37"/>
      <c r="H488" s="87"/>
      <c r="I488" s="87">
        <v>46167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60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485</v>
      </c>
      <c r="B489" s="35" t="s">
        <v>22</v>
      </c>
      <c r="C489" s="36" t="s">
        <v>344</v>
      </c>
      <c r="D489" s="37" t="s">
        <v>392</v>
      </c>
      <c r="E489" s="37" t="s">
        <v>118</v>
      </c>
      <c r="F489" s="37">
        <v>1</v>
      </c>
      <c r="G489" s="37"/>
      <c r="H489" s="87"/>
      <c r="I489" s="87">
        <v>46167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60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486</v>
      </c>
      <c r="B490" s="35" t="s">
        <v>22</v>
      </c>
      <c r="C490" s="36" t="s">
        <v>344</v>
      </c>
      <c r="D490" s="37" t="s">
        <v>393</v>
      </c>
      <c r="E490" s="37" t="s">
        <v>79</v>
      </c>
      <c r="F490" s="37">
        <v>2</v>
      </c>
      <c r="G490" s="37"/>
      <c r="H490" s="87"/>
      <c r="I490" s="87">
        <v>46168</v>
      </c>
      <c r="J490" s="37" t="s">
        <v>4</v>
      </c>
      <c r="K490" s="38">
        <f>F490-G490</f>
        <v>2</v>
      </c>
      <c r="L490" s="39">
        <f>IF(F490=0,"",G490/F490)</f>
        <v>0</v>
      </c>
      <c r="M490" s="40">
        <f ca="1">I490-TODAY()</f>
        <v>61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487</v>
      </c>
      <c r="B491" s="35" t="s">
        <v>22</v>
      </c>
      <c r="C491" s="36" t="s">
        <v>344</v>
      </c>
      <c r="D491" s="37" t="s">
        <v>393</v>
      </c>
      <c r="E491" s="37" t="s">
        <v>84</v>
      </c>
      <c r="F491" s="37">
        <v>1</v>
      </c>
      <c r="G491" s="37"/>
      <c r="H491" s="87"/>
      <c r="I491" s="87">
        <v>46168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61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488</v>
      </c>
      <c r="B492" s="35" t="s">
        <v>22</v>
      </c>
      <c r="C492" s="36" t="s">
        <v>344</v>
      </c>
      <c r="D492" s="37" t="s">
        <v>393</v>
      </c>
      <c r="E492" s="37" t="s">
        <v>120</v>
      </c>
      <c r="F492" s="37">
        <v>1</v>
      </c>
      <c r="G492" s="37"/>
      <c r="H492" s="87"/>
      <c r="I492" s="87">
        <v>46168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61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489</v>
      </c>
      <c r="B493" s="35" t="s">
        <v>22</v>
      </c>
      <c r="C493" s="36" t="s">
        <v>344</v>
      </c>
      <c r="D493" s="37" t="s">
        <v>393</v>
      </c>
      <c r="E493" s="37" t="s">
        <v>118</v>
      </c>
      <c r="F493" s="37">
        <v>1</v>
      </c>
      <c r="G493" s="37"/>
      <c r="H493" s="87"/>
      <c r="I493" s="87">
        <v>46168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61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490</v>
      </c>
      <c r="B494" s="35" t="s">
        <v>22</v>
      </c>
      <c r="C494" s="36" t="s">
        <v>344</v>
      </c>
      <c r="D494" s="37" t="s">
        <v>394</v>
      </c>
      <c r="E494" s="37" t="s">
        <v>79</v>
      </c>
      <c r="F494" s="37">
        <v>1</v>
      </c>
      <c r="G494" s="37"/>
      <c r="H494" s="87"/>
      <c r="I494" s="87">
        <v>46168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61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491</v>
      </c>
      <c r="B495" s="35" t="s">
        <v>22</v>
      </c>
      <c r="C495" s="36" t="s">
        <v>344</v>
      </c>
      <c r="D495" s="37" t="s">
        <v>394</v>
      </c>
      <c r="E495" s="37" t="s">
        <v>84</v>
      </c>
      <c r="F495" s="37">
        <v>1</v>
      </c>
      <c r="G495" s="37"/>
      <c r="H495" s="87"/>
      <c r="I495" s="87">
        <v>46168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61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492</v>
      </c>
      <c r="B496" s="35" t="s">
        <v>22</v>
      </c>
      <c r="C496" s="36" t="s">
        <v>344</v>
      </c>
      <c r="D496" s="37" t="s">
        <v>395</v>
      </c>
      <c r="E496" s="37" t="s">
        <v>79</v>
      </c>
      <c r="F496" s="37">
        <v>1</v>
      </c>
      <c r="G496" s="37"/>
      <c r="H496" s="87"/>
      <c r="I496" s="87">
        <v>46168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61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493</v>
      </c>
      <c r="B497" s="35" t="s">
        <v>22</v>
      </c>
      <c r="C497" s="36" t="s">
        <v>344</v>
      </c>
      <c r="D497" s="37" t="s">
        <v>396</v>
      </c>
      <c r="E497" s="37" t="s">
        <v>79</v>
      </c>
      <c r="F497" s="37">
        <v>1</v>
      </c>
      <c r="G497" s="37"/>
      <c r="H497" s="87"/>
      <c r="I497" s="87">
        <v>46168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61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494</v>
      </c>
      <c r="B498" s="35" t="s">
        <v>22</v>
      </c>
      <c r="C498" s="36" t="s">
        <v>344</v>
      </c>
      <c r="D498" s="37" t="s">
        <v>397</v>
      </c>
      <c r="E498" s="37" t="s">
        <v>79</v>
      </c>
      <c r="F498" s="37">
        <v>1</v>
      </c>
      <c r="G498" s="37"/>
      <c r="H498" s="87"/>
      <c r="I498" s="87">
        <v>46168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61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495</v>
      </c>
      <c r="B499" s="35" t="s">
        <v>22</v>
      </c>
      <c r="C499" s="36" t="s">
        <v>344</v>
      </c>
      <c r="D499" s="37" t="s">
        <v>398</v>
      </c>
      <c r="E499" s="37" t="s">
        <v>79</v>
      </c>
      <c r="F499" s="37">
        <v>1</v>
      </c>
      <c r="G499" s="37"/>
      <c r="H499" s="87"/>
      <c r="I499" s="87">
        <v>46169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62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496</v>
      </c>
      <c r="B500" s="35" t="s">
        <v>22</v>
      </c>
      <c r="C500" s="36" t="s">
        <v>344</v>
      </c>
      <c r="D500" s="37" t="s">
        <v>399</v>
      </c>
      <c r="E500" s="37" t="s">
        <v>79</v>
      </c>
      <c r="F500" s="37">
        <v>1</v>
      </c>
      <c r="G500" s="37"/>
      <c r="H500" s="87"/>
      <c r="I500" s="87">
        <v>46169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62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497</v>
      </c>
      <c r="B501" s="35" t="s">
        <v>22</v>
      </c>
      <c r="C501" s="36" t="s">
        <v>344</v>
      </c>
      <c r="D501" s="37" t="s">
        <v>400</v>
      </c>
      <c r="E501" s="37" t="s">
        <v>79</v>
      </c>
      <c r="F501" s="37">
        <v>1</v>
      </c>
      <c r="G501" s="37"/>
      <c r="H501" s="87"/>
      <c r="I501" s="87">
        <v>46169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62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498</v>
      </c>
      <c r="B502" s="35" t="s">
        <v>22</v>
      </c>
      <c r="C502" s="36" t="s">
        <v>344</v>
      </c>
      <c r="D502" s="37" t="s">
        <v>400</v>
      </c>
      <c r="E502" s="37" t="s">
        <v>84</v>
      </c>
      <c r="F502" s="37">
        <v>1</v>
      </c>
      <c r="G502" s="37"/>
      <c r="H502" s="87"/>
      <c r="I502" s="87">
        <v>46169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62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499</v>
      </c>
      <c r="B503" s="35" t="s">
        <v>22</v>
      </c>
      <c r="C503" s="37" t="s">
        <v>401</v>
      </c>
      <c r="D503" s="37" t="s">
        <v>402</v>
      </c>
      <c r="E503" s="37" t="s">
        <v>83</v>
      </c>
      <c r="F503" s="37">
        <v>3</v>
      </c>
      <c r="G503" s="37"/>
      <c r="H503" s="87"/>
      <c r="I503" s="87">
        <v>46139</v>
      </c>
      <c r="J503" s="37" t="s">
        <v>4</v>
      </c>
      <c r="K503" s="38">
        <f>F503-G503</f>
        <v>3</v>
      </c>
      <c r="L503" s="39">
        <f>IF(F503=0,"",G503/F503)</f>
        <v>0</v>
      </c>
      <c r="M503" s="40">
        <f ca="1">I503-TODAY()</f>
        <v>32</v>
      </c>
      <c r="N503">
        <f>_xlfn.ISOWEEKNUM(I503)</f>
        <v>18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500</v>
      </c>
      <c r="B504" s="35" t="s">
        <v>22</v>
      </c>
      <c r="C504" s="37" t="s">
        <v>401</v>
      </c>
      <c r="D504" s="37" t="s">
        <v>402</v>
      </c>
      <c r="E504" s="37" t="s">
        <v>79</v>
      </c>
      <c r="F504" s="37">
        <v>23</v>
      </c>
      <c r="G504" s="37"/>
      <c r="H504" s="87"/>
      <c r="I504" s="87">
        <v>46139</v>
      </c>
      <c r="J504" s="37" t="s">
        <v>4</v>
      </c>
      <c r="K504" s="38">
        <f>F504-G504</f>
        <v>23</v>
      </c>
      <c r="L504" s="39">
        <f>IF(F504=0,"",G504/F504)</f>
        <v>0</v>
      </c>
      <c r="M504" s="40">
        <f ca="1">I504-TODAY()</f>
        <v>32</v>
      </c>
      <c r="N504">
        <f>_xlfn.ISOWEEKNUM(I504)</f>
        <v>18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501</v>
      </c>
      <c r="B505" s="35" t="s">
        <v>22</v>
      </c>
      <c r="C505" s="37" t="s">
        <v>401</v>
      </c>
      <c r="D505" s="37" t="s">
        <v>402</v>
      </c>
      <c r="E505" s="37" t="s">
        <v>76</v>
      </c>
      <c r="F505" s="37">
        <v>3</v>
      </c>
      <c r="G505" s="37"/>
      <c r="H505" s="87"/>
      <c r="I505" s="87">
        <v>46139</v>
      </c>
      <c r="J505" s="37" t="s">
        <v>4</v>
      </c>
      <c r="K505" s="38">
        <f>F505-G505</f>
        <v>3</v>
      </c>
      <c r="L505" s="39">
        <f>IF(F505=0,"",G505/F505)</f>
        <v>0</v>
      </c>
      <c r="M505" s="40">
        <f ca="1">I505-TODAY()</f>
        <v>32</v>
      </c>
      <c r="N505">
        <f>_xlfn.ISOWEEKNUM(I505)</f>
        <v>18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502</v>
      </c>
      <c r="B506" s="35" t="s">
        <v>22</v>
      </c>
      <c r="C506" s="37" t="s">
        <v>401</v>
      </c>
      <c r="D506" s="37" t="s">
        <v>402</v>
      </c>
      <c r="E506" s="37" t="s">
        <v>84</v>
      </c>
      <c r="F506" s="37">
        <v>9</v>
      </c>
      <c r="G506" s="37"/>
      <c r="H506" s="87"/>
      <c r="I506" s="87">
        <v>46139</v>
      </c>
      <c r="J506" s="37" t="s">
        <v>4</v>
      </c>
      <c r="K506" s="38">
        <f>F506-G506</f>
        <v>9</v>
      </c>
      <c r="L506" s="39">
        <f>IF(F506=0,"",G506/F506)</f>
        <v>0</v>
      </c>
      <c r="M506" s="40">
        <f ca="1">I506-TODAY()</f>
        <v>32</v>
      </c>
      <c r="N506">
        <f>_xlfn.ISOWEEKNUM(I506)</f>
        <v>18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503</v>
      </c>
      <c r="B507" s="35" t="s">
        <v>22</v>
      </c>
      <c r="C507" s="37" t="s">
        <v>401</v>
      </c>
      <c r="D507" s="37" t="s">
        <v>402</v>
      </c>
      <c r="E507" s="37" t="s">
        <v>118</v>
      </c>
      <c r="F507" s="37">
        <v>1</v>
      </c>
      <c r="G507" s="37"/>
      <c r="H507" s="87"/>
      <c r="I507" s="87">
        <v>46139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32</v>
      </c>
      <c r="N507">
        <f>_xlfn.ISOWEEKNUM(I507)</f>
        <v>18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504</v>
      </c>
      <c r="B508" s="35" t="s">
        <v>22</v>
      </c>
      <c r="C508" s="37" t="s">
        <v>401</v>
      </c>
      <c r="D508" s="37" t="s">
        <v>403</v>
      </c>
      <c r="E508" s="37" t="s">
        <v>79</v>
      </c>
      <c r="F508" s="37">
        <v>1</v>
      </c>
      <c r="G508" s="37"/>
      <c r="H508" s="87"/>
      <c r="I508" s="87">
        <v>46142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35</v>
      </c>
      <c r="N508">
        <f>_xlfn.ISOWEEKNUM(I508)</f>
        <v>18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505</v>
      </c>
      <c r="B509" s="35" t="s">
        <v>22</v>
      </c>
      <c r="C509" s="37" t="s">
        <v>401</v>
      </c>
      <c r="D509" s="37" t="s">
        <v>403</v>
      </c>
      <c r="E509" s="37" t="s">
        <v>84</v>
      </c>
      <c r="F509" s="37">
        <v>1</v>
      </c>
      <c r="G509" s="37"/>
      <c r="H509" s="87"/>
      <c r="I509" s="87">
        <v>46142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35</v>
      </c>
      <c r="N509">
        <f>_xlfn.ISOWEEKNUM(I509)</f>
        <v>18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506</v>
      </c>
      <c r="B510" s="35" t="s">
        <v>22</v>
      </c>
      <c r="C510" s="37" t="s">
        <v>401</v>
      </c>
      <c r="D510" s="37" t="s">
        <v>404</v>
      </c>
      <c r="E510" s="37" t="s">
        <v>79</v>
      </c>
      <c r="F510" s="37">
        <v>2</v>
      </c>
      <c r="G510" s="37"/>
      <c r="H510" s="87"/>
      <c r="I510" s="87">
        <v>46142</v>
      </c>
      <c r="J510" s="37" t="s">
        <v>4</v>
      </c>
      <c r="K510" s="38">
        <f>F510-G510</f>
        <v>2</v>
      </c>
      <c r="L510" s="39">
        <f>IF(F510=0,"",G510/F510)</f>
        <v>0</v>
      </c>
      <c r="M510" s="40">
        <f ca="1">I510-TODAY()</f>
        <v>35</v>
      </c>
      <c r="N510">
        <f>_xlfn.ISOWEEKNUM(I510)</f>
        <v>18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507</v>
      </c>
      <c r="B511" s="35" t="s">
        <v>22</v>
      </c>
      <c r="C511" s="37" t="s">
        <v>401</v>
      </c>
      <c r="D511" s="37" t="s">
        <v>404</v>
      </c>
      <c r="E511" s="37" t="s">
        <v>84</v>
      </c>
      <c r="F511" s="37">
        <v>1</v>
      </c>
      <c r="G511" s="37"/>
      <c r="H511" s="87"/>
      <c r="I511" s="87">
        <v>46142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35</v>
      </c>
      <c r="N511">
        <f>_xlfn.ISOWEEKNUM(I511)</f>
        <v>18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508</v>
      </c>
      <c r="B512" s="35" t="s">
        <v>22</v>
      </c>
      <c r="C512" s="37" t="s">
        <v>405</v>
      </c>
      <c r="D512" s="37" t="s">
        <v>406</v>
      </c>
      <c r="E512" s="37" t="s">
        <v>83</v>
      </c>
      <c r="F512" s="37">
        <v>3</v>
      </c>
      <c r="G512" s="37"/>
      <c r="H512" s="87"/>
      <c r="I512" s="87">
        <v>46147</v>
      </c>
      <c r="J512" s="37" t="s">
        <v>4</v>
      </c>
      <c r="K512" s="38">
        <f>F512-G512</f>
        <v>3</v>
      </c>
      <c r="L512" s="39">
        <f>IF(F512=0,"",G512/F512)</f>
        <v>0</v>
      </c>
      <c r="M512" s="40">
        <f ca="1">I512-TODAY()</f>
        <v>40</v>
      </c>
      <c r="N512">
        <f>_xlfn.ISOWEEKNUM(I512)</f>
        <v>19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customHeight="1">
      <c r="A513">
        <v>509</v>
      </c>
      <c r="B513" s="35" t="s">
        <v>22</v>
      </c>
      <c r="C513" s="37" t="s">
        <v>405</v>
      </c>
      <c r="D513" s="37" t="s">
        <v>406</v>
      </c>
      <c r="E513" s="37" t="s">
        <v>79</v>
      </c>
      <c r="F513" s="37">
        <v>17</v>
      </c>
      <c r="G513" s="37"/>
      <c r="H513" s="87"/>
      <c r="I513" s="87">
        <v>46147</v>
      </c>
      <c r="J513" s="37" t="s">
        <v>4</v>
      </c>
      <c r="K513" s="38">
        <f>F513-G513</f>
        <v>17</v>
      </c>
      <c r="L513" s="39">
        <f>IF(F513=0,"",G513/F513)</f>
        <v>0</v>
      </c>
      <c r="M513" s="40">
        <f ca="1">I513-TODAY()</f>
        <v>40</v>
      </c>
      <c r="N513">
        <f>_xlfn.ISOWEEKNUM(I513)</f>
        <v>19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510</v>
      </c>
      <c r="B514" s="35" t="s">
        <v>22</v>
      </c>
      <c r="C514" s="37" t="s">
        <v>405</v>
      </c>
      <c r="D514" s="37" t="s">
        <v>406</v>
      </c>
      <c r="E514" s="37" t="s">
        <v>76</v>
      </c>
      <c r="F514" s="37">
        <v>4</v>
      </c>
      <c r="G514" s="37"/>
      <c r="H514" s="87"/>
      <c r="I514" s="87">
        <v>46147</v>
      </c>
      <c r="J514" s="37" t="s">
        <v>4</v>
      </c>
      <c r="K514" s="38">
        <f>F514-G514</f>
        <v>4</v>
      </c>
      <c r="L514" s="39">
        <f>IF(F514=0,"",G514/F514)</f>
        <v>0</v>
      </c>
      <c r="M514" s="40">
        <f ca="1">I514-TODAY()</f>
        <v>40</v>
      </c>
      <c r="N514">
        <f>_xlfn.ISOWEEKNUM(I514)</f>
        <v>19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511</v>
      </c>
      <c r="B515" s="35" t="s">
        <v>22</v>
      </c>
      <c r="C515" s="37" t="s">
        <v>405</v>
      </c>
      <c r="D515" s="37" t="s">
        <v>406</v>
      </c>
      <c r="E515" s="37" t="s">
        <v>84</v>
      </c>
      <c r="F515" s="37">
        <v>12</v>
      </c>
      <c r="G515" s="37"/>
      <c r="H515" s="87"/>
      <c r="I515" s="87">
        <v>46147</v>
      </c>
      <c r="J515" s="37" t="s">
        <v>4</v>
      </c>
      <c r="K515" s="38">
        <f>F515-G515</f>
        <v>12</v>
      </c>
      <c r="L515" s="39">
        <f>IF(F515=0,"",G515/F515)</f>
        <v>0</v>
      </c>
      <c r="M515" s="40">
        <f ca="1">I515-TODAY()</f>
        <v>40</v>
      </c>
      <c r="N515">
        <f>_xlfn.ISOWEEKNUM(I515)</f>
        <v>19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customHeight="1">
      <c r="A516">
        <v>512</v>
      </c>
      <c r="B516" s="35" t="s">
        <v>22</v>
      </c>
      <c r="C516" s="37" t="s">
        <v>405</v>
      </c>
      <c r="D516" s="37" t="s">
        <v>406</v>
      </c>
      <c r="E516" s="37" t="s">
        <v>118</v>
      </c>
      <c r="F516" s="37">
        <v>1</v>
      </c>
      <c r="G516" s="37"/>
      <c r="H516" s="87"/>
      <c r="I516" s="87">
        <v>46147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40</v>
      </c>
      <c r="N516">
        <f>_xlfn.ISOWEEKNUM(I516)</f>
        <v>19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513</v>
      </c>
      <c r="B517" s="35" t="s">
        <v>22</v>
      </c>
      <c r="C517" s="37" t="s">
        <v>405</v>
      </c>
      <c r="D517" s="37" t="s">
        <v>407</v>
      </c>
      <c r="E517" s="37" t="s">
        <v>79</v>
      </c>
      <c r="F517" s="37">
        <v>1</v>
      </c>
      <c r="G517" s="37"/>
      <c r="H517" s="87"/>
      <c r="I517" s="87">
        <v>46150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43</v>
      </c>
      <c r="N517">
        <f>_xlfn.ISOWEEKNUM(I517)</f>
        <v>19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customHeight="1">
      <c r="A518">
        <v>514</v>
      </c>
      <c r="B518" s="35" t="s">
        <v>22</v>
      </c>
      <c r="C518" s="37" t="s">
        <v>405</v>
      </c>
      <c r="D518" s="37" t="s">
        <v>407</v>
      </c>
      <c r="E518" s="37" t="s">
        <v>84</v>
      </c>
      <c r="F518" s="37">
        <v>1</v>
      </c>
      <c r="G518" s="37"/>
      <c r="H518" s="87"/>
      <c r="I518" s="87">
        <v>46150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43</v>
      </c>
      <c r="N518">
        <f>_xlfn.ISOWEEKNUM(I518)</f>
        <v>19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515</v>
      </c>
      <c r="B519" s="35" t="s">
        <v>22</v>
      </c>
      <c r="C519" s="36" t="s">
        <v>408</v>
      </c>
      <c r="D519" s="36" t="s">
        <v>409</v>
      </c>
      <c r="E519" s="37" t="s">
        <v>79</v>
      </c>
      <c r="F519" s="37">
        <v>1</v>
      </c>
      <c r="G519" s="37"/>
      <c r="H519" s="87"/>
      <c r="I519" s="87">
        <v>46150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43</v>
      </c>
      <c r="N519">
        <f>_xlfn.ISOWEEKNUM(I519)</f>
        <v>19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customHeight="1">
      <c r="A520">
        <v>516</v>
      </c>
      <c r="B520" s="35" t="s">
        <v>22</v>
      </c>
      <c r="C520" s="36" t="s">
        <v>408</v>
      </c>
      <c r="D520" s="36" t="s">
        <v>409</v>
      </c>
      <c r="E520" s="37" t="s">
        <v>84</v>
      </c>
      <c r="F520" s="37">
        <v>2</v>
      </c>
      <c r="G520" s="37"/>
      <c r="H520" s="87"/>
      <c r="I520" s="87">
        <v>46150</v>
      </c>
      <c r="J520" s="37" t="s">
        <v>4</v>
      </c>
      <c r="K520" s="38">
        <f>F520-G520</f>
        <v>2</v>
      </c>
      <c r="L520" s="39">
        <f>IF(F520=0,"",G520/F520)</f>
        <v>0</v>
      </c>
      <c r="M520" s="40">
        <f ca="1">I520-TODAY()</f>
        <v>43</v>
      </c>
      <c r="N520">
        <f>_xlfn.ISOWEEKNUM(I520)</f>
        <v>19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517</v>
      </c>
      <c r="B521" s="35" t="s">
        <v>22</v>
      </c>
      <c r="C521" s="36" t="s">
        <v>408</v>
      </c>
      <c r="D521" s="36" t="s">
        <v>410</v>
      </c>
      <c r="E521" s="37" t="s">
        <v>79</v>
      </c>
      <c r="F521" s="37">
        <v>2</v>
      </c>
      <c r="G521" s="37"/>
      <c r="H521" s="87"/>
      <c r="I521" s="87">
        <v>46150</v>
      </c>
      <c r="J521" s="37" t="s">
        <v>4</v>
      </c>
      <c r="K521" s="38">
        <f>F521-G521</f>
        <v>2</v>
      </c>
      <c r="L521" s="39">
        <f>IF(F521=0,"",G521/F521)</f>
        <v>0</v>
      </c>
      <c r="M521" s="40">
        <f ca="1">I521-TODAY()</f>
        <v>43</v>
      </c>
      <c r="N521">
        <f>_xlfn.ISOWEEKNUM(I521)</f>
        <v>19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customHeight="1">
      <c r="A522">
        <v>518</v>
      </c>
      <c r="B522" s="35" t="s">
        <v>22</v>
      </c>
      <c r="C522" s="36" t="s">
        <v>408</v>
      </c>
      <c r="D522" s="36" t="s">
        <v>410</v>
      </c>
      <c r="E522" s="37" t="s">
        <v>84</v>
      </c>
      <c r="F522" s="37">
        <v>1</v>
      </c>
      <c r="G522" s="37"/>
      <c r="H522" s="87"/>
      <c r="I522" s="87">
        <v>46150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43</v>
      </c>
      <c r="N522">
        <f>_xlfn.ISOWEEKNUM(I522)</f>
        <v>19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519</v>
      </c>
      <c r="B523" s="35" t="s">
        <v>22</v>
      </c>
      <c r="C523" s="36" t="s">
        <v>408</v>
      </c>
      <c r="D523" s="36" t="s">
        <v>410</v>
      </c>
      <c r="E523" s="37" t="s">
        <v>118</v>
      </c>
      <c r="F523" s="37">
        <v>2</v>
      </c>
      <c r="G523" s="37"/>
      <c r="H523" s="87"/>
      <c r="I523" s="87">
        <v>46150</v>
      </c>
      <c r="J523" s="37" t="s">
        <v>4</v>
      </c>
      <c r="K523" s="38">
        <f>F523-G523</f>
        <v>2</v>
      </c>
      <c r="L523" s="39">
        <f>IF(F523=0,"",G523/F523)</f>
        <v>0</v>
      </c>
      <c r="M523" s="40">
        <f ca="1">I523-TODAY()</f>
        <v>43</v>
      </c>
      <c r="N523">
        <f>_xlfn.ISOWEEKNUM(I523)</f>
        <v>19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520</v>
      </c>
      <c r="B524" s="35" t="s">
        <v>22</v>
      </c>
      <c r="C524" s="37" t="s">
        <v>411</v>
      </c>
      <c r="D524" s="37" t="s">
        <v>22</v>
      </c>
      <c r="E524" s="37" t="s">
        <v>126</v>
      </c>
      <c r="F524" s="37">
        <v>2</v>
      </c>
      <c r="G524" s="37"/>
      <c r="H524" s="87"/>
      <c r="I524" s="87">
        <v>46150</v>
      </c>
      <c r="J524" s="37" t="s">
        <v>4</v>
      </c>
      <c r="K524" s="38">
        <f>F524-G524</f>
        <v>2</v>
      </c>
      <c r="L524" s="39">
        <f>IF(F524=0,"",G524/F524)</f>
        <v>0</v>
      </c>
      <c r="M524" s="40">
        <f ca="1">I524-TODAY()</f>
        <v>43</v>
      </c>
      <c r="N524">
        <f>_xlfn.ISOWEEKNUM(I524)</f>
        <v>19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521</v>
      </c>
      <c r="B525" s="35" t="s">
        <v>22</v>
      </c>
      <c r="C525" s="37" t="s">
        <v>411</v>
      </c>
      <c r="D525" s="37" t="s">
        <v>22</v>
      </c>
      <c r="E525" s="37" t="s">
        <v>129</v>
      </c>
      <c r="F525" s="37">
        <v>2</v>
      </c>
      <c r="G525" s="37">
        <v>2</v>
      </c>
      <c r="H525" s="87">
        <v>46063</v>
      </c>
      <c r="I525" s="87">
        <v>46063</v>
      </c>
      <c r="J525" s="37" t="s">
        <v>77</v>
      </c>
      <c r="K525" s="38">
        <f>F525-G525</f>
        <v>0</v>
      </c>
      <c r="L525" s="39">
        <f>IF(F525=0,"",G525/F525)</f>
        <v>1</v>
      </c>
      <c r="M525" s="40">
        <f ca="1">I525-TODAY()</f>
        <v>-44</v>
      </c>
      <c r="N525">
        <f>_xlfn.ISOWEEKNUM(I525)</f>
        <v>7</v>
      </c>
      <c r="O525" t="str">
        <f>IF(ISNUMBER(SEARCH("Access Point",E525)),"AP",IF(OR(ISNUMBER(SEARCH("Switch",E525)),ISNUMBER(SEARCH("Control Type",E525))),"Switch","Infra"))</f>
        <v>Infra</v>
      </c>
    </row>
    <row r="526" spans="1:15" ht="14.25" customHeight="1">
      <c r="A526">
        <v>522</v>
      </c>
      <c r="B526" s="35" t="s">
        <v>23</v>
      </c>
      <c r="C526" s="37" t="s">
        <v>412</v>
      </c>
      <c r="D526" s="37" t="s">
        <v>413</v>
      </c>
      <c r="E526" s="37" t="s">
        <v>79</v>
      </c>
      <c r="F526" s="37">
        <v>2</v>
      </c>
      <c r="G526" s="37"/>
      <c r="H526" s="87"/>
      <c r="I526" s="87">
        <v>46170</v>
      </c>
      <c r="J526" s="37" t="s">
        <v>4</v>
      </c>
      <c r="K526" s="38">
        <f>F526-G526</f>
        <v>2</v>
      </c>
      <c r="L526" s="39">
        <f>IF(F526=0,"",G526/F526)</f>
        <v>0</v>
      </c>
      <c r="M526" s="40">
        <f ca="1">I526-TODAY()</f>
        <v>63</v>
      </c>
      <c r="N526">
        <f>_xlfn.ISOWEEKNUM(I526)</f>
        <v>22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523</v>
      </c>
      <c r="B527" s="35" t="s">
        <v>23</v>
      </c>
      <c r="C527" s="37" t="s">
        <v>412</v>
      </c>
      <c r="D527" s="37" t="s">
        <v>413</v>
      </c>
      <c r="E527" s="37" t="s">
        <v>84</v>
      </c>
      <c r="F527" s="37">
        <v>1</v>
      </c>
      <c r="G527" s="37"/>
      <c r="H527" s="87"/>
      <c r="I527" s="87">
        <v>46170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63</v>
      </c>
      <c r="N527">
        <f>_xlfn.ISOWEEKNUM(I527)</f>
        <v>22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524</v>
      </c>
      <c r="B528" s="35" t="s">
        <v>23</v>
      </c>
      <c r="C528" s="37" t="s">
        <v>412</v>
      </c>
      <c r="D528" s="37" t="s">
        <v>413</v>
      </c>
      <c r="E528" s="37" t="s">
        <v>118</v>
      </c>
      <c r="F528" s="37">
        <v>1</v>
      </c>
      <c r="G528" s="37"/>
      <c r="H528" s="87"/>
      <c r="I528" s="87">
        <v>46170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63</v>
      </c>
      <c r="N528">
        <f>_xlfn.ISOWEEKNUM(I528)</f>
        <v>22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525</v>
      </c>
      <c r="B529" s="35" t="s">
        <v>23</v>
      </c>
      <c r="C529" s="37" t="s">
        <v>412</v>
      </c>
      <c r="D529" s="37" t="s">
        <v>414</v>
      </c>
      <c r="E529" s="37" t="s">
        <v>79</v>
      </c>
      <c r="F529" s="37">
        <v>1</v>
      </c>
      <c r="G529" s="37"/>
      <c r="H529" s="87"/>
      <c r="I529" s="87">
        <v>46170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63</v>
      </c>
      <c r="N529">
        <f>_xlfn.ISOWEEKNUM(I529)</f>
        <v>22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526</v>
      </c>
      <c r="B530" s="35" t="s">
        <v>23</v>
      </c>
      <c r="C530" s="37" t="s">
        <v>412</v>
      </c>
      <c r="D530" s="37" t="s">
        <v>414</v>
      </c>
      <c r="E530" s="37" t="s">
        <v>84</v>
      </c>
      <c r="F530" s="37">
        <v>1</v>
      </c>
      <c r="G530" s="37"/>
      <c r="H530" s="87"/>
      <c r="I530" s="87">
        <v>46170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63</v>
      </c>
      <c r="N530">
        <f>_xlfn.ISOWEEKNUM(I530)</f>
        <v>22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527</v>
      </c>
      <c r="B531" s="35" t="s">
        <v>23</v>
      </c>
      <c r="C531" s="37" t="s">
        <v>412</v>
      </c>
      <c r="D531" s="37" t="s">
        <v>414</v>
      </c>
      <c r="E531" s="37" t="s">
        <v>120</v>
      </c>
      <c r="F531" s="37">
        <v>1</v>
      </c>
      <c r="G531" s="37"/>
      <c r="H531" s="87"/>
      <c r="I531" s="87">
        <v>46170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63</v>
      </c>
      <c r="N531">
        <f>_xlfn.ISOWEEKNUM(I531)</f>
        <v>22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528</v>
      </c>
      <c r="B532" s="35" t="s">
        <v>23</v>
      </c>
      <c r="C532" s="37" t="s">
        <v>412</v>
      </c>
      <c r="D532" s="37" t="s">
        <v>415</v>
      </c>
      <c r="E532" s="37" t="s">
        <v>79</v>
      </c>
      <c r="F532" s="37">
        <v>1</v>
      </c>
      <c r="G532" s="37"/>
      <c r="H532" s="87"/>
      <c r="I532" s="87">
        <v>46170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63</v>
      </c>
      <c r="N532">
        <f>_xlfn.ISOWEEKNUM(I532)</f>
        <v>22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529</v>
      </c>
      <c r="B533" s="35" t="s">
        <v>23</v>
      </c>
      <c r="C533" s="37" t="s">
        <v>412</v>
      </c>
      <c r="D533" s="37" t="s">
        <v>416</v>
      </c>
      <c r="E533" s="37" t="s">
        <v>79</v>
      </c>
      <c r="F533" s="37">
        <v>1</v>
      </c>
      <c r="G533" s="37"/>
      <c r="H533" s="87"/>
      <c r="I533" s="87">
        <v>46170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63</v>
      </c>
      <c r="N533">
        <f>_xlfn.ISOWEEKNUM(I533)</f>
        <v>22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530</v>
      </c>
      <c r="B534" s="35" t="s">
        <v>23</v>
      </c>
      <c r="C534" s="37" t="s">
        <v>412</v>
      </c>
      <c r="D534" s="37" t="s">
        <v>416</v>
      </c>
      <c r="E534" s="37" t="s">
        <v>84</v>
      </c>
      <c r="F534" s="37">
        <v>1</v>
      </c>
      <c r="G534" s="37"/>
      <c r="H534" s="87"/>
      <c r="I534" s="87">
        <v>46170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63</v>
      </c>
      <c r="N534">
        <f>_xlfn.ISOWEEKNUM(I534)</f>
        <v>22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531</v>
      </c>
      <c r="B535" s="35" t="s">
        <v>23</v>
      </c>
      <c r="C535" s="37" t="s">
        <v>412</v>
      </c>
      <c r="D535" s="37" t="s">
        <v>417</v>
      </c>
      <c r="E535" s="37" t="s">
        <v>79</v>
      </c>
      <c r="F535" s="37">
        <v>1</v>
      </c>
      <c r="G535" s="37"/>
      <c r="H535" s="87"/>
      <c r="I535" s="87">
        <v>46170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63</v>
      </c>
      <c r="N535">
        <f>_xlfn.ISOWEEKNUM(I535)</f>
        <v>22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532</v>
      </c>
      <c r="B536" s="35" t="s">
        <v>23</v>
      </c>
      <c r="C536" s="37" t="s">
        <v>412</v>
      </c>
      <c r="D536" s="37" t="s">
        <v>417</v>
      </c>
      <c r="E536" s="37" t="s">
        <v>84</v>
      </c>
      <c r="F536" s="37">
        <v>1</v>
      </c>
      <c r="G536" s="37"/>
      <c r="H536" s="87"/>
      <c r="I536" s="87">
        <v>46170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63</v>
      </c>
      <c r="N536">
        <f>_xlfn.ISOWEEKNUM(I536)</f>
        <v>22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533</v>
      </c>
      <c r="B537" s="35" t="s">
        <v>23</v>
      </c>
      <c r="C537" s="37" t="s">
        <v>412</v>
      </c>
      <c r="D537" s="37" t="s">
        <v>417</v>
      </c>
      <c r="E537" s="37" t="s">
        <v>120</v>
      </c>
      <c r="F537" s="37">
        <v>1</v>
      </c>
      <c r="G537" s="37"/>
      <c r="H537" s="87"/>
      <c r="I537" s="87">
        <v>46170</v>
      </c>
      <c r="J537" s="37" t="s">
        <v>4</v>
      </c>
      <c r="K537" s="38">
        <f>F537-G537</f>
        <v>1</v>
      </c>
      <c r="L537" s="39">
        <f>IF(F537=0,"",G537/F537)</f>
        <v>0</v>
      </c>
      <c r="M537" s="40">
        <f ca="1">I537-TODAY()</f>
        <v>63</v>
      </c>
      <c r="N537">
        <f>_xlfn.ISOWEEKNUM(I537)</f>
        <v>22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534</v>
      </c>
      <c r="B538" s="35" t="s">
        <v>23</v>
      </c>
      <c r="C538" s="37" t="s">
        <v>412</v>
      </c>
      <c r="D538" s="37" t="s">
        <v>418</v>
      </c>
      <c r="E538" s="37" t="s">
        <v>79</v>
      </c>
      <c r="F538" s="37">
        <v>1</v>
      </c>
      <c r="G538" s="37"/>
      <c r="H538" s="87"/>
      <c r="I538" s="87">
        <v>46171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64</v>
      </c>
      <c r="N538">
        <f>_xlfn.ISOWEEKNUM(I538)</f>
        <v>22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535</v>
      </c>
      <c r="B539" s="35" t="s">
        <v>23</v>
      </c>
      <c r="C539" s="37" t="s">
        <v>412</v>
      </c>
      <c r="D539" s="37" t="s">
        <v>418</v>
      </c>
      <c r="E539" s="37" t="s">
        <v>84</v>
      </c>
      <c r="F539" s="37">
        <v>1</v>
      </c>
      <c r="G539" s="37"/>
      <c r="H539" s="87"/>
      <c r="I539" s="87">
        <v>46171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64</v>
      </c>
      <c r="N539">
        <f>_xlfn.ISOWEEKNUM(I539)</f>
        <v>22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536</v>
      </c>
      <c r="B540" s="35" t="s">
        <v>23</v>
      </c>
      <c r="C540" s="37" t="s">
        <v>412</v>
      </c>
      <c r="D540" s="37" t="s">
        <v>418</v>
      </c>
      <c r="E540" s="37" t="s">
        <v>120</v>
      </c>
      <c r="F540" s="37">
        <v>1</v>
      </c>
      <c r="G540" s="37"/>
      <c r="H540" s="87"/>
      <c r="I540" s="87">
        <v>46171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64</v>
      </c>
      <c r="N540">
        <f>_xlfn.ISOWEEKNUM(I540)</f>
        <v>22</v>
      </c>
      <c r="O540" t="str">
        <f>IF(ISNUMBER(SEARCH("Access Point",E540)),"AP",IF(OR(ISNUMBER(SEARCH("Switch",E540)),ISNUMBER(SEARCH("Control Type",E540))),"Switch","Infra"))</f>
        <v>Switch</v>
      </c>
    </row>
    <row r="541" spans="1:15" ht="14.25" customHeight="1">
      <c r="A541">
        <v>537</v>
      </c>
      <c r="B541" s="35" t="s">
        <v>23</v>
      </c>
      <c r="C541" s="37" t="s">
        <v>412</v>
      </c>
      <c r="D541" s="37" t="s">
        <v>419</v>
      </c>
      <c r="E541" s="37" t="s">
        <v>79</v>
      </c>
      <c r="F541" s="37">
        <v>1</v>
      </c>
      <c r="G541" s="37"/>
      <c r="H541" s="87"/>
      <c r="I541" s="87">
        <v>46171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64</v>
      </c>
      <c r="N541">
        <f>_xlfn.ISOWEEKNUM(I541)</f>
        <v>22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538</v>
      </c>
      <c r="B542" s="35" t="s">
        <v>23</v>
      </c>
      <c r="C542" s="37" t="s">
        <v>412</v>
      </c>
      <c r="D542" s="37" t="s">
        <v>420</v>
      </c>
      <c r="E542" s="37" t="s">
        <v>79</v>
      </c>
      <c r="F542" s="37">
        <v>1</v>
      </c>
      <c r="G542" s="37"/>
      <c r="H542" s="87"/>
      <c r="I542" s="87">
        <v>46171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64</v>
      </c>
      <c r="N542">
        <f>_xlfn.ISOWEEKNUM(I542)</f>
        <v>22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539</v>
      </c>
      <c r="B543" s="35" t="s">
        <v>23</v>
      </c>
      <c r="C543" s="37" t="s">
        <v>412</v>
      </c>
      <c r="D543" s="37" t="s">
        <v>420</v>
      </c>
      <c r="E543" s="37" t="s">
        <v>84</v>
      </c>
      <c r="F543" s="37">
        <v>1</v>
      </c>
      <c r="G543" s="37"/>
      <c r="H543" s="87"/>
      <c r="I543" s="87">
        <v>46171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64</v>
      </c>
      <c r="N543">
        <f>_xlfn.ISOWEEKNUM(I543)</f>
        <v>22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540</v>
      </c>
      <c r="B544" s="35" t="s">
        <v>23</v>
      </c>
      <c r="C544" s="37" t="s">
        <v>412</v>
      </c>
      <c r="D544" s="37" t="s">
        <v>421</v>
      </c>
      <c r="E544" s="37" t="s">
        <v>79</v>
      </c>
      <c r="F544" s="37">
        <v>2</v>
      </c>
      <c r="G544" s="37"/>
      <c r="H544" s="87"/>
      <c r="I544" s="87">
        <v>46171</v>
      </c>
      <c r="J544" s="37" t="s">
        <v>4</v>
      </c>
      <c r="K544" s="38">
        <f>F544-G544</f>
        <v>2</v>
      </c>
      <c r="L544" s="39">
        <f>IF(F544=0,"",G544/F544)</f>
        <v>0</v>
      </c>
      <c r="M544" s="40">
        <f ca="1">I544-TODAY()</f>
        <v>64</v>
      </c>
      <c r="N544">
        <f>_xlfn.ISOWEEKNUM(I544)</f>
        <v>22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541</v>
      </c>
      <c r="B545" s="35" t="s">
        <v>23</v>
      </c>
      <c r="C545" s="37" t="s">
        <v>412</v>
      </c>
      <c r="D545" s="37" t="s">
        <v>421</v>
      </c>
      <c r="E545" s="37" t="s">
        <v>84</v>
      </c>
      <c r="F545" s="37">
        <v>1</v>
      </c>
      <c r="G545" s="37"/>
      <c r="H545" s="87"/>
      <c r="I545" s="87">
        <v>46171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64</v>
      </c>
      <c r="N545">
        <f>_xlfn.ISOWEEKNUM(I545)</f>
        <v>22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542</v>
      </c>
      <c r="B546" s="35" t="s">
        <v>23</v>
      </c>
      <c r="C546" s="37" t="s">
        <v>412</v>
      </c>
      <c r="D546" s="37" t="s">
        <v>421</v>
      </c>
      <c r="E546" s="37" t="s">
        <v>120</v>
      </c>
      <c r="F546" s="37">
        <v>1</v>
      </c>
      <c r="G546" s="37"/>
      <c r="H546" s="87"/>
      <c r="I546" s="87">
        <v>46171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64</v>
      </c>
      <c r="N546">
        <f>_xlfn.ISOWEEKNUM(I546)</f>
        <v>22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543</v>
      </c>
      <c r="B547" s="35" t="s">
        <v>23</v>
      </c>
      <c r="C547" s="37" t="s">
        <v>412</v>
      </c>
      <c r="D547" s="37" t="s">
        <v>422</v>
      </c>
      <c r="E547" s="37" t="s">
        <v>79</v>
      </c>
      <c r="F547" s="37">
        <v>1</v>
      </c>
      <c r="G547" s="37"/>
      <c r="H547" s="87"/>
      <c r="I547" s="87">
        <v>46171</v>
      </c>
      <c r="J547" s="37" t="s">
        <v>4</v>
      </c>
      <c r="K547" s="38">
        <f>F547-G547</f>
        <v>1</v>
      </c>
      <c r="L547" s="39">
        <f>IF(F547=0,"",G547/F547)</f>
        <v>0</v>
      </c>
      <c r="M547" s="40">
        <f ca="1">I547-TODAY()</f>
        <v>64</v>
      </c>
      <c r="N547">
        <f>_xlfn.ISOWEEKNUM(I547)</f>
        <v>22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544</v>
      </c>
      <c r="B548" s="35" t="s">
        <v>23</v>
      </c>
      <c r="C548" s="37" t="s">
        <v>412</v>
      </c>
      <c r="D548" s="37" t="s">
        <v>422</v>
      </c>
      <c r="E548" s="37" t="s">
        <v>84</v>
      </c>
      <c r="F548" s="37">
        <v>1</v>
      </c>
      <c r="G548" s="37"/>
      <c r="H548" s="87"/>
      <c r="I548" s="87">
        <v>46171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64</v>
      </c>
      <c r="N548">
        <f>_xlfn.ISOWEEKNUM(I548)</f>
        <v>22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545</v>
      </c>
      <c r="B549" s="35" t="s">
        <v>23</v>
      </c>
      <c r="C549" s="37" t="s">
        <v>412</v>
      </c>
      <c r="D549" s="37" t="s">
        <v>423</v>
      </c>
      <c r="E549" s="37" t="s">
        <v>79</v>
      </c>
      <c r="F549" s="37">
        <v>1</v>
      </c>
      <c r="G549" s="37"/>
      <c r="H549" s="87"/>
      <c r="I549" s="87">
        <v>46174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67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546</v>
      </c>
      <c r="B550" s="35" t="s">
        <v>23</v>
      </c>
      <c r="C550" s="37" t="s">
        <v>412</v>
      </c>
      <c r="D550" s="37" t="s">
        <v>423</v>
      </c>
      <c r="E550" s="37" t="s">
        <v>84</v>
      </c>
      <c r="F550" s="37">
        <v>1</v>
      </c>
      <c r="G550" s="37"/>
      <c r="H550" s="87"/>
      <c r="I550" s="87">
        <v>46174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67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547</v>
      </c>
      <c r="B551" s="35" t="s">
        <v>23</v>
      </c>
      <c r="C551" s="37" t="s">
        <v>412</v>
      </c>
      <c r="D551" s="37" t="s">
        <v>424</v>
      </c>
      <c r="E551" s="37" t="s">
        <v>79</v>
      </c>
      <c r="F551" s="37">
        <v>1</v>
      </c>
      <c r="G551" s="37"/>
      <c r="H551" s="87"/>
      <c r="I551" s="87">
        <v>46174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67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548</v>
      </c>
      <c r="B552" s="35" t="s">
        <v>23</v>
      </c>
      <c r="C552" s="37" t="s">
        <v>412</v>
      </c>
      <c r="D552" s="37" t="s">
        <v>424</v>
      </c>
      <c r="E552" s="37" t="s">
        <v>84</v>
      </c>
      <c r="F552" s="37">
        <v>1</v>
      </c>
      <c r="G552" s="37"/>
      <c r="H552" s="87"/>
      <c r="I552" s="87">
        <v>46174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67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549</v>
      </c>
      <c r="B553" s="35" t="s">
        <v>23</v>
      </c>
      <c r="C553" s="37" t="s">
        <v>412</v>
      </c>
      <c r="D553" s="37" t="s">
        <v>425</v>
      </c>
      <c r="E553" s="37" t="s">
        <v>79</v>
      </c>
      <c r="F553" s="37">
        <v>1</v>
      </c>
      <c r="G553" s="37"/>
      <c r="H553" s="87"/>
      <c r="I553" s="87">
        <v>46174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67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550</v>
      </c>
      <c r="B554" s="35" t="s">
        <v>23</v>
      </c>
      <c r="C554" s="37" t="s">
        <v>412</v>
      </c>
      <c r="D554" s="37" t="s">
        <v>425</v>
      </c>
      <c r="E554" s="37" t="s">
        <v>84</v>
      </c>
      <c r="F554" s="37">
        <v>1</v>
      </c>
      <c r="G554" s="37"/>
      <c r="H554" s="87"/>
      <c r="I554" s="87">
        <v>46174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67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551</v>
      </c>
      <c r="B555" s="35" t="s">
        <v>23</v>
      </c>
      <c r="C555" s="37" t="s">
        <v>412</v>
      </c>
      <c r="D555" s="37" t="s">
        <v>426</v>
      </c>
      <c r="E555" s="37" t="s">
        <v>79</v>
      </c>
      <c r="F555" s="37">
        <v>1</v>
      </c>
      <c r="G555" s="37"/>
      <c r="H555" s="87"/>
      <c r="I555" s="87">
        <v>46174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67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552</v>
      </c>
      <c r="B556" s="35" t="s">
        <v>23</v>
      </c>
      <c r="C556" s="37" t="s">
        <v>412</v>
      </c>
      <c r="D556" s="37" t="s">
        <v>426</v>
      </c>
      <c r="E556" s="37" t="s">
        <v>84</v>
      </c>
      <c r="F556" s="37">
        <v>1</v>
      </c>
      <c r="G556" s="37"/>
      <c r="H556" s="87"/>
      <c r="I556" s="87">
        <v>46174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67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553</v>
      </c>
      <c r="B557" s="35" t="s">
        <v>23</v>
      </c>
      <c r="C557" s="37" t="s">
        <v>412</v>
      </c>
      <c r="D557" s="37" t="s">
        <v>427</v>
      </c>
      <c r="E557" s="37" t="s">
        <v>79</v>
      </c>
      <c r="F557" s="37">
        <v>1</v>
      </c>
      <c r="G557" s="37"/>
      <c r="H557" s="87"/>
      <c r="I557" s="87">
        <v>46174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67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554</v>
      </c>
      <c r="B558" s="35" t="s">
        <v>23</v>
      </c>
      <c r="C558" s="37" t="s">
        <v>412</v>
      </c>
      <c r="D558" s="37" t="s">
        <v>427</v>
      </c>
      <c r="E558" s="37" t="s">
        <v>84</v>
      </c>
      <c r="F558" s="37">
        <v>1</v>
      </c>
      <c r="G558" s="37"/>
      <c r="H558" s="87"/>
      <c r="I558" s="87">
        <v>46174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67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555</v>
      </c>
      <c r="B559" s="35" t="s">
        <v>23</v>
      </c>
      <c r="C559" s="37" t="s">
        <v>412</v>
      </c>
      <c r="D559" s="37" t="s">
        <v>428</v>
      </c>
      <c r="E559" s="37" t="s">
        <v>79</v>
      </c>
      <c r="F559" s="37">
        <v>1</v>
      </c>
      <c r="G559" s="37"/>
      <c r="H559" s="87"/>
      <c r="I559" s="87">
        <v>46174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67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556</v>
      </c>
      <c r="B560" s="35" t="s">
        <v>23</v>
      </c>
      <c r="C560" s="37" t="s">
        <v>412</v>
      </c>
      <c r="D560" s="37" t="s">
        <v>429</v>
      </c>
      <c r="E560" s="37" t="s">
        <v>79</v>
      </c>
      <c r="F560" s="37">
        <v>1</v>
      </c>
      <c r="G560" s="37"/>
      <c r="H560" s="87"/>
      <c r="I560" s="87">
        <v>46175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68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Switch</v>
      </c>
    </row>
    <row r="561" spans="1:15" ht="14.25" customHeight="1">
      <c r="A561">
        <v>557</v>
      </c>
      <c r="B561" s="35" t="s">
        <v>23</v>
      </c>
      <c r="C561" s="37" t="s">
        <v>412</v>
      </c>
      <c r="D561" s="37" t="s">
        <v>430</v>
      </c>
      <c r="E561" s="37" t="s">
        <v>79</v>
      </c>
      <c r="F561" s="37">
        <v>1</v>
      </c>
      <c r="G561" s="37"/>
      <c r="H561" s="87"/>
      <c r="I561" s="87">
        <v>46175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68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558</v>
      </c>
      <c r="B562" s="35" t="s">
        <v>23</v>
      </c>
      <c r="C562" s="37" t="s">
        <v>412</v>
      </c>
      <c r="D562" s="37" t="s">
        <v>431</v>
      </c>
      <c r="E562" s="37" t="s">
        <v>79</v>
      </c>
      <c r="F562" s="37">
        <v>1</v>
      </c>
      <c r="G562" s="37"/>
      <c r="H562" s="87"/>
      <c r="I562" s="87">
        <v>46175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68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559</v>
      </c>
      <c r="B563" s="35" t="s">
        <v>23</v>
      </c>
      <c r="C563" s="37" t="s">
        <v>412</v>
      </c>
      <c r="D563" s="37" t="s">
        <v>431</v>
      </c>
      <c r="E563" s="37" t="s">
        <v>84</v>
      </c>
      <c r="F563" s="37">
        <v>1</v>
      </c>
      <c r="G563" s="37"/>
      <c r="H563" s="87"/>
      <c r="I563" s="87">
        <v>46175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68</v>
      </c>
      <c r="N563">
        <f>_xlfn.ISOWEEKNUM(I563)</f>
        <v>23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560</v>
      </c>
      <c r="B564" s="35" t="s">
        <v>23</v>
      </c>
      <c r="C564" s="37" t="s">
        <v>412</v>
      </c>
      <c r="D564" s="37" t="s">
        <v>432</v>
      </c>
      <c r="E564" s="37" t="s">
        <v>79</v>
      </c>
      <c r="F564" s="37">
        <v>1</v>
      </c>
      <c r="G564" s="37"/>
      <c r="H564" s="87"/>
      <c r="I564" s="87">
        <v>46175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68</v>
      </c>
      <c r="N564">
        <f>_xlfn.ISOWEEKNUM(I564)</f>
        <v>23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561</v>
      </c>
      <c r="B565" s="35" t="s">
        <v>23</v>
      </c>
      <c r="C565" s="37" t="s">
        <v>412</v>
      </c>
      <c r="D565" s="37" t="s">
        <v>432</v>
      </c>
      <c r="E565" s="37" t="s">
        <v>84</v>
      </c>
      <c r="F565" s="37">
        <v>1</v>
      </c>
      <c r="G565" s="37"/>
      <c r="H565" s="87"/>
      <c r="I565" s="87">
        <v>46175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68</v>
      </c>
      <c r="N565">
        <f>_xlfn.ISOWEEKNUM(I565)</f>
        <v>23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562</v>
      </c>
      <c r="B566" s="35" t="s">
        <v>23</v>
      </c>
      <c r="C566" s="37" t="s">
        <v>412</v>
      </c>
      <c r="D566" s="37" t="s">
        <v>432</v>
      </c>
      <c r="E566" s="37" t="s">
        <v>120</v>
      </c>
      <c r="F566" s="37">
        <v>1</v>
      </c>
      <c r="G566" s="37"/>
      <c r="H566" s="87"/>
      <c r="I566" s="87">
        <v>46175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68</v>
      </c>
      <c r="N566">
        <f>_xlfn.ISOWEEKNUM(I566)</f>
        <v>23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563</v>
      </c>
      <c r="B567" s="35" t="s">
        <v>23</v>
      </c>
      <c r="C567" s="37" t="s">
        <v>412</v>
      </c>
      <c r="D567" s="37" t="s">
        <v>433</v>
      </c>
      <c r="E567" s="37" t="s">
        <v>79</v>
      </c>
      <c r="F567" s="37">
        <v>1</v>
      </c>
      <c r="G567" s="37"/>
      <c r="H567" s="87"/>
      <c r="I567" s="87">
        <v>46175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68</v>
      </c>
      <c r="N567">
        <f>_xlfn.ISOWEEKNUM(I567)</f>
        <v>23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564</v>
      </c>
      <c r="B568" s="35" t="s">
        <v>23</v>
      </c>
      <c r="C568" s="37" t="s">
        <v>412</v>
      </c>
      <c r="D568" s="37" t="s">
        <v>433</v>
      </c>
      <c r="E568" s="37" t="s">
        <v>118</v>
      </c>
      <c r="F568" s="37">
        <v>1</v>
      </c>
      <c r="G568" s="37"/>
      <c r="H568" s="87"/>
      <c r="I568" s="87">
        <v>46175</v>
      </c>
      <c r="J568" s="37" t="s">
        <v>4</v>
      </c>
      <c r="K568" s="38">
        <f>F568-G568</f>
        <v>1</v>
      </c>
      <c r="L568" s="39">
        <f>IF(F568=0,"",G568/F568)</f>
        <v>0</v>
      </c>
      <c r="M568" s="40">
        <f ca="1">I568-TODAY()</f>
        <v>68</v>
      </c>
      <c r="N568">
        <f>_xlfn.ISOWEEKNUM(I568)</f>
        <v>23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565</v>
      </c>
      <c r="B569" s="35" t="s">
        <v>23</v>
      </c>
      <c r="C569" s="37" t="s">
        <v>412</v>
      </c>
      <c r="D569" s="37" t="s">
        <v>434</v>
      </c>
      <c r="E569" s="37" t="s">
        <v>79</v>
      </c>
      <c r="F569" s="37">
        <v>1</v>
      </c>
      <c r="G569" s="37"/>
      <c r="H569" s="87"/>
      <c r="I569" s="87">
        <v>46175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68</v>
      </c>
      <c r="N569">
        <f>_xlfn.ISOWEEKNUM(I569)</f>
        <v>23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566</v>
      </c>
      <c r="B570" s="35" t="s">
        <v>23</v>
      </c>
      <c r="C570" s="37" t="s">
        <v>412</v>
      </c>
      <c r="D570" s="37" t="s">
        <v>434</v>
      </c>
      <c r="E570" s="37" t="s">
        <v>118</v>
      </c>
      <c r="F570" s="37">
        <v>1</v>
      </c>
      <c r="G570" s="37"/>
      <c r="H570" s="87"/>
      <c r="I570" s="87">
        <v>46175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68</v>
      </c>
      <c r="N570">
        <f>_xlfn.ISOWEEKNUM(I570)</f>
        <v>23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567</v>
      </c>
      <c r="B571" s="35" t="s">
        <v>23</v>
      </c>
      <c r="C571" s="37" t="s">
        <v>412</v>
      </c>
      <c r="D571" s="37" t="s">
        <v>435</v>
      </c>
      <c r="E571" s="37" t="s">
        <v>79</v>
      </c>
      <c r="F571" s="37">
        <v>1</v>
      </c>
      <c r="G571" s="37"/>
      <c r="H571" s="87"/>
      <c r="I571" s="87">
        <v>46175</v>
      </c>
      <c r="J571" s="37" t="s">
        <v>4</v>
      </c>
      <c r="K571" s="38">
        <f>F571-G571</f>
        <v>1</v>
      </c>
      <c r="L571" s="39">
        <f>IF(F571=0,"",G571/F571)</f>
        <v>0</v>
      </c>
      <c r="M571" s="40">
        <f ca="1">I571-TODAY()</f>
        <v>68</v>
      </c>
      <c r="N571">
        <f>_xlfn.ISOWEEKNUM(I571)</f>
        <v>23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568</v>
      </c>
      <c r="B572" s="35" t="s">
        <v>23</v>
      </c>
      <c r="C572" s="37" t="s">
        <v>412</v>
      </c>
      <c r="D572" s="37" t="s">
        <v>435</v>
      </c>
      <c r="E572" s="37" t="s">
        <v>118</v>
      </c>
      <c r="F572" s="37">
        <v>1</v>
      </c>
      <c r="G572" s="37"/>
      <c r="H572" s="87"/>
      <c r="I572" s="87">
        <v>46175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68</v>
      </c>
      <c r="N572">
        <f>_xlfn.ISOWEEKNUM(I572)</f>
        <v>23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569</v>
      </c>
      <c r="B573" s="35" t="s">
        <v>23</v>
      </c>
      <c r="C573" s="37" t="s">
        <v>412</v>
      </c>
      <c r="D573" s="37" t="s">
        <v>436</v>
      </c>
      <c r="E573" s="37" t="s">
        <v>79</v>
      </c>
      <c r="F573" s="37">
        <v>1</v>
      </c>
      <c r="G573" s="37"/>
      <c r="H573" s="87"/>
      <c r="I573" s="87">
        <v>46177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70</v>
      </c>
      <c r="N573">
        <f>_xlfn.ISOWEEKNUM(I573)</f>
        <v>23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570</v>
      </c>
      <c r="B574" s="35" t="s">
        <v>23</v>
      </c>
      <c r="C574" s="37" t="s">
        <v>412</v>
      </c>
      <c r="D574" s="37" t="s">
        <v>436</v>
      </c>
      <c r="E574" s="37" t="s">
        <v>84</v>
      </c>
      <c r="F574" s="37">
        <v>1</v>
      </c>
      <c r="G574" s="37"/>
      <c r="H574" s="87"/>
      <c r="I574" s="87">
        <v>46177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70</v>
      </c>
      <c r="N574">
        <f>_xlfn.ISOWEEKNUM(I574)</f>
        <v>23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571</v>
      </c>
      <c r="B575" s="35" t="s">
        <v>23</v>
      </c>
      <c r="C575" s="37" t="s">
        <v>412</v>
      </c>
      <c r="D575" s="37" t="s">
        <v>436</v>
      </c>
      <c r="E575" s="37" t="s">
        <v>118</v>
      </c>
      <c r="F575" s="37">
        <v>1</v>
      </c>
      <c r="G575" s="37"/>
      <c r="H575" s="87"/>
      <c r="I575" s="87">
        <v>46177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70</v>
      </c>
      <c r="N575">
        <f>_xlfn.ISOWEEKNUM(I575)</f>
        <v>23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572</v>
      </c>
      <c r="B576" s="35" t="s">
        <v>23</v>
      </c>
      <c r="C576" s="37" t="s">
        <v>412</v>
      </c>
      <c r="D576" s="37" t="s">
        <v>437</v>
      </c>
      <c r="E576" s="37" t="s">
        <v>79</v>
      </c>
      <c r="F576" s="37">
        <v>1</v>
      </c>
      <c r="G576" s="37"/>
      <c r="H576" s="87"/>
      <c r="I576" s="87">
        <v>46177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70</v>
      </c>
      <c r="N576">
        <f>_xlfn.ISOWEEKNUM(I576)</f>
        <v>23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573</v>
      </c>
      <c r="B577" s="35" t="s">
        <v>23</v>
      </c>
      <c r="C577" s="37" t="s">
        <v>412</v>
      </c>
      <c r="D577" s="37" t="s">
        <v>437</v>
      </c>
      <c r="E577" s="37" t="s">
        <v>84</v>
      </c>
      <c r="F577" s="37">
        <v>1</v>
      </c>
      <c r="G577" s="37"/>
      <c r="H577" s="87"/>
      <c r="I577" s="87">
        <v>46177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70</v>
      </c>
      <c r="N577">
        <f>_xlfn.ISOWEEKNUM(I577)</f>
        <v>23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574</v>
      </c>
      <c r="B578" s="35" t="s">
        <v>23</v>
      </c>
      <c r="C578" s="37" t="s">
        <v>412</v>
      </c>
      <c r="D578" s="37" t="s">
        <v>438</v>
      </c>
      <c r="E578" s="37" t="s">
        <v>79</v>
      </c>
      <c r="F578" s="37">
        <v>1</v>
      </c>
      <c r="G578" s="37"/>
      <c r="H578" s="87"/>
      <c r="I578" s="87">
        <v>46177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70</v>
      </c>
      <c r="N578">
        <f>_xlfn.ISOWEEKNUM(I578)</f>
        <v>23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575</v>
      </c>
      <c r="B579" s="35" t="s">
        <v>23</v>
      </c>
      <c r="C579" s="37" t="s">
        <v>412</v>
      </c>
      <c r="D579" s="37" t="s">
        <v>439</v>
      </c>
      <c r="E579" s="37" t="s">
        <v>79</v>
      </c>
      <c r="F579" s="37">
        <v>1</v>
      </c>
      <c r="G579" s="37"/>
      <c r="H579" s="87"/>
      <c r="I579" s="87">
        <v>46177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70</v>
      </c>
      <c r="N579">
        <f>_xlfn.ISOWEEKNUM(I579)</f>
        <v>23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576</v>
      </c>
      <c r="B580" s="35" t="s">
        <v>23</v>
      </c>
      <c r="C580" s="37" t="s">
        <v>412</v>
      </c>
      <c r="D580" s="37" t="s">
        <v>440</v>
      </c>
      <c r="E580" s="37" t="s">
        <v>79</v>
      </c>
      <c r="F580" s="37">
        <v>1</v>
      </c>
      <c r="G580" s="37"/>
      <c r="H580" s="87"/>
      <c r="I580" s="87">
        <v>46177</v>
      </c>
      <c r="J580" s="37" t="s">
        <v>4</v>
      </c>
      <c r="K580" s="38">
        <f>F580-G580</f>
        <v>1</v>
      </c>
      <c r="L580" s="39">
        <f>IF(F580=0,"",G580/F580)</f>
        <v>0</v>
      </c>
      <c r="M580" s="40">
        <f ca="1">I580-TODAY()</f>
        <v>70</v>
      </c>
      <c r="N580">
        <f>_xlfn.ISOWEEKNUM(I580)</f>
        <v>23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577</v>
      </c>
      <c r="B581" s="35" t="s">
        <v>23</v>
      </c>
      <c r="C581" s="37" t="s">
        <v>412</v>
      </c>
      <c r="D581" s="37" t="s">
        <v>441</v>
      </c>
      <c r="E581" s="37" t="s">
        <v>79</v>
      </c>
      <c r="F581" s="37">
        <v>1</v>
      </c>
      <c r="G581" s="37"/>
      <c r="H581" s="87"/>
      <c r="I581" s="87">
        <v>46177</v>
      </c>
      <c r="J581" s="37" t="s">
        <v>4</v>
      </c>
      <c r="K581" s="38">
        <f>F581-G581</f>
        <v>1</v>
      </c>
      <c r="L581" s="39">
        <f>IF(F581=0,"",G581/F581)</f>
        <v>0</v>
      </c>
      <c r="M581" s="40">
        <f ca="1">I581-TODAY()</f>
        <v>70</v>
      </c>
      <c r="N581">
        <f>_xlfn.ISOWEEKNUM(I581)</f>
        <v>23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578</v>
      </c>
      <c r="B582" s="35" t="s">
        <v>23</v>
      </c>
      <c r="C582" s="37" t="s">
        <v>412</v>
      </c>
      <c r="D582" s="37" t="s">
        <v>441</v>
      </c>
      <c r="E582" s="37" t="s">
        <v>84</v>
      </c>
      <c r="F582" s="37">
        <v>1</v>
      </c>
      <c r="G582" s="37"/>
      <c r="H582" s="87"/>
      <c r="I582" s="87">
        <v>46177</v>
      </c>
      <c r="J582" s="37" t="s">
        <v>4</v>
      </c>
      <c r="K582" s="38">
        <f>F582-G582</f>
        <v>1</v>
      </c>
      <c r="L582" s="39">
        <f>IF(F582=0,"",G582/F582)</f>
        <v>0</v>
      </c>
      <c r="M582" s="40">
        <f ca="1">I582-TODAY()</f>
        <v>70</v>
      </c>
      <c r="N582">
        <f>_xlfn.ISOWEEKNUM(I582)</f>
        <v>23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579</v>
      </c>
      <c r="B583" s="35" t="s">
        <v>23</v>
      </c>
      <c r="C583" s="37" t="s">
        <v>442</v>
      </c>
      <c r="D583" s="37" t="s">
        <v>443</v>
      </c>
      <c r="E583" s="37" t="s">
        <v>79</v>
      </c>
      <c r="F583" s="37">
        <v>2</v>
      </c>
      <c r="G583" s="37"/>
      <c r="H583" s="87"/>
      <c r="I583" s="87">
        <v>46170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63</v>
      </c>
      <c r="N583">
        <f>_xlfn.ISOWEEKNUM(I583)</f>
        <v>22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580</v>
      </c>
      <c r="B584" s="35" t="s">
        <v>23</v>
      </c>
      <c r="C584" s="37" t="s">
        <v>442</v>
      </c>
      <c r="D584" s="37" t="s">
        <v>443</v>
      </c>
      <c r="E584" s="37" t="s">
        <v>84</v>
      </c>
      <c r="F584" s="37">
        <v>1</v>
      </c>
      <c r="G584" s="37"/>
      <c r="H584" s="87"/>
      <c r="I584" s="87">
        <v>46170</v>
      </c>
      <c r="J584" s="37" t="s">
        <v>4</v>
      </c>
      <c r="K584" s="38">
        <f>F584-G584</f>
        <v>1</v>
      </c>
      <c r="L584" s="39">
        <f>IF(F584=0,"",G584/F584)</f>
        <v>0</v>
      </c>
      <c r="M584" s="40">
        <f ca="1">I584-TODAY()</f>
        <v>63</v>
      </c>
      <c r="N584">
        <f>_xlfn.ISOWEEKNUM(I584)</f>
        <v>22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581</v>
      </c>
      <c r="B585" s="35" t="s">
        <v>23</v>
      </c>
      <c r="C585" s="37" t="s">
        <v>442</v>
      </c>
      <c r="D585" s="37" t="s">
        <v>443</v>
      </c>
      <c r="E585" s="37" t="s">
        <v>120</v>
      </c>
      <c r="F585" s="37">
        <v>1</v>
      </c>
      <c r="G585" s="37"/>
      <c r="H585" s="87"/>
      <c r="I585" s="87">
        <v>46170</v>
      </c>
      <c r="J585" s="37" t="s">
        <v>4</v>
      </c>
      <c r="K585" s="38">
        <f>F585-G585</f>
        <v>1</v>
      </c>
      <c r="L585" s="39">
        <f>IF(F585=0,"",G585/F585)</f>
        <v>0</v>
      </c>
      <c r="M585" s="40">
        <f ca="1">I585-TODAY()</f>
        <v>63</v>
      </c>
      <c r="N585">
        <f>_xlfn.ISOWEEKNUM(I585)</f>
        <v>22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582</v>
      </c>
      <c r="B586" s="35" t="s">
        <v>23</v>
      </c>
      <c r="C586" s="37" t="s">
        <v>442</v>
      </c>
      <c r="D586" s="37" t="s">
        <v>444</v>
      </c>
      <c r="E586" s="37" t="s">
        <v>79</v>
      </c>
      <c r="F586" s="37">
        <v>1</v>
      </c>
      <c r="G586" s="37"/>
      <c r="H586" s="87"/>
      <c r="I586" s="87">
        <v>46170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63</v>
      </c>
      <c r="N586">
        <f>_xlfn.ISOWEEKNUM(I586)</f>
        <v>22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583</v>
      </c>
      <c r="B587" s="35" t="s">
        <v>23</v>
      </c>
      <c r="C587" s="37" t="s">
        <v>442</v>
      </c>
      <c r="D587" s="37" t="s">
        <v>444</v>
      </c>
      <c r="E587" s="37" t="s">
        <v>84</v>
      </c>
      <c r="F587" s="37">
        <v>1</v>
      </c>
      <c r="G587" s="37"/>
      <c r="H587" s="87"/>
      <c r="I587" s="87">
        <v>46170</v>
      </c>
      <c r="J587" s="37" t="s">
        <v>4</v>
      </c>
      <c r="K587" s="38">
        <f>F587-G587</f>
        <v>1</v>
      </c>
      <c r="L587" s="39">
        <f>IF(F587=0,"",G587/F587)</f>
        <v>0</v>
      </c>
      <c r="M587" s="40">
        <f ca="1">I587-TODAY()</f>
        <v>63</v>
      </c>
      <c r="N587">
        <f>_xlfn.ISOWEEKNUM(I587)</f>
        <v>22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584</v>
      </c>
      <c r="B588" s="35" t="s">
        <v>23</v>
      </c>
      <c r="C588" s="37" t="s">
        <v>442</v>
      </c>
      <c r="D588" s="37" t="s">
        <v>444</v>
      </c>
      <c r="E588" s="37" t="s">
        <v>118</v>
      </c>
      <c r="F588" s="37">
        <v>1</v>
      </c>
      <c r="G588" s="37"/>
      <c r="H588" s="87"/>
      <c r="I588" s="87">
        <v>46170</v>
      </c>
      <c r="J588" s="37" t="s">
        <v>4</v>
      </c>
      <c r="K588" s="38">
        <f>F588-G588</f>
        <v>1</v>
      </c>
      <c r="L588" s="39">
        <f>IF(F588=0,"",G588/F588)</f>
        <v>0</v>
      </c>
      <c r="M588" s="40">
        <f ca="1">I588-TODAY()</f>
        <v>63</v>
      </c>
      <c r="N588">
        <f>_xlfn.ISOWEEKNUM(I588)</f>
        <v>22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585</v>
      </c>
      <c r="B589" s="35" t="s">
        <v>23</v>
      </c>
      <c r="C589" s="37" t="s">
        <v>442</v>
      </c>
      <c r="D589" s="37" t="s">
        <v>445</v>
      </c>
      <c r="E589" s="37" t="s">
        <v>79</v>
      </c>
      <c r="F589" s="37">
        <v>1</v>
      </c>
      <c r="G589" s="37"/>
      <c r="H589" s="87"/>
      <c r="I589" s="87">
        <v>46170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63</v>
      </c>
      <c r="N589">
        <f>_xlfn.ISOWEEKNUM(I589)</f>
        <v>22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586</v>
      </c>
      <c r="B590" s="35" t="s">
        <v>23</v>
      </c>
      <c r="C590" s="37" t="s">
        <v>442</v>
      </c>
      <c r="D590" s="37" t="s">
        <v>445</v>
      </c>
      <c r="E590" s="37" t="s">
        <v>84</v>
      </c>
      <c r="F590" s="37">
        <v>1</v>
      </c>
      <c r="G590" s="37"/>
      <c r="H590" s="87"/>
      <c r="I590" s="87">
        <v>46170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63</v>
      </c>
      <c r="N590">
        <f>_xlfn.ISOWEEKNUM(I590)</f>
        <v>22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587</v>
      </c>
      <c r="B591" s="35" t="s">
        <v>23</v>
      </c>
      <c r="C591" s="37" t="s">
        <v>442</v>
      </c>
      <c r="D591" s="37" t="s">
        <v>445</v>
      </c>
      <c r="E591" s="37" t="s">
        <v>118</v>
      </c>
      <c r="F591" s="37">
        <v>1</v>
      </c>
      <c r="G591" s="37"/>
      <c r="H591" s="87"/>
      <c r="I591" s="87">
        <v>46170</v>
      </c>
      <c r="J591" s="37" t="s">
        <v>4</v>
      </c>
      <c r="K591" s="38">
        <f>F591-G591</f>
        <v>1</v>
      </c>
      <c r="L591" s="39">
        <f>IF(F591=0,"",G591/F591)</f>
        <v>0</v>
      </c>
      <c r="M591" s="40">
        <f ca="1">I591-TODAY()</f>
        <v>63</v>
      </c>
      <c r="N591">
        <f>_xlfn.ISOWEEKNUM(I591)</f>
        <v>22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588</v>
      </c>
      <c r="B592" s="35" t="s">
        <v>23</v>
      </c>
      <c r="C592" s="37" t="s">
        <v>442</v>
      </c>
      <c r="D592" s="37" t="s">
        <v>446</v>
      </c>
      <c r="E592" s="37" t="s">
        <v>79</v>
      </c>
      <c r="F592" s="37">
        <v>1</v>
      </c>
      <c r="G592" s="37"/>
      <c r="H592" s="87"/>
      <c r="I592" s="87">
        <v>46170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63</v>
      </c>
      <c r="N592">
        <f>_xlfn.ISOWEEKNUM(I592)</f>
        <v>22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589</v>
      </c>
      <c r="B593" s="35" t="s">
        <v>23</v>
      </c>
      <c r="C593" s="37" t="s">
        <v>442</v>
      </c>
      <c r="D593" s="37" t="s">
        <v>446</v>
      </c>
      <c r="E593" s="37" t="s">
        <v>84</v>
      </c>
      <c r="F593" s="37">
        <v>1</v>
      </c>
      <c r="G593" s="37"/>
      <c r="H593" s="87"/>
      <c r="I593" s="87">
        <v>46170</v>
      </c>
      <c r="J593" s="37" t="s">
        <v>4</v>
      </c>
      <c r="K593" s="38">
        <f>F593-G593</f>
        <v>1</v>
      </c>
      <c r="L593" s="39">
        <f>IF(F593=0,"",G593/F593)</f>
        <v>0</v>
      </c>
      <c r="M593" s="40">
        <f ca="1">I593-TODAY()</f>
        <v>63</v>
      </c>
      <c r="N593">
        <f>_xlfn.ISOWEEKNUM(I593)</f>
        <v>22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590</v>
      </c>
      <c r="B594" s="35" t="s">
        <v>23</v>
      </c>
      <c r="C594" s="37" t="s">
        <v>442</v>
      </c>
      <c r="D594" s="37" t="s">
        <v>446</v>
      </c>
      <c r="E594" s="37" t="s">
        <v>118</v>
      </c>
      <c r="F594" s="37">
        <v>1</v>
      </c>
      <c r="G594" s="37"/>
      <c r="H594" s="87"/>
      <c r="I594" s="87">
        <v>46170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63</v>
      </c>
      <c r="N594">
        <f>_xlfn.ISOWEEKNUM(I594)</f>
        <v>22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591</v>
      </c>
      <c r="B595" s="35" t="s">
        <v>23</v>
      </c>
      <c r="C595" s="37" t="s">
        <v>442</v>
      </c>
      <c r="D595" s="37" t="s">
        <v>447</v>
      </c>
      <c r="E595" s="37" t="s">
        <v>79</v>
      </c>
      <c r="F595" s="37">
        <v>1</v>
      </c>
      <c r="G595" s="37"/>
      <c r="H595" s="87"/>
      <c r="I595" s="87">
        <v>46171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64</v>
      </c>
      <c r="N595">
        <f>_xlfn.ISOWEEKNUM(I595)</f>
        <v>22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592</v>
      </c>
      <c r="B596" s="35" t="s">
        <v>23</v>
      </c>
      <c r="C596" s="37" t="s">
        <v>442</v>
      </c>
      <c r="D596" s="37" t="s">
        <v>447</v>
      </c>
      <c r="E596" s="37" t="s">
        <v>84</v>
      </c>
      <c r="F596" s="37">
        <v>2</v>
      </c>
      <c r="G596" s="37"/>
      <c r="H596" s="87"/>
      <c r="I596" s="87">
        <v>46171</v>
      </c>
      <c r="J596" s="37" t="s">
        <v>4</v>
      </c>
      <c r="K596" s="38">
        <f>F596-G596</f>
        <v>2</v>
      </c>
      <c r="L596" s="39">
        <f>IF(F596=0,"",G596/F596)</f>
        <v>0</v>
      </c>
      <c r="M596" s="40">
        <f ca="1">I596-TODAY()</f>
        <v>64</v>
      </c>
      <c r="N596">
        <f>_xlfn.ISOWEEKNUM(I596)</f>
        <v>22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593</v>
      </c>
      <c r="B597" s="35" t="s">
        <v>23</v>
      </c>
      <c r="C597" s="37" t="s">
        <v>442</v>
      </c>
      <c r="D597" s="37" t="s">
        <v>447</v>
      </c>
      <c r="E597" s="37" t="s">
        <v>118</v>
      </c>
      <c r="F597" s="37">
        <v>1</v>
      </c>
      <c r="G597" s="37"/>
      <c r="H597" s="87"/>
      <c r="I597" s="87">
        <v>46171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64</v>
      </c>
      <c r="N597">
        <f>_xlfn.ISOWEEKNUM(I597)</f>
        <v>22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594</v>
      </c>
      <c r="B598" s="35" t="s">
        <v>23</v>
      </c>
      <c r="C598" s="37" t="s">
        <v>442</v>
      </c>
      <c r="D598" s="37" t="s">
        <v>448</v>
      </c>
      <c r="E598" s="37" t="s">
        <v>79</v>
      </c>
      <c r="F598" s="37">
        <v>1</v>
      </c>
      <c r="G598" s="37"/>
      <c r="H598" s="87"/>
      <c r="I598" s="87">
        <v>46171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64</v>
      </c>
      <c r="N598">
        <f>_xlfn.ISOWEEKNUM(I598)</f>
        <v>22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595</v>
      </c>
      <c r="B599" s="35" t="s">
        <v>23</v>
      </c>
      <c r="C599" s="37" t="s">
        <v>442</v>
      </c>
      <c r="D599" s="37" t="s">
        <v>448</v>
      </c>
      <c r="E599" s="37" t="s">
        <v>84</v>
      </c>
      <c r="F599" s="37">
        <v>1</v>
      </c>
      <c r="G599" s="37"/>
      <c r="H599" s="87"/>
      <c r="I599" s="87">
        <v>46171</v>
      </c>
      <c r="J599" s="37" t="s">
        <v>4</v>
      </c>
      <c r="K599" s="38">
        <f>F599-G599</f>
        <v>1</v>
      </c>
      <c r="L599" s="39">
        <f>IF(F599=0,"",G599/F599)</f>
        <v>0</v>
      </c>
      <c r="M599" s="40">
        <f ca="1">I599-TODAY()</f>
        <v>64</v>
      </c>
      <c r="N599">
        <f>_xlfn.ISOWEEKNUM(I599)</f>
        <v>22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596</v>
      </c>
      <c r="B600" s="35" t="s">
        <v>23</v>
      </c>
      <c r="C600" s="37" t="s">
        <v>442</v>
      </c>
      <c r="D600" s="37" t="s">
        <v>449</v>
      </c>
      <c r="E600" s="37" t="s">
        <v>79</v>
      </c>
      <c r="F600" s="37">
        <v>1</v>
      </c>
      <c r="G600" s="37"/>
      <c r="H600" s="87"/>
      <c r="I600" s="87">
        <v>46171</v>
      </c>
      <c r="J600" s="37" t="s">
        <v>4</v>
      </c>
      <c r="K600" s="38">
        <f>F600-G600</f>
        <v>1</v>
      </c>
      <c r="L600" s="39">
        <f>IF(F600=0,"",G600/F600)</f>
        <v>0</v>
      </c>
      <c r="M600" s="40">
        <f ca="1">I600-TODAY()</f>
        <v>64</v>
      </c>
      <c r="N600">
        <f>_xlfn.ISOWEEKNUM(I600)</f>
        <v>22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597</v>
      </c>
      <c r="B601" s="35" t="s">
        <v>23</v>
      </c>
      <c r="C601" s="37" t="s">
        <v>442</v>
      </c>
      <c r="D601" s="37" t="s">
        <v>449</v>
      </c>
      <c r="E601" s="37" t="s">
        <v>84</v>
      </c>
      <c r="F601" s="37">
        <v>1</v>
      </c>
      <c r="G601" s="37"/>
      <c r="H601" s="87"/>
      <c r="I601" s="87">
        <v>46171</v>
      </c>
      <c r="J601" s="37" t="s">
        <v>4</v>
      </c>
      <c r="K601" s="38">
        <f>F601-G601</f>
        <v>1</v>
      </c>
      <c r="L601" s="39">
        <f>IF(F601=0,"",G601/F601)</f>
        <v>0</v>
      </c>
      <c r="M601" s="40">
        <f ca="1">I601-TODAY()</f>
        <v>64</v>
      </c>
      <c r="N601">
        <f>_xlfn.ISOWEEKNUM(I601)</f>
        <v>22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598</v>
      </c>
      <c r="B602" s="35" t="s">
        <v>23</v>
      </c>
      <c r="C602" s="37" t="s">
        <v>442</v>
      </c>
      <c r="D602" s="37" t="s">
        <v>450</v>
      </c>
      <c r="E602" s="37" t="s">
        <v>79</v>
      </c>
      <c r="F602" s="37">
        <v>1</v>
      </c>
      <c r="G602" s="37"/>
      <c r="H602" s="87"/>
      <c r="I602" s="87">
        <v>46171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64</v>
      </c>
      <c r="N602">
        <f>_xlfn.ISOWEEKNUM(I602)</f>
        <v>22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599</v>
      </c>
      <c r="B603" s="35" t="s">
        <v>23</v>
      </c>
      <c r="C603" s="37" t="s">
        <v>442</v>
      </c>
      <c r="D603" s="37" t="s">
        <v>450</v>
      </c>
      <c r="E603" s="37" t="s">
        <v>84</v>
      </c>
      <c r="F603" s="37">
        <v>1</v>
      </c>
      <c r="G603" s="37"/>
      <c r="H603" s="87"/>
      <c r="I603" s="87">
        <v>46171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64</v>
      </c>
      <c r="N603">
        <f>_xlfn.ISOWEEKNUM(I603)</f>
        <v>22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600</v>
      </c>
      <c r="B604" s="35" t="s">
        <v>23</v>
      </c>
      <c r="C604" s="37" t="s">
        <v>442</v>
      </c>
      <c r="D604" s="37" t="s">
        <v>451</v>
      </c>
      <c r="E604" s="37" t="s">
        <v>79</v>
      </c>
      <c r="F604" s="37">
        <v>1</v>
      </c>
      <c r="G604" s="37"/>
      <c r="H604" s="87"/>
      <c r="I604" s="87">
        <v>46171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64</v>
      </c>
      <c r="N604">
        <f>_xlfn.ISOWEEKNUM(I604)</f>
        <v>22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601</v>
      </c>
      <c r="B605" s="35" t="s">
        <v>23</v>
      </c>
      <c r="C605" s="37" t="s">
        <v>442</v>
      </c>
      <c r="D605" s="37" t="s">
        <v>451</v>
      </c>
      <c r="E605" s="37" t="s">
        <v>84</v>
      </c>
      <c r="F605" s="37">
        <v>1</v>
      </c>
      <c r="G605" s="37"/>
      <c r="H605" s="87"/>
      <c r="I605" s="87">
        <v>46171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64</v>
      </c>
      <c r="N605">
        <f>_xlfn.ISOWEEKNUM(I605)</f>
        <v>22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602</v>
      </c>
      <c r="B606" s="35" t="s">
        <v>23</v>
      </c>
      <c r="C606" s="37" t="s">
        <v>442</v>
      </c>
      <c r="D606" s="37" t="s">
        <v>452</v>
      </c>
      <c r="E606" s="37" t="s">
        <v>79</v>
      </c>
      <c r="F606" s="37">
        <v>1</v>
      </c>
      <c r="G606" s="37"/>
      <c r="H606" s="87"/>
      <c r="I606" s="87">
        <v>46174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67</v>
      </c>
      <c r="N606">
        <f>_xlfn.ISOWEEKNUM(I606)</f>
        <v>23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603</v>
      </c>
      <c r="B607" s="35" t="s">
        <v>23</v>
      </c>
      <c r="C607" s="37" t="s">
        <v>442</v>
      </c>
      <c r="D607" s="37" t="s">
        <v>452</v>
      </c>
      <c r="E607" s="37" t="s">
        <v>84</v>
      </c>
      <c r="F607" s="37">
        <v>1</v>
      </c>
      <c r="G607" s="37"/>
      <c r="H607" s="87"/>
      <c r="I607" s="87">
        <v>46174</v>
      </c>
      <c r="J607" s="37" t="s">
        <v>4</v>
      </c>
      <c r="K607" s="38">
        <f>F607-G607</f>
        <v>1</v>
      </c>
      <c r="L607" s="39">
        <f>IF(F607=0,"",G607/F607)</f>
        <v>0</v>
      </c>
      <c r="M607" s="40">
        <f ca="1">I607-TODAY()</f>
        <v>67</v>
      </c>
      <c r="N607">
        <f>_xlfn.ISOWEEKNUM(I607)</f>
        <v>23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604</v>
      </c>
      <c r="B608" s="35" t="s">
        <v>23</v>
      </c>
      <c r="C608" s="37" t="s">
        <v>442</v>
      </c>
      <c r="D608" s="37" t="s">
        <v>453</v>
      </c>
      <c r="E608" s="37" t="s">
        <v>79</v>
      </c>
      <c r="F608" s="37">
        <v>1</v>
      </c>
      <c r="G608" s="37"/>
      <c r="H608" s="87"/>
      <c r="I608" s="87">
        <v>46174</v>
      </c>
      <c r="J608" s="37" t="s">
        <v>4</v>
      </c>
      <c r="K608" s="38">
        <f>F608-G608</f>
        <v>1</v>
      </c>
      <c r="L608" s="39">
        <f>IF(F608=0,"",G608/F608)</f>
        <v>0</v>
      </c>
      <c r="M608" s="40">
        <f ca="1">I608-TODAY()</f>
        <v>67</v>
      </c>
      <c r="N608">
        <f>_xlfn.ISOWEEKNUM(I608)</f>
        <v>23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605</v>
      </c>
      <c r="B609" s="35" t="s">
        <v>23</v>
      </c>
      <c r="C609" s="37" t="s">
        <v>442</v>
      </c>
      <c r="D609" s="37" t="s">
        <v>453</v>
      </c>
      <c r="E609" s="37" t="s">
        <v>84</v>
      </c>
      <c r="F609" s="37">
        <v>1</v>
      </c>
      <c r="G609" s="37"/>
      <c r="H609" s="87"/>
      <c r="I609" s="87">
        <v>46174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67</v>
      </c>
      <c r="N609">
        <f>_xlfn.ISOWEEKNUM(I609)</f>
        <v>23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606</v>
      </c>
      <c r="B610" s="35" t="s">
        <v>23</v>
      </c>
      <c r="C610" s="37" t="s">
        <v>442</v>
      </c>
      <c r="D610" s="37" t="s">
        <v>454</v>
      </c>
      <c r="E610" s="37" t="s">
        <v>79</v>
      </c>
      <c r="F610" s="37">
        <v>2</v>
      </c>
      <c r="G610" s="37"/>
      <c r="H610" s="87"/>
      <c r="I610" s="87">
        <v>46174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67</v>
      </c>
      <c r="N610">
        <f>_xlfn.ISOWEEKNUM(I610)</f>
        <v>23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607</v>
      </c>
      <c r="B611" s="35" t="s">
        <v>23</v>
      </c>
      <c r="C611" s="37" t="s">
        <v>442</v>
      </c>
      <c r="D611" s="37" t="s">
        <v>454</v>
      </c>
      <c r="E611" s="37" t="s">
        <v>84</v>
      </c>
      <c r="F611" s="37">
        <v>2</v>
      </c>
      <c r="G611" s="37"/>
      <c r="H611" s="87"/>
      <c r="I611" s="87">
        <v>46174</v>
      </c>
      <c r="J611" s="37" t="s">
        <v>4</v>
      </c>
      <c r="K611" s="38">
        <f>F611-G611</f>
        <v>2</v>
      </c>
      <c r="L611" s="39">
        <f>IF(F611=0,"",G611/F611)</f>
        <v>0</v>
      </c>
      <c r="M611" s="40">
        <f ca="1">I611-TODAY()</f>
        <v>67</v>
      </c>
      <c r="N611">
        <f>_xlfn.ISOWEEKNUM(I611)</f>
        <v>23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608</v>
      </c>
      <c r="B612" s="35" t="s">
        <v>23</v>
      </c>
      <c r="C612" s="37" t="s">
        <v>442</v>
      </c>
      <c r="D612" s="37" t="s">
        <v>454</v>
      </c>
      <c r="E612" s="37" t="s">
        <v>118</v>
      </c>
      <c r="F612" s="37">
        <v>1</v>
      </c>
      <c r="G612" s="37"/>
      <c r="H612" s="87"/>
      <c r="I612" s="87">
        <v>46174</v>
      </c>
      <c r="J612" s="37" t="s">
        <v>4</v>
      </c>
      <c r="K612" s="38">
        <f>F612-G612</f>
        <v>1</v>
      </c>
      <c r="L612" s="39">
        <f>IF(F612=0,"",G612/F612)</f>
        <v>0</v>
      </c>
      <c r="M612" s="40">
        <f ca="1">I612-TODAY()</f>
        <v>67</v>
      </c>
      <c r="N612">
        <f>_xlfn.ISOWEEKNUM(I612)</f>
        <v>23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609</v>
      </c>
      <c r="B613" s="35" t="s">
        <v>23</v>
      </c>
      <c r="C613" s="37" t="s">
        <v>442</v>
      </c>
      <c r="D613" s="37" t="s">
        <v>455</v>
      </c>
      <c r="E613" s="37" t="s">
        <v>79</v>
      </c>
      <c r="F613" s="37">
        <v>1</v>
      </c>
      <c r="G613" s="37"/>
      <c r="H613" s="87"/>
      <c r="I613" s="87">
        <v>46174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67</v>
      </c>
      <c r="N613">
        <f>_xlfn.ISOWEEKNUM(I613)</f>
        <v>23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610</v>
      </c>
      <c r="B614" s="35" t="s">
        <v>23</v>
      </c>
      <c r="C614" s="37" t="s">
        <v>442</v>
      </c>
      <c r="D614" s="37" t="s">
        <v>455</v>
      </c>
      <c r="E614" s="37" t="s">
        <v>84</v>
      </c>
      <c r="F614" s="37">
        <v>1</v>
      </c>
      <c r="G614" s="37"/>
      <c r="H614" s="87"/>
      <c r="I614" s="87">
        <v>46174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67</v>
      </c>
      <c r="N614">
        <f>_xlfn.ISOWEEKNUM(I614)</f>
        <v>23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611</v>
      </c>
      <c r="B615" s="35" t="s">
        <v>23</v>
      </c>
      <c r="C615" s="37" t="s">
        <v>456</v>
      </c>
      <c r="D615" s="37" t="s">
        <v>457</v>
      </c>
      <c r="E615" s="37" t="s">
        <v>79</v>
      </c>
      <c r="F615" s="37">
        <v>2</v>
      </c>
      <c r="G615" s="37"/>
      <c r="H615" s="87"/>
      <c r="I615" s="87">
        <v>46175</v>
      </c>
      <c r="J615" s="37" t="s">
        <v>4</v>
      </c>
      <c r="K615" s="38">
        <f>F615-G615</f>
        <v>2</v>
      </c>
      <c r="L615" s="39">
        <f>IF(F615=0,"",G615/F615)</f>
        <v>0</v>
      </c>
      <c r="M615" s="40">
        <f ca="1">I615-TODAY()</f>
        <v>68</v>
      </c>
      <c r="N615">
        <f>_xlfn.ISOWEEKNUM(I615)</f>
        <v>23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612</v>
      </c>
      <c r="B616" s="35" t="s">
        <v>23</v>
      </c>
      <c r="C616" s="37" t="s">
        <v>456</v>
      </c>
      <c r="D616" s="37" t="s">
        <v>457</v>
      </c>
      <c r="E616" s="37" t="s">
        <v>84</v>
      </c>
      <c r="F616" s="37">
        <v>1</v>
      </c>
      <c r="G616" s="37"/>
      <c r="H616" s="87"/>
      <c r="I616" s="87">
        <v>46175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68</v>
      </c>
      <c r="N616">
        <f>_xlfn.ISOWEEKNUM(I616)</f>
        <v>23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613</v>
      </c>
      <c r="B617" s="35" t="s">
        <v>23</v>
      </c>
      <c r="C617" s="37" t="s">
        <v>456</v>
      </c>
      <c r="D617" s="37" t="s">
        <v>457</v>
      </c>
      <c r="E617" s="37" t="s">
        <v>118</v>
      </c>
      <c r="F617" s="37">
        <v>1</v>
      </c>
      <c r="G617" s="37"/>
      <c r="H617" s="87"/>
      <c r="I617" s="87">
        <v>46175</v>
      </c>
      <c r="J617" s="37" t="s">
        <v>4</v>
      </c>
      <c r="K617" s="38">
        <f>F617-G617</f>
        <v>1</v>
      </c>
      <c r="L617" s="39">
        <f>IF(F617=0,"",G617/F617)</f>
        <v>0</v>
      </c>
      <c r="M617" s="40">
        <f ca="1">I617-TODAY()</f>
        <v>68</v>
      </c>
      <c r="N617">
        <f>_xlfn.ISOWEEKNUM(I617)</f>
        <v>23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614</v>
      </c>
      <c r="B618" s="35" t="s">
        <v>23</v>
      </c>
      <c r="C618" s="37" t="s">
        <v>456</v>
      </c>
      <c r="D618" s="37" t="s">
        <v>458</v>
      </c>
      <c r="E618" s="37" t="s">
        <v>79</v>
      </c>
      <c r="F618" s="37">
        <v>1</v>
      </c>
      <c r="G618" s="37"/>
      <c r="H618" s="87"/>
      <c r="I618" s="87">
        <v>46175</v>
      </c>
      <c r="J618" s="37" t="s">
        <v>4</v>
      </c>
      <c r="K618" s="38">
        <f>F618-G618</f>
        <v>1</v>
      </c>
      <c r="L618" s="39">
        <f>IF(F618=0,"",G618/F618)</f>
        <v>0</v>
      </c>
      <c r="M618" s="40">
        <f ca="1">I618-TODAY()</f>
        <v>68</v>
      </c>
      <c r="N618">
        <f>_xlfn.ISOWEEKNUM(I618)</f>
        <v>23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615</v>
      </c>
      <c r="B619" s="35" t="s">
        <v>23</v>
      </c>
      <c r="C619" s="37" t="s">
        <v>456</v>
      </c>
      <c r="D619" s="37" t="s">
        <v>458</v>
      </c>
      <c r="E619" s="37" t="s">
        <v>84</v>
      </c>
      <c r="F619" s="37">
        <v>1</v>
      </c>
      <c r="G619" s="37"/>
      <c r="H619" s="87"/>
      <c r="I619" s="87">
        <v>46175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68</v>
      </c>
      <c r="N619">
        <f>_xlfn.ISOWEEKNUM(I619)</f>
        <v>23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616</v>
      </c>
      <c r="B620" s="35" t="s">
        <v>23</v>
      </c>
      <c r="C620" s="37" t="s">
        <v>456</v>
      </c>
      <c r="D620" s="37" t="s">
        <v>458</v>
      </c>
      <c r="E620" s="37" t="s">
        <v>118</v>
      </c>
      <c r="F620" s="37">
        <v>1</v>
      </c>
      <c r="G620" s="37"/>
      <c r="H620" s="87"/>
      <c r="I620" s="87">
        <v>46175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68</v>
      </c>
      <c r="N620">
        <f>_xlfn.ISOWEEKNUM(I620)</f>
        <v>23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617</v>
      </c>
      <c r="B621" s="35" t="s">
        <v>23</v>
      </c>
      <c r="C621" s="37" t="s">
        <v>456</v>
      </c>
      <c r="D621" s="37" t="s">
        <v>459</v>
      </c>
      <c r="E621" s="37" t="s">
        <v>79</v>
      </c>
      <c r="F621" s="37">
        <v>1</v>
      </c>
      <c r="G621" s="37"/>
      <c r="H621" s="87"/>
      <c r="I621" s="87">
        <v>46175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68</v>
      </c>
      <c r="N621">
        <f>_xlfn.ISOWEEKNUM(I621)</f>
        <v>23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618</v>
      </c>
      <c r="B622" s="35" t="s">
        <v>23</v>
      </c>
      <c r="C622" s="37" t="s">
        <v>456</v>
      </c>
      <c r="D622" s="37" t="s">
        <v>459</v>
      </c>
      <c r="E622" s="37" t="s">
        <v>84</v>
      </c>
      <c r="F622" s="37">
        <v>1</v>
      </c>
      <c r="G622" s="37"/>
      <c r="H622" s="87"/>
      <c r="I622" s="87">
        <v>46175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68</v>
      </c>
      <c r="N622">
        <f>_xlfn.ISOWEEKNUM(I622)</f>
        <v>23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619</v>
      </c>
      <c r="B623" s="35" t="s">
        <v>23</v>
      </c>
      <c r="C623" s="37" t="s">
        <v>456</v>
      </c>
      <c r="D623" s="37" t="s">
        <v>459</v>
      </c>
      <c r="E623" s="37" t="s">
        <v>118</v>
      </c>
      <c r="F623" s="37">
        <v>1</v>
      </c>
      <c r="G623" s="37"/>
      <c r="H623" s="87"/>
      <c r="I623" s="87">
        <v>46175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68</v>
      </c>
      <c r="N623">
        <f>_xlfn.ISOWEEKNUM(I623)</f>
        <v>23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620</v>
      </c>
      <c r="B624" s="35" t="s">
        <v>23</v>
      </c>
      <c r="C624" s="37" t="s">
        <v>456</v>
      </c>
      <c r="D624" s="37" t="s">
        <v>460</v>
      </c>
      <c r="E624" s="37" t="s">
        <v>79</v>
      </c>
      <c r="F624" s="37">
        <v>1</v>
      </c>
      <c r="G624" s="37"/>
      <c r="H624" s="87"/>
      <c r="I624" s="87">
        <v>46175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68</v>
      </c>
      <c r="N624">
        <f>_xlfn.ISOWEEKNUM(I624)</f>
        <v>23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621</v>
      </c>
      <c r="B625" s="35" t="s">
        <v>23</v>
      </c>
      <c r="C625" s="37" t="s">
        <v>456</v>
      </c>
      <c r="D625" s="37" t="s">
        <v>460</v>
      </c>
      <c r="E625" s="37" t="s">
        <v>84</v>
      </c>
      <c r="F625" s="37">
        <v>1</v>
      </c>
      <c r="G625" s="37"/>
      <c r="H625" s="87"/>
      <c r="I625" s="87">
        <v>46175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68</v>
      </c>
      <c r="N625">
        <f>_xlfn.ISOWEEKNUM(I625)</f>
        <v>23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622</v>
      </c>
      <c r="B626" s="35" t="s">
        <v>23</v>
      </c>
      <c r="C626" s="37" t="s">
        <v>456</v>
      </c>
      <c r="D626" s="37" t="s">
        <v>461</v>
      </c>
      <c r="E626" s="37" t="s">
        <v>79</v>
      </c>
      <c r="F626" s="37">
        <v>1</v>
      </c>
      <c r="G626" s="37"/>
      <c r="H626" s="87"/>
      <c r="I626" s="87">
        <v>46177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70</v>
      </c>
      <c r="N626">
        <f>_xlfn.ISOWEEKNUM(I626)</f>
        <v>23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623</v>
      </c>
      <c r="B627" s="35" t="s">
        <v>23</v>
      </c>
      <c r="C627" s="37" t="s">
        <v>456</v>
      </c>
      <c r="D627" s="37" t="s">
        <v>461</v>
      </c>
      <c r="E627" s="37" t="s">
        <v>84</v>
      </c>
      <c r="F627" s="37">
        <v>1</v>
      </c>
      <c r="G627" s="37"/>
      <c r="H627" s="87"/>
      <c r="I627" s="87">
        <v>46177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70</v>
      </c>
      <c r="N627">
        <f>_xlfn.ISOWEEKNUM(I627)</f>
        <v>23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624</v>
      </c>
      <c r="B628" s="35" t="s">
        <v>23</v>
      </c>
      <c r="C628" s="37" t="s">
        <v>456</v>
      </c>
      <c r="D628" s="37" t="s">
        <v>462</v>
      </c>
      <c r="E628" s="37" t="s">
        <v>79</v>
      </c>
      <c r="F628" s="37">
        <v>1</v>
      </c>
      <c r="G628" s="37"/>
      <c r="H628" s="87"/>
      <c r="I628" s="87">
        <v>46177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70</v>
      </c>
      <c r="N628">
        <f>_xlfn.ISOWEEKNUM(I628)</f>
        <v>23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625</v>
      </c>
      <c r="B629" s="35" t="s">
        <v>23</v>
      </c>
      <c r="C629" s="37" t="s">
        <v>456</v>
      </c>
      <c r="D629" s="37" t="s">
        <v>462</v>
      </c>
      <c r="E629" s="37" t="s">
        <v>84</v>
      </c>
      <c r="F629" s="37">
        <v>1</v>
      </c>
      <c r="G629" s="37"/>
      <c r="H629" s="87"/>
      <c r="I629" s="87">
        <v>46177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70</v>
      </c>
      <c r="N629">
        <f>_xlfn.ISOWEEKNUM(I629)</f>
        <v>23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626</v>
      </c>
      <c r="B630" s="35" t="s">
        <v>23</v>
      </c>
      <c r="C630" s="37" t="s">
        <v>456</v>
      </c>
      <c r="D630" s="37" t="s">
        <v>463</v>
      </c>
      <c r="E630" s="37" t="s">
        <v>79</v>
      </c>
      <c r="F630" s="37">
        <v>1</v>
      </c>
      <c r="G630" s="37"/>
      <c r="H630" s="87"/>
      <c r="I630" s="87">
        <v>46177</v>
      </c>
      <c r="J630" s="37" t="s">
        <v>4</v>
      </c>
      <c r="K630" s="38">
        <f>F630-G630</f>
        <v>1</v>
      </c>
      <c r="L630" s="39">
        <f>IF(F630=0,"",G630/F630)</f>
        <v>0</v>
      </c>
      <c r="M630" s="40">
        <f ca="1">I630-TODAY()</f>
        <v>70</v>
      </c>
      <c r="N630">
        <f>_xlfn.ISOWEEKNUM(I630)</f>
        <v>23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627</v>
      </c>
      <c r="B631" s="35" t="s">
        <v>23</v>
      </c>
      <c r="C631" s="37" t="s">
        <v>456</v>
      </c>
      <c r="D631" s="37" t="s">
        <v>463</v>
      </c>
      <c r="E631" s="37" t="s">
        <v>84</v>
      </c>
      <c r="F631" s="37">
        <v>1</v>
      </c>
      <c r="G631" s="37"/>
      <c r="H631" s="87"/>
      <c r="I631" s="87">
        <v>46177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70</v>
      </c>
      <c r="N631">
        <f>_xlfn.ISOWEEKNUM(I631)</f>
        <v>23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628</v>
      </c>
      <c r="B632" s="35" t="s">
        <v>23</v>
      </c>
      <c r="C632" s="37" t="s">
        <v>456</v>
      </c>
      <c r="D632" s="37" t="s">
        <v>464</v>
      </c>
      <c r="E632" s="37" t="s">
        <v>79</v>
      </c>
      <c r="F632" s="37">
        <v>1</v>
      </c>
      <c r="G632" s="37"/>
      <c r="H632" s="87"/>
      <c r="I632" s="87">
        <v>46177</v>
      </c>
      <c r="J632" s="37" t="s">
        <v>4</v>
      </c>
      <c r="K632" s="38">
        <f>F632-G632</f>
        <v>1</v>
      </c>
      <c r="L632" s="39">
        <f>IF(F632=0,"",G632/F632)</f>
        <v>0</v>
      </c>
      <c r="M632" s="40">
        <f ca="1">I632-TODAY()</f>
        <v>70</v>
      </c>
      <c r="N632">
        <f>_xlfn.ISOWEEKNUM(I632)</f>
        <v>23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629</v>
      </c>
      <c r="B633" s="35" t="s">
        <v>23</v>
      </c>
      <c r="C633" s="37" t="s">
        <v>456</v>
      </c>
      <c r="D633" s="37" t="s">
        <v>464</v>
      </c>
      <c r="E633" s="37" t="s">
        <v>84</v>
      </c>
      <c r="F633" s="37">
        <v>1</v>
      </c>
      <c r="G633" s="37"/>
      <c r="H633" s="87"/>
      <c r="I633" s="87">
        <v>46177</v>
      </c>
      <c r="J633" s="37" t="s">
        <v>4</v>
      </c>
      <c r="K633" s="38">
        <f>F633-G633</f>
        <v>1</v>
      </c>
      <c r="L633" s="39">
        <f>IF(F633=0,"",G633/F633)</f>
        <v>0</v>
      </c>
      <c r="M633" s="40">
        <f ca="1">I633-TODAY()</f>
        <v>70</v>
      </c>
      <c r="N633">
        <f>_xlfn.ISOWEEKNUM(I633)</f>
        <v>23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630</v>
      </c>
      <c r="B634" s="35" t="s">
        <v>23</v>
      </c>
      <c r="C634" s="37" t="s">
        <v>456</v>
      </c>
      <c r="D634" s="37" t="s">
        <v>464</v>
      </c>
      <c r="E634" s="37" t="s">
        <v>118</v>
      </c>
      <c r="F634" s="37">
        <v>1</v>
      </c>
      <c r="G634" s="37"/>
      <c r="H634" s="87"/>
      <c r="I634" s="87">
        <v>46177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70</v>
      </c>
      <c r="N634">
        <f>_xlfn.ISOWEEKNUM(I634)</f>
        <v>23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631</v>
      </c>
      <c r="B635" s="35" t="s">
        <v>23</v>
      </c>
      <c r="C635" s="37" t="s">
        <v>456</v>
      </c>
      <c r="D635" s="37" t="s">
        <v>465</v>
      </c>
      <c r="E635" s="37" t="s">
        <v>79</v>
      </c>
      <c r="F635" s="37">
        <v>1</v>
      </c>
      <c r="G635" s="37"/>
      <c r="H635" s="87"/>
      <c r="I635" s="87">
        <v>46177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70</v>
      </c>
      <c r="N635">
        <f>_xlfn.ISOWEEKNUM(I635)</f>
        <v>23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632</v>
      </c>
      <c r="B636" s="35" t="s">
        <v>23</v>
      </c>
      <c r="C636" s="37" t="s">
        <v>456</v>
      </c>
      <c r="D636" s="37" t="s">
        <v>465</v>
      </c>
      <c r="E636" s="37" t="s">
        <v>84</v>
      </c>
      <c r="F636" s="37">
        <v>1</v>
      </c>
      <c r="G636" s="37"/>
      <c r="H636" s="87"/>
      <c r="I636" s="87">
        <v>46177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70</v>
      </c>
      <c r="N636">
        <f>_xlfn.ISOWEEKNUM(I636)</f>
        <v>23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633</v>
      </c>
      <c r="B637" s="35" t="s">
        <v>23</v>
      </c>
      <c r="C637" s="36" t="s">
        <v>466</v>
      </c>
      <c r="D637" s="37" t="s">
        <v>73</v>
      </c>
      <c r="E637" s="37" t="s">
        <v>74</v>
      </c>
      <c r="F637" s="37">
        <v>11</v>
      </c>
      <c r="G637" s="37"/>
      <c r="H637" s="87"/>
      <c r="I637" s="87">
        <v>46177</v>
      </c>
      <c r="J637" s="37" t="s">
        <v>4</v>
      </c>
      <c r="K637" s="38">
        <f>F637-G637</f>
        <v>11</v>
      </c>
      <c r="L637" s="39">
        <f>IF(F637=0,"",G637/F637)</f>
        <v>0</v>
      </c>
      <c r="M637" s="40">
        <f ca="1">I637-TODAY()</f>
        <v>70</v>
      </c>
      <c r="N637">
        <f>_xlfn.ISOWEEKNUM(I637)</f>
        <v>23</v>
      </c>
      <c r="O637" t="str">
        <f>IF(ISNUMBER(SEARCH("Access Point",E637)),"AP",IF(OR(ISNUMBER(SEARCH("Switch",E637)),ISNUMBER(SEARCH("Control Type",E637))),"Switch","Infra"))</f>
        <v>AP</v>
      </c>
    </row>
    <row r="638" spans="1:15" ht="14.25" customHeight="1">
      <c r="A638">
        <v>634</v>
      </c>
      <c r="B638" s="35" t="s">
        <v>23</v>
      </c>
      <c r="C638" s="36" t="s">
        <v>466</v>
      </c>
      <c r="D638" s="37" t="s">
        <v>227</v>
      </c>
      <c r="E638" s="37" t="s">
        <v>118</v>
      </c>
      <c r="F638" s="37">
        <v>1</v>
      </c>
      <c r="G638" s="37"/>
      <c r="H638" s="87"/>
      <c r="I638" s="87">
        <v>46178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71</v>
      </c>
      <c r="N638">
        <f>_xlfn.ISOWEEKNUM(I638)</f>
        <v>23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635</v>
      </c>
      <c r="B639" s="35" t="s">
        <v>23</v>
      </c>
      <c r="C639" s="36" t="s">
        <v>466</v>
      </c>
      <c r="D639" s="37" t="s">
        <v>467</v>
      </c>
      <c r="E639" s="37" t="s">
        <v>79</v>
      </c>
      <c r="F639" s="37">
        <v>1</v>
      </c>
      <c r="G639" s="37"/>
      <c r="H639" s="87"/>
      <c r="I639" s="87">
        <v>46178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71</v>
      </c>
      <c r="N639">
        <f>_xlfn.ISOWEEKNUM(I639)</f>
        <v>23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636</v>
      </c>
      <c r="B640" s="35" t="s">
        <v>23</v>
      </c>
      <c r="C640" s="36" t="s">
        <v>466</v>
      </c>
      <c r="D640" s="37" t="s">
        <v>468</v>
      </c>
      <c r="E640" s="37" t="s">
        <v>79</v>
      </c>
      <c r="F640" s="37">
        <v>1</v>
      </c>
      <c r="G640" s="37"/>
      <c r="H640" s="87"/>
      <c r="I640" s="87">
        <v>46181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74</v>
      </c>
      <c r="N640">
        <f>_xlfn.ISOWEEKNUM(I640)</f>
        <v>24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637</v>
      </c>
      <c r="B641" s="35" t="s">
        <v>23</v>
      </c>
      <c r="C641" s="36" t="s">
        <v>466</v>
      </c>
      <c r="D641" s="37" t="s">
        <v>468</v>
      </c>
      <c r="E641" s="37" t="s">
        <v>84</v>
      </c>
      <c r="F641" s="37">
        <v>1</v>
      </c>
      <c r="G641" s="37"/>
      <c r="H641" s="87"/>
      <c r="I641" s="87">
        <v>46181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74</v>
      </c>
      <c r="N641">
        <f>_xlfn.ISOWEEKNUM(I641)</f>
        <v>24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638</v>
      </c>
      <c r="B642" s="35" t="s">
        <v>23</v>
      </c>
      <c r="C642" s="36" t="s">
        <v>466</v>
      </c>
      <c r="D642" s="37" t="s">
        <v>469</v>
      </c>
      <c r="E642" s="37" t="s">
        <v>79</v>
      </c>
      <c r="F642" s="37">
        <v>1</v>
      </c>
      <c r="G642" s="37"/>
      <c r="H642" s="87"/>
      <c r="I642" s="87">
        <v>46181</v>
      </c>
      <c r="J642" s="37" t="s">
        <v>4</v>
      </c>
      <c r="K642" s="38">
        <f>F642-G642</f>
        <v>1</v>
      </c>
      <c r="L642" s="39">
        <f>IF(F642=0,"",G642/F642)</f>
        <v>0</v>
      </c>
      <c r="M642" s="40">
        <f ca="1">I642-TODAY()</f>
        <v>74</v>
      </c>
      <c r="N642">
        <f>_xlfn.ISOWEEKNUM(I642)</f>
        <v>24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639</v>
      </c>
      <c r="B643" s="35" t="s">
        <v>23</v>
      </c>
      <c r="C643" s="36" t="s">
        <v>466</v>
      </c>
      <c r="D643" s="37" t="s">
        <v>469</v>
      </c>
      <c r="E643" s="37" t="s">
        <v>84</v>
      </c>
      <c r="F643" s="37">
        <v>1</v>
      </c>
      <c r="G643" s="37"/>
      <c r="H643" s="87"/>
      <c r="I643" s="87">
        <v>46181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74</v>
      </c>
      <c r="N643">
        <f>_xlfn.ISOWEEKNUM(I643)</f>
        <v>24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640</v>
      </c>
      <c r="B644" s="35" t="s">
        <v>23</v>
      </c>
      <c r="C644" s="36" t="s">
        <v>470</v>
      </c>
      <c r="D644" s="37" t="s">
        <v>471</v>
      </c>
      <c r="E644" s="37" t="s">
        <v>79</v>
      </c>
      <c r="F644" s="37">
        <v>2</v>
      </c>
      <c r="G644" s="37"/>
      <c r="H644" s="87"/>
      <c r="I644" s="87">
        <v>46177</v>
      </c>
      <c r="J644" s="37" t="s">
        <v>4</v>
      </c>
      <c r="K644" s="38">
        <f>F644-G644</f>
        <v>2</v>
      </c>
      <c r="L644" s="39">
        <f>IF(F644=0,"",G644/F644)</f>
        <v>0</v>
      </c>
      <c r="M644" s="40">
        <f ca="1">I644-TODAY()</f>
        <v>70</v>
      </c>
      <c r="N644">
        <f>_xlfn.ISOWEEKNUM(I644)</f>
        <v>23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641</v>
      </c>
      <c r="B645" s="35" t="s">
        <v>23</v>
      </c>
      <c r="C645" s="36" t="s">
        <v>470</v>
      </c>
      <c r="D645" s="37" t="s">
        <v>471</v>
      </c>
      <c r="E645" s="37" t="s">
        <v>84</v>
      </c>
      <c r="F645" s="37">
        <v>1</v>
      </c>
      <c r="G645" s="37"/>
      <c r="H645" s="87"/>
      <c r="I645" s="87">
        <v>46177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70</v>
      </c>
      <c r="N645">
        <f>_xlfn.ISOWEEKNUM(I645)</f>
        <v>23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642</v>
      </c>
      <c r="B646" s="35" t="s">
        <v>23</v>
      </c>
      <c r="C646" s="37" t="s">
        <v>472</v>
      </c>
      <c r="D646" s="37" t="s">
        <v>472</v>
      </c>
      <c r="E646" s="37" t="s">
        <v>79</v>
      </c>
      <c r="F646" s="37">
        <v>1</v>
      </c>
      <c r="G646" s="37"/>
      <c r="H646" s="87"/>
      <c r="I646" s="87">
        <v>46178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71</v>
      </c>
      <c r="N646">
        <f>_xlfn.ISOWEEKNUM(I646)</f>
        <v>23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643</v>
      </c>
      <c r="B647" s="35" t="s">
        <v>23</v>
      </c>
      <c r="C647" s="37" t="s">
        <v>472</v>
      </c>
      <c r="D647" s="37" t="s">
        <v>472</v>
      </c>
      <c r="E647" s="37" t="s">
        <v>84</v>
      </c>
      <c r="F647" s="37">
        <v>1</v>
      </c>
      <c r="G647" s="37"/>
      <c r="H647" s="87"/>
      <c r="I647" s="87">
        <v>46178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71</v>
      </c>
      <c r="N647">
        <f>_xlfn.ISOWEEKNUM(I647)</f>
        <v>23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644</v>
      </c>
      <c r="B648" s="35" t="s">
        <v>23</v>
      </c>
      <c r="C648" s="36" t="s">
        <v>473</v>
      </c>
      <c r="D648" s="37" t="s">
        <v>471</v>
      </c>
      <c r="E648" s="37" t="s">
        <v>79</v>
      </c>
      <c r="F648" s="37">
        <v>1</v>
      </c>
      <c r="G648" s="37"/>
      <c r="H648" s="87"/>
      <c r="I648" s="87">
        <v>46178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71</v>
      </c>
      <c r="N648">
        <f>_xlfn.ISOWEEKNUM(I648)</f>
        <v>23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645</v>
      </c>
      <c r="B649" s="35" t="s">
        <v>23</v>
      </c>
      <c r="C649" s="36" t="s">
        <v>473</v>
      </c>
      <c r="D649" s="37" t="s">
        <v>471</v>
      </c>
      <c r="E649" s="37" t="s">
        <v>84</v>
      </c>
      <c r="F649" s="37">
        <v>1</v>
      </c>
      <c r="G649" s="37"/>
      <c r="H649" s="87"/>
      <c r="I649" s="87">
        <v>46178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71</v>
      </c>
      <c r="N649">
        <f>_xlfn.ISOWEEKNUM(I649)</f>
        <v>23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646</v>
      </c>
      <c r="B650" s="35" t="s">
        <v>23</v>
      </c>
      <c r="C650" s="37" t="s">
        <v>474</v>
      </c>
      <c r="D650" s="36" t="s">
        <v>475</v>
      </c>
      <c r="E650" s="37" t="s">
        <v>79</v>
      </c>
      <c r="F650" s="37">
        <v>1</v>
      </c>
      <c r="G650" s="37"/>
      <c r="H650" s="87"/>
      <c r="I650" s="87">
        <v>46178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71</v>
      </c>
      <c r="N650">
        <f>_xlfn.ISOWEEKNUM(I650)</f>
        <v>23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647</v>
      </c>
      <c r="B651" s="35" t="s">
        <v>23</v>
      </c>
      <c r="C651" s="36" t="s">
        <v>476</v>
      </c>
      <c r="D651" s="37" t="s">
        <v>477</v>
      </c>
      <c r="E651" s="37" t="s">
        <v>79</v>
      </c>
      <c r="F651" s="37">
        <v>1</v>
      </c>
      <c r="G651" s="37"/>
      <c r="H651" s="87"/>
      <c r="I651" s="87">
        <v>46178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71</v>
      </c>
      <c r="N651">
        <f>_xlfn.ISOWEEKNUM(I651)</f>
        <v>23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648</v>
      </c>
      <c r="B652" s="35" t="s">
        <v>23</v>
      </c>
      <c r="C652" s="36" t="s">
        <v>478</v>
      </c>
      <c r="D652" s="37" t="s">
        <v>479</v>
      </c>
      <c r="E652" s="37" t="s">
        <v>79</v>
      </c>
      <c r="F652" s="37">
        <v>1</v>
      </c>
      <c r="G652" s="37"/>
      <c r="H652" s="87"/>
      <c r="I652" s="87">
        <v>46178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71</v>
      </c>
      <c r="N652">
        <f>_xlfn.ISOWEEKNUM(I652)</f>
        <v>23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649</v>
      </c>
      <c r="B653" s="35" t="s">
        <v>24</v>
      </c>
      <c r="C653" s="37" t="s">
        <v>24</v>
      </c>
      <c r="D653" s="37" t="s">
        <v>73</v>
      </c>
      <c r="E653" s="37" t="s">
        <v>74</v>
      </c>
      <c r="F653" s="37">
        <v>25</v>
      </c>
      <c r="G653" s="37"/>
      <c r="H653" s="87"/>
      <c r="I653" s="87">
        <v>46182</v>
      </c>
      <c r="J653" s="37" t="s">
        <v>4</v>
      </c>
      <c r="K653" s="38">
        <f>F653-G653</f>
        <v>25</v>
      </c>
      <c r="L653" s="39">
        <f>IF(F653=0,"",G653/F653)</f>
        <v>0</v>
      </c>
      <c r="M653" s="40">
        <f ca="1">I653-TODAY()</f>
        <v>75</v>
      </c>
      <c r="N653">
        <f>_xlfn.ISOWEEKNUM(I653)</f>
        <v>24</v>
      </c>
      <c r="O653" t="str">
        <f>IF(ISNUMBER(SEARCH("Access Point",E653)),"AP",IF(OR(ISNUMBER(SEARCH("Switch",E653)),ISNUMBER(SEARCH("Control Type",E653))),"Switch","Infra"))</f>
        <v>AP</v>
      </c>
    </row>
    <row r="654" spans="1:15" ht="14.25" customHeight="1">
      <c r="A654">
        <v>650</v>
      </c>
      <c r="B654" s="35" t="s">
        <v>24</v>
      </c>
      <c r="C654" s="37" t="s">
        <v>24</v>
      </c>
      <c r="D654" s="37" t="s">
        <v>480</v>
      </c>
      <c r="E654" s="37" t="s">
        <v>79</v>
      </c>
      <c r="F654" s="37">
        <v>2</v>
      </c>
      <c r="G654" s="37"/>
      <c r="H654" s="87"/>
      <c r="I654" s="87">
        <v>46184</v>
      </c>
      <c r="J654" s="37" t="s">
        <v>4</v>
      </c>
      <c r="K654" s="38">
        <f>F654-G654</f>
        <v>2</v>
      </c>
      <c r="L654" s="39">
        <f>IF(F654=0,"",G654/F654)</f>
        <v>0</v>
      </c>
      <c r="M654" s="40">
        <f ca="1">I654-TODAY()</f>
        <v>77</v>
      </c>
      <c r="N654">
        <f>_xlfn.ISOWEEKNUM(I654)</f>
        <v>24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651</v>
      </c>
      <c r="B655" s="35" t="s">
        <v>24</v>
      </c>
      <c r="C655" s="37" t="s">
        <v>24</v>
      </c>
      <c r="D655" s="37" t="s">
        <v>481</v>
      </c>
      <c r="E655" s="37" t="s">
        <v>79</v>
      </c>
      <c r="F655" s="37">
        <v>4</v>
      </c>
      <c r="G655" s="37"/>
      <c r="H655" s="87"/>
      <c r="I655" s="87">
        <v>46184</v>
      </c>
      <c r="J655" s="37" t="s">
        <v>4</v>
      </c>
      <c r="K655" s="38">
        <f>F655-G655</f>
        <v>4</v>
      </c>
      <c r="L655" s="39">
        <f>IF(F655=0,"",G655/F655)</f>
        <v>0</v>
      </c>
      <c r="M655" s="40">
        <f ca="1">I655-TODAY()</f>
        <v>77</v>
      </c>
      <c r="N655">
        <f>_xlfn.ISOWEEKNUM(I655)</f>
        <v>24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652</v>
      </c>
      <c r="B656" s="35" t="s">
        <v>24</v>
      </c>
      <c r="C656" s="37" t="s">
        <v>24</v>
      </c>
      <c r="D656" s="37" t="s">
        <v>482</v>
      </c>
      <c r="E656" s="37" t="s">
        <v>84</v>
      </c>
      <c r="F656" s="37">
        <v>3</v>
      </c>
      <c r="G656" s="37"/>
      <c r="H656" s="87"/>
      <c r="I656" s="87">
        <v>46184</v>
      </c>
      <c r="J656" s="37" t="s">
        <v>4</v>
      </c>
      <c r="K656" s="38">
        <f>F656-G656</f>
        <v>3</v>
      </c>
      <c r="L656" s="39">
        <f>IF(F656=0,"",G656/F656)</f>
        <v>0</v>
      </c>
      <c r="M656" s="40">
        <f ca="1">I656-TODAY()</f>
        <v>77</v>
      </c>
      <c r="N656">
        <f>_xlfn.ISOWEEKNUM(I656)</f>
        <v>24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653</v>
      </c>
      <c r="B657" s="35" t="s">
        <v>24</v>
      </c>
      <c r="C657" s="37" t="s">
        <v>24</v>
      </c>
      <c r="D657" s="37" t="s">
        <v>483</v>
      </c>
      <c r="E657" s="37" t="s">
        <v>84</v>
      </c>
      <c r="F657" s="37">
        <v>1</v>
      </c>
      <c r="G657" s="37"/>
      <c r="H657" s="87"/>
      <c r="I657" s="87">
        <v>46184</v>
      </c>
      <c r="J657" s="37" t="s">
        <v>4</v>
      </c>
      <c r="K657" s="38">
        <f>F657-G657</f>
        <v>1</v>
      </c>
      <c r="L657" s="39">
        <f>IF(F657=0,"",G657/F657)</f>
        <v>0</v>
      </c>
      <c r="M657" s="40">
        <f ca="1">I657-TODAY()</f>
        <v>77</v>
      </c>
      <c r="N657">
        <f>_xlfn.ISOWEEKNUM(I657)</f>
        <v>24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654</v>
      </c>
      <c r="B658" s="35" t="s">
        <v>24</v>
      </c>
      <c r="C658" s="37" t="s">
        <v>24</v>
      </c>
      <c r="D658" s="37" t="s">
        <v>484</v>
      </c>
      <c r="E658" s="37" t="s">
        <v>126</v>
      </c>
      <c r="F658" s="37">
        <v>2</v>
      </c>
      <c r="G658" s="37"/>
      <c r="H658" s="87"/>
      <c r="I658" s="87">
        <v>46184</v>
      </c>
      <c r="J658" s="37" t="s">
        <v>4</v>
      </c>
      <c r="K658" s="38">
        <f>F658-G658</f>
        <v>2</v>
      </c>
      <c r="L658" s="39">
        <f>IF(F658=0,"",G658/F658)</f>
        <v>0</v>
      </c>
      <c r="M658" s="40">
        <f ca="1">I658-TODAY()</f>
        <v>77</v>
      </c>
      <c r="N658">
        <f>_xlfn.ISOWEEKNUM(I658)</f>
        <v>24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655</v>
      </c>
      <c r="B659" s="35" t="s">
        <v>24</v>
      </c>
      <c r="C659" s="37" t="s">
        <v>24</v>
      </c>
      <c r="D659" s="37" t="s">
        <v>485</v>
      </c>
      <c r="E659" s="37" t="s">
        <v>83</v>
      </c>
      <c r="F659" s="37">
        <v>1</v>
      </c>
      <c r="G659" s="37"/>
      <c r="H659" s="87"/>
      <c r="I659" s="87">
        <v>46185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78</v>
      </c>
      <c r="N659">
        <f>_xlfn.ISOWEEKNUM(I659)</f>
        <v>24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656</v>
      </c>
      <c r="B660" s="35" t="s">
        <v>24</v>
      </c>
      <c r="C660" s="37" t="s">
        <v>24</v>
      </c>
      <c r="D660" s="37" t="s">
        <v>485</v>
      </c>
      <c r="E660" s="37" t="s">
        <v>129</v>
      </c>
      <c r="F660" s="37">
        <v>2</v>
      </c>
      <c r="G660" s="37">
        <v>2</v>
      </c>
      <c r="H660" s="87">
        <v>46063</v>
      </c>
      <c r="I660" s="87">
        <v>46063</v>
      </c>
      <c r="J660" s="37" t="s">
        <v>77</v>
      </c>
      <c r="K660" s="38">
        <f>F660-G660</f>
        <v>0</v>
      </c>
      <c r="L660" s="39">
        <f>IF(F660=0,"",G660/F660)</f>
        <v>1</v>
      </c>
      <c r="M660" s="40">
        <f ca="1">I660-TODAY()</f>
        <v>-44</v>
      </c>
      <c r="N660">
        <f>_xlfn.ISOWEEKNUM(I660)</f>
        <v>7</v>
      </c>
      <c r="O660" t="str">
        <f>IF(ISNUMBER(SEARCH("Access Point",E660)),"AP",IF(OR(ISNUMBER(SEARCH("Switch",E660)),ISNUMBER(SEARCH("Control Type",E660))),"Switch","Infra"))</f>
        <v>Infra</v>
      </c>
    </row>
    <row r="661" spans="1:15" ht="14.25" customHeight="1">
      <c r="A661">
        <v>657</v>
      </c>
      <c r="B661" s="35" t="s">
        <v>24</v>
      </c>
      <c r="C661" s="37" t="s">
        <v>24</v>
      </c>
      <c r="D661" s="37" t="s">
        <v>486</v>
      </c>
      <c r="E661" s="37" t="s">
        <v>83</v>
      </c>
      <c r="F661" s="37">
        <v>2</v>
      </c>
      <c r="G661" s="37"/>
      <c r="H661" s="87"/>
      <c r="I661" s="87">
        <v>46185</v>
      </c>
      <c r="J661" s="37" t="s">
        <v>4</v>
      </c>
      <c r="K661" s="38">
        <f>F661-G661</f>
        <v>2</v>
      </c>
      <c r="L661" s="39">
        <f>IF(F661=0,"",G661/F661)</f>
        <v>0</v>
      </c>
      <c r="M661" s="40">
        <f ca="1">I661-TODAY()</f>
        <v>78</v>
      </c>
      <c r="N661">
        <f>_xlfn.ISOWEEKNUM(I661)</f>
        <v>24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658</v>
      </c>
      <c r="B662" s="35" t="s">
        <v>24</v>
      </c>
      <c r="C662" s="37" t="s">
        <v>24</v>
      </c>
      <c r="D662" s="36" t="s">
        <v>487</v>
      </c>
      <c r="E662" s="37" t="s">
        <v>84</v>
      </c>
      <c r="F662" s="37">
        <v>1</v>
      </c>
      <c r="G662" s="37"/>
      <c r="H662" s="87"/>
      <c r="I662" s="87">
        <v>46185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78</v>
      </c>
      <c r="N662">
        <f>_xlfn.ISOWEEKNUM(I662)</f>
        <v>24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659</v>
      </c>
      <c r="B663" s="35" t="s">
        <v>24</v>
      </c>
      <c r="C663" s="37" t="s">
        <v>24</v>
      </c>
      <c r="D663" s="36" t="s">
        <v>488</v>
      </c>
      <c r="E663" s="37" t="s">
        <v>120</v>
      </c>
      <c r="F663" s="37">
        <v>1</v>
      </c>
      <c r="G663" s="37"/>
      <c r="H663" s="87"/>
      <c r="I663" s="87">
        <v>46185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78</v>
      </c>
      <c r="N663">
        <f>_xlfn.ISOWEEKNUM(I663)</f>
        <v>24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660</v>
      </c>
      <c r="B664" s="35" t="s">
        <v>24</v>
      </c>
      <c r="C664" s="37" t="s">
        <v>24</v>
      </c>
      <c r="D664" s="36" t="s">
        <v>489</v>
      </c>
      <c r="E664" s="37" t="s">
        <v>84</v>
      </c>
      <c r="F664" s="37">
        <v>1</v>
      </c>
      <c r="G664" s="37"/>
      <c r="H664" s="87"/>
      <c r="I664" s="87">
        <v>46185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78</v>
      </c>
      <c r="N664">
        <f>_xlfn.ISOWEEKNUM(I664)</f>
        <v>24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661</v>
      </c>
      <c r="B665" s="35" t="s">
        <v>24</v>
      </c>
      <c r="C665" s="37" t="s">
        <v>24</v>
      </c>
      <c r="D665" s="36" t="s">
        <v>490</v>
      </c>
      <c r="E665" s="37" t="s">
        <v>84</v>
      </c>
      <c r="F665" s="37">
        <v>1</v>
      </c>
      <c r="G665" s="37"/>
      <c r="H665" s="87"/>
      <c r="I665" s="87">
        <v>46185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78</v>
      </c>
      <c r="N665">
        <f>_xlfn.ISOWEEKNUM(I665)</f>
        <v>24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662</v>
      </c>
      <c r="B666" s="35" t="s">
        <v>24</v>
      </c>
      <c r="C666" s="37" t="s">
        <v>24</v>
      </c>
      <c r="D666" s="36" t="s">
        <v>491</v>
      </c>
      <c r="E666" s="37" t="s">
        <v>84</v>
      </c>
      <c r="F666" s="37">
        <v>2</v>
      </c>
      <c r="G666" s="37"/>
      <c r="H666" s="87"/>
      <c r="I666" s="87">
        <v>46185</v>
      </c>
      <c r="J666" s="37" t="s">
        <v>4</v>
      </c>
      <c r="K666" s="38">
        <f>F666-G666</f>
        <v>2</v>
      </c>
      <c r="L666" s="39">
        <f>IF(F666=0,"",G666/F666)</f>
        <v>0</v>
      </c>
      <c r="M666" s="40">
        <f ca="1">I666-TODAY()</f>
        <v>78</v>
      </c>
      <c r="N666">
        <f>_xlfn.ISOWEEKNUM(I666)</f>
        <v>24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663</v>
      </c>
      <c r="B667" s="35" t="s">
        <v>24</v>
      </c>
      <c r="C667" s="37" t="s">
        <v>24</v>
      </c>
      <c r="D667" s="36" t="s">
        <v>492</v>
      </c>
      <c r="E667" s="37" t="s">
        <v>84</v>
      </c>
      <c r="F667" s="37">
        <v>1</v>
      </c>
      <c r="G667" s="37"/>
      <c r="H667" s="87"/>
      <c r="I667" s="87">
        <v>46188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81</v>
      </c>
      <c r="N667">
        <f>_xlfn.ISOWEEKNUM(I667)</f>
        <v>25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664</v>
      </c>
      <c r="B668" s="35" t="s">
        <v>24</v>
      </c>
      <c r="C668" s="36" t="s">
        <v>493</v>
      </c>
      <c r="D668" s="37" t="s">
        <v>73</v>
      </c>
      <c r="E668" s="37" t="s">
        <v>74</v>
      </c>
      <c r="F668" s="37">
        <v>5</v>
      </c>
      <c r="G668" s="37"/>
      <c r="H668" s="87"/>
      <c r="I668" s="87">
        <v>46182</v>
      </c>
      <c r="J668" s="37" t="s">
        <v>4</v>
      </c>
      <c r="K668" s="38">
        <f>F668-G668</f>
        <v>5</v>
      </c>
      <c r="L668" s="39">
        <f>IF(F668=0,"",G668/F668)</f>
        <v>0</v>
      </c>
      <c r="M668" s="40">
        <f ca="1">I668-TODAY()</f>
        <v>75</v>
      </c>
      <c r="N668">
        <f>_xlfn.ISOWEEKNUM(I668)</f>
        <v>24</v>
      </c>
      <c r="O668" t="str">
        <f>IF(ISNUMBER(SEARCH("Access Point",E668)),"AP",IF(OR(ISNUMBER(SEARCH("Switch",E668)),ISNUMBER(SEARCH("Control Type",E668))),"Switch","Infra"))</f>
        <v>AP</v>
      </c>
    </row>
    <row r="669" spans="1:15" ht="14.25" customHeight="1">
      <c r="A669">
        <v>665</v>
      </c>
      <c r="B669" s="35" t="s">
        <v>24</v>
      </c>
      <c r="C669" s="36" t="s">
        <v>493</v>
      </c>
      <c r="D669" s="37" t="s">
        <v>494</v>
      </c>
      <c r="E669" s="37" t="s">
        <v>79</v>
      </c>
      <c r="F669" s="37">
        <v>3</v>
      </c>
      <c r="G669" s="37"/>
      <c r="H669" s="87"/>
      <c r="I669" s="87">
        <v>46182</v>
      </c>
      <c r="J669" s="37" t="s">
        <v>4</v>
      </c>
      <c r="K669" s="38">
        <f>F669-G669</f>
        <v>3</v>
      </c>
      <c r="L669" s="39">
        <f>IF(F669=0,"",G669/F669)</f>
        <v>0</v>
      </c>
      <c r="M669" s="40">
        <f ca="1">I669-TODAY()</f>
        <v>75</v>
      </c>
      <c r="N669">
        <f>_xlfn.ISOWEEKNUM(I669)</f>
        <v>24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666</v>
      </c>
      <c r="B670" s="35" t="s">
        <v>24</v>
      </c>
      <c r="C670" s="36" t="s">
        <v>493</v>
      </c>
      <c r="D670" s="37" t="s">
        <v>495</v>
      </c>
      <c r="E670" s="37" t="s">
        <v>84</v>
      </c>
      <c r="F670" s="37">
        <v>2</v>
      </c>
      <c r="G670" s="37"/>
      <c r="H670" s="87"/>
      <c r="I670" s="87">
        <v>46182</v>
      </c>
      <c r="J670" s="37" t="s">
        <v>4</v>
      </c>
      <c r="K670" s="38">
        <f>F670-G670</f>
        <v>2</v>
      </c>
      <c r="L670" s="39">
        <f>IF(F670=0,"",G670/F670)</f>
        <v>0</v>
      </c>
      <c r="M670" s="40">
        <f ca="1">I670-TODAY()</f>
        <v>75</v>
      </c>
      <c r="N670">
        <f>_xlfn.ISOWEEKNUM(I670)</f>
        <v>24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667</v>
      </c>
      <c r="B671" s="35" t="s">
        <v>24</v>
      </c>
      <c r="C671" s="36" t="s">
        <v>493</v>
      </c>
      <c r="D671" s="37" t="s">
        <v>496</v>
      </c>
      <c r="E671" s="37" t="s">
        <v>118</v>
      </c>
      <c r="F671" s="37">
        <v>2</v>
      </c>
      <c r="G671" s="37"/>
      <c r="H671" s="87"/>
      <c r="I671" s="87">
        <v>46182</v>
      </c>
      <c r="J671" s="37" t="s">
        <v>4</v>
      </c>
      <c r="K671" s="38">
        <f>F671-G671</f>
        <v>2</v>
      </c>
      <c r="L671" s="39">
        <f>IF(F671=0,"",G671/F671)</f>
        <v>0</v>
      </c>
      <c r="M671" s="40">
        <f ca="1">I671-TODAY()</f>
        <v>75</v>
      </c>
      <c r="N671">
        <f>_xlfn.ISOWEEKNUM(I671)</f>
        <v>24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668</v>
      </c>
      <c r="B672" s="35" t="s">
        <v>24</v>
      </c>
      <c r="C672" s="36" t="s">
        <v>493</v>
      </c>
      <c r="D672" s="37" t="s">
        <v>480</v>
      </c>
      <c r="E672" s="37" t="s">
        <v>79</v>
      </c>
      <c r="F672" s="37">
        <v>4</v>
      </c>
      <c r="G672" s="37"/>
      <c r="H672" s="87"/>
      <c r="I672" s="87">
        <v>46183</v>
      </c>
      <c r="J672" s="37" t="s">
        <v>4</v>
      </c>
      <c r="K672" s="38">
        <f>F672-G672</f>
        <v>4</v>
      </c>
      <c r="L672" s="39">
        <f>IF(F672=0,"",G672/F672)</f>
        <v>0</v>
      </c>
      <c r="M672" s="40">
        <f ca="1">I672-TODAY()</f>
        <v>76</v>
      </c>
      <c r="N672">
        <f>_xlfn.ISOWEEKNUM(I672)</f>
        <v>24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669</v>
      </c>
      <c r="B673" s="35" t="s">
        <v>24</v>
      </c>
      <c r="C673" s="36" t="s">
        <v>493</v>
      </c>
      <c r="D673" s="37" t="s">
        <v>497</v>
      </c>
      <c r="E673" s="37" t="s">
        <v>84</v>
      </c>
      <c r="F673" s="37">
        <v>1</v>
      </c>
      <c r="G673" s="37"/>
      <c r="H673" s="87"/>
      <c r="I673" s="87">
        <v>46183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76</v>
      </c>
      <c r="N673">
        <f>_xlfn.ISOWEEKNUM(I673)</f>
        <v>24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670</v>
      </c>
      <c r="B674" s="35" t="s">
        <v>24</v>
      </c>
      <c r="C674" s="36" t="s">
        <v>493</v>
      </c>
      <c r="D674" s="36" t="s">
        <v>498</v>
      </c>
      <c r="E674" s="37" t="s">
        <v>84</v>
      </c>
      <c r="F674" s="37">
        <v>2</v>
      </c>
      <c r="G674" s="37"/>
      <c r="H674" s="87"/>
      <c r="I674" s="87">
        <v>46183</v>
      </c>
      <c r="J674" s="37" t="s">
        <v>4</v>
      </c>
      <c r="K674" s="38">
        <f>F674-G674</f>
        <v>2</v>
      </c>
      <c r="L674" s="39">
        <f>IF(F674=0,"",G674/F674)</f>
        <v>0</v>
      </c>
      <c r="M674" s="40">
        <f ca="1">I674-TODAY()</f>
        <v>76</v>
      </c>
      <c r="N674">
        <f>_xlfn.ISOWEEKNUM(I674)</f>
        <v>24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671</v>
      </c>
      <c r="B675" s="35" t="s">
        <v>24</v>
      </c>
      <c r="C675" s="36" t="s">
        <v>493</v>
      </c>
      <c r="D675" s="36" t="s">
        <v>499</v>
      </c>
      <c r="E675" s="37" t="s">
        <v>84</v>
      </c>
      <c r="F675" s="37">
        <v>2</v>
      </c>
      <c r="G675" s="37"/>
      <c r="H675" s="87"/>
      <c r="I675" s="87">
        <v>46183</v>
      </c>
      <c r="J675" s="37" t="s">
        <v>4</v>
      </c>
      <c r="K675" s="38">
        <f>F675-G675</f>
        <v>2</v>
      </c>
      <c r="L675" s="39">
        <f>IF(F675=0,"",G675/F675)</f>
        <v>0</v>
      </c>
      <c r="M675" s="40">
        <f ca="1">I675-TODAY()</f>
        <v>76</v>
      </c>
      <c r="N675">
        <f>_xlfn.ISOWEEKNUM(I675)</f>
        <v>24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672</v>
      </c>
      <c r="B676" s="35" t="s">
        <v>24</v>
      </c>
      <c r="C676" s="36" t="s">
        <v>493</v>
      </c>
      <c r="D676" s="36" t="s">
        <v>500</v>
      </c>
      <c r="E676" s="37" t="s">
        <v>79</v>
      </c>
      <c r="F676" s="37">
        <v>2</v>
      </c>
      <c r="G676" s="37"/>
      <c r="H676" s="87"/>
      <c r="I676" s="87">
        <v>46183</v>
      </c>
      <c r="J676" s="37" t="s">
        <v>4</v>
      </c>
      <c r="K676" s="38">
        <f>F676-G676</f>
        <v>2</v>
      </c>
      <c r="L676" s="39">
        <f>IF(F676=0,"",G676/F676)</f>
        <v>0</v>
      </c>
      <c r="M676" s="40">
        <f ca="1">I676-TODAY()</f>
        <v>76</v>
      </c>
      <c r="N676">
        <f>_xlfn.ISOWEEKNUM(I676)</f>
        <v>24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673</v>
      </c>
      <c r="B677" s="35" t="s">
        <v>24</v>
      </c>
      <c r="C677" s="37" t="s">
        <v>501</v>
      </c>
      <c r="D677" s="37" t="s">
        <v>73</v>
      </c>
      <c r="E677" s="37" t="s">
        <v>74</v>
      </c>
      <c r="F677" s="37">
        <v>1</v>
      </c>
      <c r="G677" s="37"/>
      <c r="H677" s="87"/>
      <c r="I677" s="87">
        <v>46183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76</v>
      </c>
      <c r="N677">
        <f>_xlfn.ISOWEEKNUM(I677)</f>
        <v>24</v>
      </c>
      <c r="O677" t="str">
        <f>IF(ISNUMBER(SEARCH("Access Point",E677)),"AP",IF(OR(ISNUMBER(SEARCH("Switch",E677)),ISNUMBER(SEARCH("Control Type",E677))),"Switch","Infra"))</f>
        <v>AP</v>
      </c>
    </row>
    <row r="678" spans="1:15" ht="14.25" customHeight="1">
      <c r="A678">
        <v>674</v>
      </c>
      <c r="B678" s="35" t="s">
        <v>24</v>
      </c>
      <c r="C678" s="37" t="s">
        <v>501</v>
      </c>
      <c r="D678" s="37" t="s">
        <v>496</v>
      </c>
      <c r="E678" s="37" t="s">
        <v>79</v>
      </c>
      <c r="F678" s="37">
        <v>2</v>
      </c>
      <c r="G678" s="37"/>
      <c r="H678" s="87"/>
      <c r="I678" s="87">
        <v>46184</v>
      </c>
      <c r="J678" s="37" t="s">
        <v>4</v>
      </c>
      <c r="K678" s="38">
        <f>F678-G678</f>
        <v>2</v>
      </c>
      <c r="L678" s="39">
        <f>IF(F678=0,"",G678/F678)</f>
        <v>0</v>
      </c>
      <c r="M678" s="40">
        <f ca="1">I678-TODAY()</f>
        <v>77</v>
      </c>
      <c r="N678">
        <f>_xlfn.ISOWEEKNUM(I678)</f>
        <v>24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675</v>
      </c>
      <c r="B679" s="35" t="s">
        <v>24</v>
      </c>
      <c r="C679" s="37" t="s">
        <v>502</v>
      </c>
      <c r="D679" s="37" t="s">
        <v>73</v>
      </c>
      <c r="E679" s="37" t="s">
        <v>74</v>
      </c>
      <c r="F679" s="37">
        <v>1</v>
      </c>
      <c r="G679" s="37"/>
      <c r="H679" s="87"/>
      <c r="I679" s="87">
        <v>46184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77</v>
      </c>
      <c r="N679">
        <f>_xlfn.ISOWEEKNUM(I679)</f>
        <v>24</v>
      </c>
      <c r="O679" t="str">
        <f>IF(ISNUMBER(SEARCH("Access Point",E679)),"AP",IF(OR(ISNUMBER(SEARCH("Switch",E679)),ISNUMBER(SEARCH("Control Type",E679))),"Switch","Infra"))</f>
        <v>AP</v>
      </c>
    </row>
    <row r="680" spans="1:15" ht="14.25" customHeight="1">
      <c r="A680">
        <v>676</v>
      </c>
      <c r="B680" s="35" t="s">
        <v>24</v>
      </c>
      <c r="C680" s="37" t="s">
        <v>502</v>
      </c>
      <c r="D680" s="37" t="s">
        <v>496</v>
      </c>
      <c r="E680" s="37" t="s">
        <v>79</v>
      </c>
      <c r="F680" s="37">
        <v>2</v>
      </c>
      <c r="G680" s="37"/>
      <c r="H680" s="87"/>
      <c r="I680" s="87">
        <v>46184</v>
      </c>
      <c r="J680" s="37" t="s">
        <v>4</v>
      </c>
      <c r="K680" s="38">
        <f>F680-G680</f>
        <v>2</v>
      </c>
      <c r="L680" s="39">
        <f>IF(F680=0,"",G680/F680)</f>
        <v>0</v>
      </c>
      <c r="M680" s="40">
        <f ca="1">I680-TODAY()</f>
        <v>77</v>
      </c>
      <c r="N680">
        <f>_xlfn.ISOWEEKNUM(I680)</f>
        <v>24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677</v>
      </c>
      <c r="B681" s="35" t="s">
        <v>24</v>
      </c>
      <c r="C681" s="37" t="s">
        <v>503</v>
      </c>
      <c r="D681" s="37" t="s">
        <v>496</v>
      </c>
      <c r="E681" s="37" t="s">
        <v>79</v>
      </c>
      <c r="F681" s="37">
        <v>2</v>
      </c>
      <c r="G681" s="37"/>
      <c r="H681" s="87"/>
      <c r="I681" s="87">
        <v>46184</v>
      </c>
      <c r="J681" s="37" t="s">
        <v>4</v>
      </c>
      <c r="K681" s="38">
        <f>F681-G681</f>
        <v>2</v>
      </c>
      <c r="L681" s="39">
        <f>IF(F681=0,"",G681/F681)</f>
        <v>0</v>
      </c>
      <c r="M681" s="40">
        <f ca="1">I681-TODAY()</f>
        <v>77</v>
      </c>
      <c r="N681">
        <f>_xlfn.ISOWEEKNUM(I681)</f>
        <v>24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678</v>
      </c>
      <c r="B682" s="35" t="s">
        <v>24</v>
      </c>
      <c r="C682" s="37" t="s">
        <v>504</v>
      </c>
      <c r="D682" s="37" t="s">
        <v>505</v>
      </c>
      <c r="E682" s="37" t="s">
        <v>79</v>
      </c>
      <c r="F682" s="37">
        <v>2</v>
      </c>
      <c r="G682" s="37"/>
      <c r="H682" s="87"/>
      <c r="I682" s="87">
        <v>46184</v>
      </c>
      <c r="J682" s="37" t="s">
        <v>4</v>
      </c>
      <c r="K682" s="38">
        <f>F682-G682</f>
        <v>2</v>
      </c>
      <c r="L682" s="39">
        <f>IF(F682=0,"",G682/F682)</f>
        <v>0</v>
      </c>
      <c r="M682" s="40">
        <f ca="1">I682-TODAY()</f>
        <v>77</v>
      </c>
      <c r="N682">
        <f>_xlfn.ISOWEEKNUM(I682)</f>
        <v>24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679</v>
      </c>
      <c r="B683" s="35" t="s">
        <v>24</v>
      </c>
      <c r="C683" s="37" t="s">
        <v>506</v>
      </c>
      <c r="D683" s="37" t="s">
        <v>507</v>
      </c>
      <c r="E683" s="37" t="s">
        <v>79</v>
      </c>
      <c r="F683" s="37">
        <v>2</v>
      </c>
      <c r="G683" s="37"/>
      <c r="H683" s="87"/>
      <c r="I683" s="87">
        <v>46184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77</v>
      </c>
      <c r="N683">
        <f>_xlfn.ISOWEEKNUM(I683)</f>
        <v>24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680</v>
      </c>
      <c r="B684" s="35" t="s">
        <v>24</v>
      </c>
      <c r="C684" s="37" t="s">
        <v>508</v>
      </c>
      <c r="D684" s="37" t="s">
        <v>308</v>
      </c>
      <c r="E684" s="37" t="s">
        <v>79</v>
      </c>
      <c r="F684" s="37">
        <v>2</v>
      </c>
      <c r="G684" s="37"/>
      <c r="H684" s="87"/>
      <c r="I684" s="87">
        <v>46184</v>
      </c>
      <c r="J684" s="37" t="s">
        <v>4</v>
      </c>
      <c r="K684" s="38">
        <f>F684-G684</f>
        <v>2</v>
      </c>
      <c r="L684" s="39">
        <f>IF(F684=0,"",G684/F684)</f>
        <v>0</v>
      </c>
      <c r="M684" s="40">
        <f ca="1">I684-TODAY()</f>
        <v>77</v>
      </c>
      <c r="N684">
        <f>_xlfn.ISOWEEKNUM(I684)</f>
        <v>24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681</v>
      </c>
      <c r="B685" s="35" t="s">
        <v>24</v>
      </c>
      <c r="C685" s="37" t="s">
        <v>509</v>
      </c>
      <c r="D685" s="37" t="s">
        <v>510</v>
      </c>
      <c r="E685" s="37" t="s">
        <v>79</v>
      </c>
      <c r="F685" s="37">
        <v>2</v>
      </c>
      <c r="G685" s="37"/>
      <c r="H685" s="87"/>
      <c r="I685" s="87">
        <v>46185</v>
      </c>
      <c r="J685" s="37" t="s">
        <v>4</v>
      </c>
      <c r="K685" s="38">
        <f>F685-G685</f>
        <v>2</v>
      </c>
      <c r="L685" s="39">
        <f>IF(F685=0,"",G685/F685)</f>
        <v>0</v>
      </c>
      <c r="M685" s="40">
        <f ca="1">I685-TODAY()</f>
        <v>78</v>
      </c>
      <c r="N685">
        <f>_xlfn.ISOWEEKNUM(I685)</f>
        <v>24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682</v>
      </c>
      <c r="B686" s="35" t="s">
        <v>24</v>
      </c>
      <c r="C686" s="37" t="s">
        <v>511</v>
      </c>
      <c r="D686" s="37" t="s">
        <v>467</v>
      </c>
      <c r="E686" s="37" t="s">
        <v>79</v>
      </c>
      <c r="F686" s="37">
        <v>2</v>
      </c>
      <c r="G686" s="37"/>
      <c r="H686" s="87"/>
      <c r="I686" s="87">
        <v>46185</v>
      </c>
      <c r="J686" s="37" t="s">
        <v>4</v>
      </c>
      <c r="K686" s="38">
        <f>F686-G686</f>
        <v>2</v>
      </c>
      <c r="L686" s="39">
        <f>IF(F686=0,"",G686/F686)</f>
        <v>0</v>
      </c>
      <c r="M686" s="40">
        <f ca="1">I686-TODAY()</f>
        <v>78</v>
      </c>
      <c r="N686">
        <f>_xlfn.ISOWEEKNUM(I686)</f>
        <v>24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683</v>
      </c>
      <c r="B687" s="35" t="s">
        <v>24</v>
      </c>
      <c r="C687" s="37" t="s">
        <v>512</v>
      </c>
      <c r="D687" s="37" t="s">
        <v>513</v>
      </c>
      <c r="E687" s="37" t="s">
        <v>79</v>
      </c>
      <c r="F687" s="37">
        <v>2</v>
      </c>
      <c r="G687" s="37"/>
      <c r="H687" s="87"/>
      <c r="I687" s="87">
        <v>46185</v>
      </c>
      <c r="J687" s="37" t="s">
        <v>4</v>
      </c>
      <c r="K687" s="38">
        <f>F687-G687</f>
        <v>2</v>
      </c>
      <c r="L687" s="39">
        <f>IF(F687=0,"",G687/F687)</f>
        <v>0</v>
      </c>
      <c r="M687" s="40">
        <f ca="1">I687-TODAY()</f>
        <v>78</v>
      </c>
      <c r="N687">
        <f>_xlfn.ISOWEEKNUM(I687)</f>
        <v>24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684</v>
      </c>
      <c r="B688" s="35" t="s">
        <v>24</v>
      </c>
      <c r="C688" s="37" t="s">
        <v>514</v>
      </c>
      <c r="D688" s="37" t="s">
        <v>515</v>
      </c>
      <c r="E688" s="37" t="s">
        <v>79</v>
      </c>
      <c r="F688" s="37">
        <v>2</v>
      </c>
      <c r="G688" s="37"/>
      <c r="H688" s="87"/>
      <c r="I688" s="87">
        <v>46185</v>
      </c>
      <c r="J688" s="37" t="s">
        <v>4</v>
      </c>
      <c r="K688" s="38">
        <f>F688-G688</f>
        <v>2</v>
      </c>
      <c r="L688" s="39">
        <f>IF(F688=0,"",G688/F688)</f>
        <v>0</v>
      </c>
      <c r="M688" s="40">
        <f ca="1">I688-TODAY()</f>
        <v>78</v>
      </c>
      <c r="N688">
        <f>_xlfn.ISOWEEKNUM(I688)</f>
        <v>24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685</v>
      </c>
      <c r="B689" s="35" t="s">
        <v>24</v>
      </c>
      <c r="C689" s="37" t="s">
        <v>516</v>
      </c>
      <c r="D689" s="37" t="s">
        <v>517</v>
      </c>
      <c r="E689" s="37" t="s">
        <v>79</v>
      </c>
      <c r="F689" s="37">
        <v>2</v>
      </c>
      <c r="G689" s="37"/>
      <c r="H689" s="87"/>
      <c r="I689" s="87">
        <v>46185</v>
      </c>
      <c r="J689" s="37" t="s">
        <v>4</v>
      </c>
      <c r="K689" s="38">
        <f>F689-G689</f>
        <v>2</v>
      </c>
      <c r="L689" s="39">
        <f>IF(F689=0,"",G689/F689)</f>
        <v>0</v>
      </c>
      <c r="M689" s="40">
        <f ca="1">I689-TODAY()</f>
        <v>78</v>
      </c>
      <c r="N689">
        <f>_xlfn.ISOWEEKNUM(I689)</f>
        <v>24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686</v>
      </c>
      <c r="B690" s="35" t="s">
        <v>24</v>
      </c>
      <c r="C690" s="37" t="s">
        <v>518</v>
      </c>
      <c r="D690" s="37" t="s">
        <v>519</v>
      </c>
      <c r="E690" s="37" t="s">
        <v>79</v>
      </c>
      <c r="F690" s="37">
        <v>2</v>
      </c>
      <c r="G690" s="37"/>
      <c r="H690" s="87"/>
      <c r="I690" s="87">
        <v>46185</v>
      </c>
      <c r="J690" s="37" t="s">
        <v>4</v>
      </c>
      <c r="K690" s="38">
        <f>F690-G690</f>
        <v>2</v>
      </c>
      <c r="L690" s="39">
        <f>IF(F690=0,"",G690/F690)</f>
        <v>0</v>
      </c>
      <c r="M690" s="40">
        <f ca="1">I690-TODAY()</f>
        <v>78</v>
      </c>
      <c r="N690">
        <f>_xlfn.ISOWEEKNUM(I690)</f>
        <v>24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687</v>
      </c>
      <c r="B691" s="35" t="s">
        <v>24</v>
      </c>
      <c r="C691" s="37" t="s">
        <v>520</v>
      </c>
      <c r="D691" s="37" t="s">
        <v>521</v>
      </c>
      <c r="E691" s="37" t="s">
        <v>79</v>
      </c>
      <c r="F691" s="37">
        <v>1</v>
      </c>
      <c r="G691" s="37"/>
      <c r="H691" s="87"/>
      <c r="I691" s="87">
        <v>46188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81</v>
      </c>
      <c r="N691">
        <f>_xlfn.ISOWEEKNUM(I691)</f>
        <v>25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688</v>
      </c>
      <c r="B692" s="35" t="s">
        <v>25</v>
      </c>
      <c r="C692" s="37" t="s">
        <v>522</v>
      </c>
      <c r="D692" s="37" t="s">
        <v>73</v>
      </c>
      <c r="E692" s="37" t="s">
        <v>74</v>
      </c>
      <c r="F692" s="37">
        <v>18</v>
      </c>
      <c r="G692" s="37"/>
      <c r="H692" s="87"/>
      <c r="I692" s="87">
        <v>46189</v>
      </c>
      <c r="J692" s="37" t="s">
        <v>4</v>
      </c>
      <c r="K692" s="38">
        <f>F692-G692</f>
        <v>18</v>
      </c>
      <c r="L692" s="39">
        <f>IF(F692=0,"",G692/F692)</f>
        <v>0</v>
      </c>
      <c r="M692" s="40">
        <f ca="1">I692-TODAY()</f>
        <v>82</v>
      </c>
      <c r="N692">
        <f>_xlfn.ISOWEEKNUM(I692)</f>
        <v>25</v>
      </c>
      <c r="O692" t="str">
        <f>IF(ISNUMBER(SEARCH("Access Point",E692)),"AP",IF(OR(ISNUMBER(SEARCH("Switch",E692)),ISNUMBER(SEARCH("Control Type",E692))),"Switch","Infra"))</f>
        <v>AP</v>
      </c>
    </row>
    <row r="693" spans="1:15" ht="14.25" customHeight="1">
      <c r="A693">
        <v>689</v>
      </c>
      <c r="B693" s="35" t="s">
        <v>25</v>
      </c>
      <c r="C693" s="37" t="s">
        <v>522</v>
      </c>
      <c r="D693" s="37" t="s">
        <v>523</v>
      </c>
      <c r="E693" s="37" t="s">
        <v>126</v>
      </c>
      <c r="F693" s="37">
        <v>2</v>
      </c>
      <c r="G693" s="37">
        <v>2</v>
      </c>
      <c r="H693" s="87">
        <v>46105</v>
      </c>
      <c r="I693" s="87">
        <v>46190</v>
      </c>
      <c r="J693" s="37" t="s">
        <v>77</v>
      </c>
      <c r="K693" s="38">
        <f>F693-G693</f>
        <v>0</v>
      </c>
      <c r="L693" s="39">
        <f>IF(F693=0,"",G693/F693)</f>
        <v>1</v>
      </c>
      <c r="M693" s="40">
        <f ca="1">I693-TODAY()</f>
        <v>83</v>
      </c>
      <c r="N693">
        <f>_xlfn.ISOWEEKNUM(I693)</f>
        <v>25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690</v>
      </c>
      <c r="B694" s="35" t="s">
        <v>25</v>
      </c>
      <c r="C694" s="37" t="s">
        <v>522</v>
      </c>
      <c r="D694" s="37" t="s">
        <v>523</v>
      </c>
      <c r="E694" s="37" t="s">
        <v>129</v>
      </c>
      <c r="F694" s="37">
        <v>2</v>
      </c>
      <c r="G694" s="37">
        <v>2</v>
      </c>
      <c r="H694" s="87">
        <v>46063</v>
      </c>
      <c r="I694" s="87">
        <v>46063</v>
      </c>
      <c r="J694" s="37" t="s">
        <v>77</v>
      </c>
      <c r="K694" s="38">
        <f>F694-G694</f>
        <v>0</v>
      </c>
      <c r="L694" s="39">
        <f>IF(F694=0,"",G694/F694)</f>
        <v>1</v>
      </c>
      <c r="M694" s="40">
        <f ca="1">I694-TODAY()</f>
        <v>-44</v>
      </c>
      <c r="N694">
        <f>_xlfn.ISOWEEKNUM(I694)</f>
        <v>7</v>
      </c>
      <c r="O694" t="str">
        <f>IF(ISNUMBER(SEARCH("Access Point",E694)),"AP",IF(OR(ISNUMBER(SEARCH("Switch",E694)),ISNUMBER(SEARCH("Control Type",E694))),"Switch","Infra"))</f>
        <v>Infra</v>
      </c>
    </row>
    <row r="695" spans="1:15" ht="14.25" customHeight="1">
      <c r="A695">
        <v>691</v>
      </c>
      <c r="B695" s="35" t="s">
        <v>25</v>
      </c>
      <c r="C695" s="37" t="s">
        <v>522</v>
      </c>
      <c r="D695" s="37" t="s">
        <v>524</v>
      </c>
      <c r="E695" s="37" t="s">
        <v>79</v>
      </c>
      <c r="F695" s="37">
        <v>2</v>
      </c>
      <c r="G695" s="37"/>
      <c r="H695" s="87"/>
      <c r="I695" s="87">
        <v>46190</v>
      </c>
      <c r="J695" s="37" t="s">
        <v>4</v>
      </c>
      <c r="K695" s="38">
        <f>F695-G695</f>
        <v>2</v>
      </c>
      <c r="L695" s="39">
        <f>IF(F695=0,"",G695/F695)</f>
        <v>0</v>
      </c>
      <c r="M695" s="40">
        <f ca="1">I695-TODAY()</f>
        <v>83</v>
      </c>
      <c r="N695">
        <f>_xlfn.ISOWEEKNUM(I695)</f>
        <v>25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692</v>
      </c>
      <c r="B696" s="35" t="s">
        <v>25</v>
      </c>
      <c r="C696" s="37" t="s">
        <v>522</v>
      </c>
      <c r="D696" s="37" t="s">
        <v>525</v>
      </c>
      <c r="E696" s="37" t="s">
        <v>79</v>
      </c>
      <c r="F696" s="37">
        <v>1</v>
      </c>
      <c r="G696" s="37"/>
      <c r="H696" s="87"/>
      <c r="I696" s="87">
        <v>46191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84</v>
      </c>
      <c r="N696">
        <f>_xlfn.ISOWEEKNUM(I696)</f>
        <v>25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693</v>
      </c>
      <c r="B697" s="35" t="s">
        <v>25</v>
      </c>
      <c r="C697" s="37" t="s">
        <v>522</v>
      </c>
      <c r="D697" s="37" t="s">
        <v>525</v>
      </c>
      <c r="E697" s="37" t="s">
        <v>76</v>
      </c>
      <c r="F697" s="37">
        <v>1</v>
      </c>
      <c r="G697" s="37"/>
      <c r="H697" s="87"/>
      <c r="I697" s="87">
        <v>46191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84</v>
      </c>
      <c r="N697">
        <f>_xlfn.ISOWEEKNUM(I697)</f>
        <v>25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694</v>
      </c>
      <c r="B698" s="35" t="s">
        <v>25</v>
      </c>
      <c r="C698" s="37" t="s">
        <v>522</v>
      </c>
      <c r="D698" s="37" t="s">
        <v>526</v>
      </c>
      <c r="E698" s="37" t="s">
        <v>76</v>
      </c>
      <c r="F698" s="37">
        <v>2</v>
      </c>
      <c r="G698" s="37"/>
      <c r="H698" s="87"/>
      <c r="I698" s="87">
        <v>46191</v>
      </c>
      <c r="J698" s="37" t="s">
        <v>4</v>
      </c>
      <c r="K698" s="38">
        <f>F698-G698</f>
        <v>2</v>
      </c>
      <c r="L698" s="39">
        <f>IF(F698=0,"",G698/F698)</f>
        <v>0</v>
      </c>
      <c r="M698" s="40">
        <f ca="1">I698-TODAY()</f>
        <v>84</v>
      </c>
      <c r="N698">
        <f>_xlfn.ISOWEEKNUM(I698)</f>
        <v>25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695</v>
      </c>
      <c r="B699" s="35" t="s">
        <v>25</v>
      </c>
      <c r="C699" s="37" t="s">
        <v>522</v>
      </c>
      <c r="D699" s="37" t="s">
        <v>527</v>
      </c>
      <c r="E699" s="37" t="s">
        <v>120</v>
      </c>
      <c r="F699" s="37">
        <v>2</v>
      </c>
      <c r="G699" s="37">
        <v>2</v>
      </c>
      <c r="H699" s="87">
        <v>46105</v>
      </c>
      <c r="I699" s="87">
        <v>46191</v>
      </c>
      <c r="J699" s="37" t="s">
        <v>77</v>
      </c>
      <c r="K699" s="38">
        <f>F699-G699</f>
        <v>0</v>
      </c>
      <c r="L699" s="39">
        <f>IF(F699=0,"",G699/F699)</f>
        <v>1</v>
      </c>
      <c r="M699" s="40">
        <f ca="1">I699-TODAY()</f>
        <v>84</v>
      </c>
      <c r="N699">
        <f>_xlfn.ISOWEEKNUM(I699)</f>
        <v>25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696</v>
      </c>
      <c r="B700" s="35" t="s">
        <v>25</v>
      </c>
      <c r="C700" s="37" t="s">
        <v>522</v>
      </c>
      <c r="D700" s="37" t="s">
        <v>528</v>
      </c>
      <c r="E700" s="37" t="s">
        <v>83</v>
      </c>
      <c r="F700" s="37">
        <v>2</v>
      </c>
      <c r="G700" s="37"/>
      <c r="H700" s="87"/>
      <c r="I700" s="87">
        <v>46191</v>
      </c>
      <c r="J700" s="37" t="s">
        <v>4</v>
      </c>
      <c r="K700" s="38">
        <f>F700-G700</f>
        <v>2</v>
      </c>
      <c r="L700" s="39">
        <f>IF(F700=0,"",G700/F700)</f>
        <v>0</v>
      </c>
      <c r="M700" s="40">
        <f ca="1">I700-TODAY()</f>
        <v>84</v>
      </c>
      <c r="N700">
        <f>_xlfn.ISOWEEKNUM(I700)</f>
        <v>25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697</v>
      </c>
      <c r="B701" s="35" t="s">
        <v>25</v>
      </c>
      <c r="C701" s="37" t="s">
        <v>522</v>
      </c>
      <c r="D701" s="37" t="s">
        <v>528</v>
      </c>
      <c r="E701" s="37" t="s">
        <v>76</v>
      </c>
      <c r="F701" s="37">
        <v>2</v>
      </c>
      <c r="G701" s="37"/>
      <c r="H701" s="87"/>
      <c r="I701" s="87">
        <v>46191</v>
      </c>
      <c r="J701" s="37" t="s">
        <v>4</v>
      </c>
      <c r="K701" s="38">
        <f>F701-G701</f>
        <v>2</v>
      </c>
      <c r="L701" s="39">
        <f>IF(F701=0,"",G701/F701)</f>
        <v>0</v>
      </c>
      <c r="M701" s="40">
        <f ca="1">I701-TODAY()</f>
        <v>84</v>
      </c>
      <c r="N701">
        <f>_xlfn.ISOWEEKNUM(I701)</f>
        <v>25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698</v>
      </c>
      <c r="B702" s="35" t="s">
        <v>25</v>
      </c>
      <c r="C702" s="37" t="s">
        <v>522</v>
      </c>
      <c r="D702" s="37" t="s">
        <v>529</v>
      </c>
      <c r="E702" s="37" t="s">
        <v>79</v>
      </c>
      <c r="F702" s="37">
        <v>3</v>
      </c>
      <c r="G702" s="37"/>
      <c r="H702" s="87"/>
      <c r="I702" s="87">
        <v>46191</v>
      </c>
      <c r="J702" s="37" t="s">
        <v>4</v>
      </c>
      <c r="K702" s="38">
        <f>F702-G702</f>
        <v>3</v>
      </c>
      <c r="L702" s="39">
        <f>IF(F702=0,"",G702/F702)</f>
        <v>0</v>
      </c>
      <c r="M702" s="40">
        <f ca="1">I702-TODAY()</f>
        <v>84</v>
      </c>
      <c r="N702">
        <f>_xlfn.ISOWEEKNUM(I702)</f>
        <v>25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699</v>
      </c>
      <c r="B703" s="35" t="s">
        <v>25</v>
      </c>
      <c r="C703" s="37" t="s">
        <v>522</v>
      </c>
      <c r="D703" s="37" t="s">
        <v>530</v>
      </c>
      <c r="E703" s="37" t="s">
        <v>79</v>
      </c>
      <c r="F703" s="37">
        <v>11</v>
      </c>
      <c r="G703" s="37"/>
      <c r="H703" s="87"/>
      <c r="I703" s="87">
        <v>46192</v>
      </c>
      <c r="J703" s="37" t="s">
        <v>4</v>
      </c>
      <c r="K703" s="38">
        <f>F703-G703</f>
        <v>11</v>
      </c>
      <c r="L703" s="39">
        <f>IF(F703=0,"",G703/F703)</f>
        <v>0</v>
      </c>
      <c r="M703" s="40">
        <f ca="1">I703-TODAY()</f>
        <v>85</v>
      </c>
      <c r="N703">
        <f>_xlfn.ISOWEEKNUM(I703)</f>
        <v>25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700</v>
      </c>
      <c r="B704" s="35" t="s">
        <v>25</v>
      </c>
      <c r="C704" s="37" t="s">
        <v>522</v>
      </c>
      <c r="D704" s="37" t="s">
        <v>530</v>
      </c>
      <c r="E704" s="37" t="s">
        <v>84</v>
      </c>
      <c r="F704" s="37">
        <v>1</v>
      </c>
      <c r="G704" s="37"/>
      <c r="H704" s="87"/>
      <c r="I704" s="87">
        <v>46192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85</v>
      </c>
      <c r="N704">
        <f>_xlfn.ISOWEEKNUM(I704)</f>
        <v>25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701</v>
      </c>
      <c r="B705" s="35" t="s">
        <v>25</v>
      </c>
      <c r="C705" s="37" t="s">
        <v>522</v>
      </c>
      <c r="D705" s="36" t="s">
        <v>531</v>
      </c>
      <c r="E705" s="37" t="s">
        <v>84</v>
      </c>
      <c r="F705" s="37">
        <v>1</v>
      </c>
      <c r="G705" s="37"/>
      <c r="H705" s="87"/>
      <c r="I705" s="87">
        <v>46195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88</v>
      </c>
      <c r="N705">
        <f>_xlfn.ISOWEEKNUM(I705)</f>
        <v>26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702</v>
      </c>
      <c r="B706" s="35" t="s">
        <v>25</v>
      </c>
      <c r="C706" s="37" t="s">
        <v>532</v>
      </c>
      <c r="D706" s="37" t="s">
        <v>73</v>
      </c>
      <c r="E706" s="37" t="s">
        <v>74</v>
      </c>
      <c r="F706" s="37">
        <v>8</v>
      </c>
      <c r="G706" s="37"/>
      <c r="H706" s="87"/>
      <c r="I706" s="87">
        <v>46189</v>
      </c>
      <c r="J706" s="37" t="s">
        <v>4</v>
      </c>
      <c r="K706" s="38">
        <f>F706-G706</f>
        <v>8</v>
      </c>
      <c r="L706" s="39">
        <f>IF(F706=0,"",G706/F706)</f>
        <v>0</v>
      </c>
      <c r="M706" s="40">
        <f ca="1">I706-TODAY()</f>
        <v>82</v>
      </c>
      <c r="N706">
        <f>_xlfn.ISOWEEKNUM(I706)</f>
        <v>25</v>
      </c>
      <c r="O706" t="str">
        <f>IF(ISNUMBER(SEARCH("Access Point",E706)),"AP",IF(OR(ISNUMBER(SEARCH("Switch",E706)),ISNUMBER(SEARCH("Control Type",E706))),"Switch","Infra"))</f>
        <v>AP</v>
      </c>
    </row>
    <row r="707" spans="1:15" ht="14.25" customHeight="1">
      <c r="A707">
        <v>703</v>
      </c>
      <c r="B707" s="35" t="s">
        <v>25</v>
      </c>
      <c r="C707" s="37" t="s">
        <v>532</v>
      </c>
      <c r="D707" s="37" t="s">
        <v>533</v>
      </c>
      <c r="E707" s="37" t="s">
        <v>79</v>
      </c>
      <c r="F707" s="37">
        <v>2</v>
      </c>
      <c r="G707" s="37"/>
      <c r="H707" s="87"/>
      <c r="I707" s="87">
        <v>46189</v>
      </c>
      <c r="J707" s="37" t="s">
        <v>4</v>
      </c>
      <c r="K707" s="38">
        <f>F707-G707</f>
        <v>2</v>
      </c>
      <c r="L707" s="39">
        <f>IF(F707=0,"",G707/F707)</f>
        <v>0</v>
      </c>
      <c r="M707" s="40">
        <f ca="1">I707-TODAY()</f>
        <v>82</v>
      </c>
      <c r="N707">
        <f>_xlfn.ISOWEEKNUM(I707)</f>
        <v>25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704</v>
      </c>
      <c r="B708" s="35" t="s">
        <v>25</v>
      </c>
      <c r="C708" s="37" t="s">
        <v>532</v>
      </c>
      <c r="D708" s="36" t="s">
        <v>534</v>
      </c>
      <c r="E708" s="37" t="s">
        <v>84</v>
      </c>
      <c r="F708" s="37">
        <v>1</v>
      </c>
      <c r="G708" s="37"/>
      <c r="H708" s="87"/>
      <c r="I708" s="87">
        <v>46189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82</v>
      </c>
      <c r="N708">
        <f>_xlfn.ISOWEEKNUM(I708)</f>
        <v>25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705</v>
      </c>
      <c r="B709" s="35" t="s">
        <v>25</v>
      </c>
      <c r="C709" s="37" t="s">
        <v>532</v>
      </c>
      <c r="D709" s="36" t="s">
        <v>535</v>
      </c>
      <c r="E709" s="37" t="s">
        <v>84</v>
      </c>
      <c r="F709" s="37">
        <v>2</v>
      </c>
      <c r="G709" s="37"/>
      <c r="H709" s="87"/>
      <c r="I709" s="87">
        <v>46189</v>
      </c>
      <c r="J709" s="37" t="s">
        <v>4</v>
      </c>
      <c r="K709" s="38">
        <f>F709-G709</f>
        <v>2</v>
      </c>
      <c r="L709" s="39">
        <f>IF(F709=0,"",G709/F709)</f>
        <v>0</v>
      </c>
      <c r="M709" s="40">
        <f ca="1">I709-TODAY()</f>
        <v>82</v>
      </c>
      <c r="N709">
        <f>_xlfn.ISOWEEKNUM(I709)</f>
        <v>25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706</v>
      </c>
      <c r="B710" s="35" t="s">
        <v>25</v>
      </c>
      <c r="C710" s="37" t="s">
        <v>532</v>
      </c>
      <c r="D710" s="36" t="s">
        <v>536</v>
      </c>
      <c r="E710" s="37" t="s">
        <v>79</v>
      </c>
      <c r="F710" s="37">
        <v>3</v>
      </c>
      <c r="G710" s="37"/>
      <c r="H710" s="87"/>
      <c r="I710" s="87">
        <v>46190</v>
      </c>
      <c r="J710" s="37" t="s">
        <v>4</v>
      </c>
      <c r="K710" s="38">
        <f>F710-G710</f>
        <v>3</v>
      </c>
      <c r="L710" s="39">
        <f>IF(F710=0,"",G710/F710)</f>
        <v>0</v>
      </c>
      <c r="M710" s="40">
        <f ca="1">I710-TODAY()</f>
        <v>83</v>
      </c>
      <c r="N710">
        <f>_xlfn.ISOWEEKNUM(I710)</f>
        <v>25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707</v>
      </c>
      <c r="B711" s="35" t="s">
        <v>25</v>
      </c>
      <c r="C711" s="37" t="s">
        <v>537</v>
      </c>
      <c r="D711" s="37" t="s">
        <v>73</v>
      </c>
      <c r="E711" s="37" t="s">
        <v>74</v>
      </c>
      <c r="F711" s="37">
        <v>6</v>
      </c>
      <c r="G711" s="37"/>
      <c r="H711" s="87"/>
      <c r="I711" s="87">
        <v>46190</v>
      </c>
      <c r="J711" s="37" t="s">
        <v>4</v>
      </c>
      <c r="K711" s="38">
        <f>F711-G711</f>
        <v>6</v>
      </c>
      <c r="L711" s="39">
        <f>IF(F711=0,"",G711/F711)</f>
        <v>0</v>
      </c>
      <c r="M711" s="40">
        <f ca="1">I711-TODAY()</f>
        <v>83</v>
      </c>
      <c r="N711">
        <f>_xlfn.ISOWEEKNUM(I711)</f>
        <v>25</v>
      </c>
      <c r="O711" t="str">
        <f>IF(ISNUMBER(SEARCH("Access Point",E711)),"AP",IF(OR(ISNUMBER(SEARCH("Switch",E711)),ISNUMBER(SEARCH("Control Type",E711))),"Switch","Infra"))</f>
        <v>AP</v>
      </c>
    </row>
    <row r="712" spans="1:15" ht="14.25" customHeight="1">
      <c r="A712">
        <v>708</v>
      </c>
      <c r="B712" s="35" t="s">
        <v>25</v>
      </c>
      <c r="C712" s="37" t="s">
        <v>537</v>
      </c>
      <c r="D712" s="36" t="s">
        <v>538</v>
      </c>
      <c r="E712" s="37" t="s">
        <v>79</v>
      </c>
      <c r="F712" s="37">
        <v>1</v>
      </c>
      <c r="G712" s="37"/>
      <c r="H712" s="87"/>
      <c r="I712" s="87">
        <v>46190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83</v>
      </c>
      <c r="N712">
        <f>_xlfn.ISOWEEKNUM(I712)</f>
        <v>25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customHeight="1">
      <c r="A713">
        <v>709</v>
      </c>
      <c r="B713" s="35" t="s">
        <v>25</v>
      </c>
      <c r="C713" s="37" t="s">
        <v>537</v>
      </c>
      <c r="D713" s="36" t="s">
        <v>539</v>
      </c>
      <c r="E713" s="37" t="s">
        <v>84</v>
      </c>
      <c r="F713" s="37">
        <v>1</v>
      </c>
      <c r="G713" s="37"/>
      <c r="H713" s="87"/>
      <c r="I713" s="87">
        <v>46190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83</v>
      </c>
      <c r="N713">
        <f>_xlfn.ISOWEEKNUM(I713)</f>
        <v>25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710</v>
      </c>
      <c r="B714" s="35" t="s">
        <v>25</v>
      </c>
      <c r="C714" s="37" t="s">
        <v>537</v>
      </c>
      <c r="D714" s="36" t="s">
        <v>540</v>
      </c>
      <c r="E714" s="37" t="s">
        <v>84</v>
      </c>
      <c r="F714" s="37">
        <v>1</v>
      </c>
      <c r="G714" s="37"/>
      <c r="H714" s="87"/>
      <c r="I714" s="87">
        <v>46191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84</v>
      </c>
      <c r="N714">
        <f>_xlfn.ISOWEEKNUM(I714)</f>
        <v>25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711</v>
      </c>
      <c r="B715" s="35" t="s">
        <v>25</v>
      </c>
      <c r="C715" s="37" t="s">
        <v>537</v>
      </c>
      <c r="D715" s="36" t="s">
        <v>541</v>
      </c>
      <c r="E715" s="37" t="s">
        <v>79</v>
      </c>
      <c r="F715" s="37">
        <v>4</v>
      </c>
      <c r="G715" s="37"/>
      <c r="H715" s="87"/>
      <c r="I715" s="87">
        <v>46191</v>
      </c>
      <c r="J715" s="37" t="s">
        <v>4</v>
      </c>
      <c r="K715" s="38">
        <f>F715-G715</f>
        <v>4</v>
      </c>
      <c r="L715" s="39">
        <f>IF(F715=0,"",G715/F715)</f>
        <v>0</v>
      </c>
      <c r="M715" s="40">
        <f ca="1">I715-TODAY()</f>
        <v>84</v>
      </c>
      <c r="N715">
        <f>_xlfn.ISOWEEKNUM(I715)</f>
        <v>25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712</v>
      </c>
      <c r="B716" s="35" t="s">
        <v>25</v>
      </c>
      <c r="C716" s="37" t="s">
        <v>537</v>
      </c>
      <c r="D716" s="36" t="s">
        <v>541</v>
      </c>
      <c r="E716" s="37" t="s">
        <v>84</v>
      </c>
      <c r="F716" s="37">
        <v>2</v>
      </c>
      <c r="G716" s="37"/>
      <c r="H716" s="87"/>
      <c r="I716" s="87">
        <v>46191</v>
      </c>
      <c r="J716" s="37" t="s">
        <v>4</v>
      </c>
      <c r="K716" s="38">
        <f>F716-G716</f>
        <v>2</v>
      </c>
      <c r="L716" s="39">
        <f>IF(F716=0,"",G716/F716)</f>
        <v>0</v>
      </c>
      <c r="M716" s="40">
        <f ca="1">I716-TODAY()</f>
        <v>84</v>
      </c>
      <c r="N716">
        <f>_xlfn.ISOWEEKNUM(I716)</f>
        <v>25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713</v>
      </c>
      <c r="B717" s="35" t="s">
        <v>25</v>
      </c>
      <c r="C717" s="37" t="s">
        <v>542</v>
      </c>
      <c r="D717" s="37" t="s">
        <v>73</v>
      </c>
      <c r="E717" s="37" t="s">
        <v>74</v>
      </c>
      <c r="F717" s="37">
        <v>5</v>
      </c>
      <c r="G717" s="37"/>
      <c r="H717" s="87"/>
      <c r="I717" s="87">
        <v>46191</v>
      </c>
      <c r="J717" s="37" t="s">
        <v>4</v>
      </c>
      <c r="K717" s="38">
        <f>F717-G717</f>
        <v>5</v>
      </c>
      <c r="L717" s="39">
        <f>IF(F717=0,"",G717/F717)</f>
        <v>0</v>
      </c>
      <c r="M717" s="40">
        <f ca="1">I717-TODAY()</f>
        <v>84</v>
      </c>
      <c r="N717">
        <f>_xlfn.ISOWEEKNUM(I717)</f>
        <v>25</v>
      </c>
      <c r="O717" t="str">
        <f>IF(ISNUMBER(SEARCH("Access Point",E717)),"AP",IF(OR(ISNUMBER(SEARCH("Switch",E717)),ISNUMBER(SEARCH("Control Type",E717))),"Switch","Infra"))</f>
        <v>AP</v>
      </c>
    </row>
    <row r="718" spans="1:15" ht="14.25" customHeight="1">
      <c r="A718">
        <v>714</v>
      </c>
      <c r="B718" s="35" t="s">
        <v>25</v>
      </c>
      <c r="C718" s="37" t="s">
        <v>542</v>
      </c>
      <c r="D718" s="36" t="s">
        <v>543</v>
      </c>
      <c r="E718" s="37" t="s">
        <v>79</v>
      </c>
      <c r="F718" s="37">
        <v>2</v>
      </c>
      <c r="G718" s="37"/>
      <c r="H718" s="87"/>
      <c r="I718" s="87">
        <v>46192</v>
      </c>
      <c r="J718" s="37" t="s">
        <v>4</v>
      </c>
      <c r="K718" s="38">
        <f>F718-G718</f>
        <v>2</v>
      </c>
      <c r="L718" s="39">
        <f>IF(F718=0,"",G718/F718)</f>
        <v>0</v>
      </c>
      <c r="M718" s="40">
        <f ca="1">I718-TODAY()</f>
        <v>85</v>
      </c>
      <c r="N718">
        <f>_xlfn.ISOWEEKNUM(I718)</f>
        <v>25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customHeight="1">
      <c r="A719">
        <v>715</v>
      </c>
      <c r="B719" s="35" t="s">
        <v>25</v>
      </c>
      <c r="C719" s="37" t="s">
        <v>544</v>
      </c>
      <c r="D719" s="37" t="s">
        <v>73</v>
      </c>
      <c r="E719" s="37" t="s">
        <v>74</v>
      </c>
      <c r="F719" s="37">
        <v>2</v>
      </c>
      <c r="G719" s="37"/>
      <c r="H719" s="87"/>
      <c r="I719" s="87">
        <v>46192</v>
      </c>
      <c r="J719" s="37" t="s">
        <v>4</v>
      </c>
      <c r="K719" s="38">
        <f>F719-G719</f>
        <v>2</v>
      </c>
      <c r="L719" s="39">
        <f>IF(F719=0,"",G719/F719)</f>
        <v>0</v>
      </c>
      <c r="M719" s="40">
        <f ca="1">I719-TODAY()</f>
        <v>85</v>
      </c>
      <c r="N719">
        <f>_xlfn.ISOWEEKNUM(I719)</f>
        <v>25</v>
      </c>
      <c r="O719" t="str">
        <f>IF(ISNUMBER(SEARCH("Access Point",E719)),"AP",IF(OR(ISNUMBER(SEARCH("Switch",E719)),ISNUMBER(SEARCH("Control Type",E719))),"Switch","Infra"))</f>
        <v>AP</v>
      </c>
    </row>
    <row r="720" spans="1:15" ht="14.25" customHeight="1">
      <c r="A720">
        <v>716</v>
      </c>
      <c r="B720" s="35" t="s">
        <v>25</v>
      </c>
      <c r="C720" s="37" t="s">
        <v>544</v>
      </c>
      <c r="D720" s="37" t="s">
        <v>545</v>
      </c>
      <c r="E720" s="37" t="s">
        <v>84</v>
      </c>
      <c r="F720" s="37">
        <v>2</v>
      </c>
      <c r="G720" s="37"/>
      <c r="H720" s="87"/>
      <c r="I720" s="87">
        <v>46192</v>
      </c>
      <c r="J720" s="37" t="s">
        <v>4</v>
      </c>
      <c r="K720" s="38">
        <f>F720-G720</f>
        <v>2</v>
      </c>
      <c r="L720" s="39">
        <f>IF(F720=0,"",G720/F720)</f>
        <v>0</v>
      </c>
      <c r="M720" s="40">
        <f ca="1">I720-TODAY()</f>
        <v>85</v>
      </c>
      <c r="N720">
        <f>_xlfn.ISOWEEKNUM(I720)</f>
        <v>25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717</v>
      </c>
      <c r="B721" s="35" t="s">
        <v>25</v>
      </c>
      <c r="C721" s="37" t="s">
        <v>544</v>
      </c>
      <c r="D721" s="36" t="s">
        <v>546</v>
      </c>
      <c r="E721" s="37" t="s">
        <v>79</v>
      </c>
      <c r="F721" s="37">
        <v>2</v>
      </c>
      <c r="G721" s="37"/>
      <c r="H721" s="87"/>
      <c r="I721" s="87">
        <v>46192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85</v>
      </c>
      <c r="N721">
        <f>_xlfn.ISOWEEKNUM(I721)</f>
        <v>25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718</v>
      </c>
      <c r="B722" s="35" t="s">
        <v>25</v>
      </c>
      <c r="C722" s="37" t="s">
        <v>547</v>
      </c>
      <c r="D722" s="37" t="s">
        <v>73</v>
      </c>
      <c r="E722" s="37" t="s">
        <v>74</v>
      </c>
      <c r="F722" s="37">
        <v>3</v>
      </c>
      <c r="G722" s="37"/>
      <c r="H722" s="87"/>
      <c r="I722" s="87">
        <v>46192</v>
      </c>
      <c r="J722" s="37" t="s">
        <v>4</v>
      </c>
      <c r="K722" s="38">
        <f>F722-G722</f>
        <v>3</v>
      </c>
      <c r="L722" s="39">
        <f>IF(F722=0,"",G722/F722)</f>
        <v>0</v>
      </c>
      <c r="M722" s="40">
        <f ca="1">I722-TODAY()</f>
        <v>85</v>
      </c>
      <c r="N722">
        <f>_xlfn.ISOWEEKNUM(I722)</f>
        <v>25</v>
      </c>
      <c r="O722" t="str">
        <f>IF(ISNUMBER(SEARCH("Access Point",E722)),"AP",IF(OR(ISNUMBER(SEARCH("Switch",E722)),ISNUMBER(SEARCH("Control Type",E722))),"Switch","Infra"))</f>
        <v>AP</v>
      </c>
    </row>
    <row r="723" spans="1:15" ht="14.25" customHeight="1">
      <c r="A723">
        <v>719</v>
      </c>
      <c r="B723" s="35" t="s">
        <v>25</v>
      </c>
      <c r="C723" s="37" t="s">
        <v>547</v>
      </c>
      <c r="D723" s="37" t="s">
        <v>548</v>
      </c>
      <c r="E723" s="37" t="s">
        <v>79</v>
      </c>
      <c r="F723" s="37">
        <v>1</v>
      </c>
      <c r="G723" s="37"/>
      <c r="H723" s="87"/>
      <c r="I723" s="87">
        <v>46192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85</v>
      </c>
      <c r="N723">
        <f>_xlfn.ISOWEEKNUM(I723)</f>
        <v>25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customHeight="1">
      <c r="A724">
        <v>720</v>
      </c>
      <c r="B724" s="35" t="s">
        <v>25</v>
      </c>
      <c r="C724" s="37" t="s">
        <v>547</v>
      </c>
      <c r="D724" s="36" t="s">
        <v>549</v>
      </c>
      <c r="E724" s="37" t="s">
        <v>84</v>
      </c>
      <c r="F724" s="37">
        <v>1</v>
      </c>
      <c r="G724" s="37"/>
      <c r="H724" s="87"/>
      <c r="I724" s="87">
        <v>46195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88</v>
      </c>
      <c r="N724">
        <f>_xlfn.ISOWEEKNUM(I724)</f>
        <v>26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721</v>
      </c>
      <c r="B725" s="35" t="s">
        <v>25</v>
      </c>
      <c r="C725" s="37" t="s">
        <v>550</v>
      </c>
      <c r="D725" s="37" t="s">
        <v>73</v>
      </c>
      <c r="E725" s="37" t="s">
        <v>74</v>
      </c>
      <c r="F725" s="37">
        <v>1</v>
      </c>
      <c r="G725" s="37"/>
      <c r="H725" s="87"/>
      <c r="I725" s="87">
        <v>46195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88</v>
      </c>
      <c r="N725">
        <f>_xlfn.ISOWEEKNUM(I725)</f>
        <v>26</v>
      </c>
      <c r="O725" t="str">
        <f>IF(ISNUMBER(SEARCH("Access Point",E725)),"AP",IF(OR(ISNUMBER(SEARCH("Switch",E725)),ISNUMBER(SEARCH("Control Type",E725))),"Switch","Infra"))</f>
        <v>AP</v>
      </c>
    </row>
    <row r="726" spans="1:15" ht="14.25" customHeight="1">
      <c r="A726">
        <v>722</v>
      </c>
      <c r="B726" s="35" t="s">
        <v>25</v>
      </c>
      <c r="C726" s="37" t="s">
        <v>550</v>
      </c>
      <c r="D726" s="37" t="s">
        <v>551</v>
      </c>
      <c r="E726" s="37" t="s">
        <v>79</v>
      </c>
      <c r="F726" s="37">
        <v>1</v>
      </c>
      <c r="G726" s="37"/>
      <c r="H726" s="87"/>
      <c r="I726" s="87">
        <v>46195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88</v>
      </c>
      <c r="N726">
        <f>_xlfn.ISOWEEKNUM(I726)</f>
        <v>26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723</v>
      </c>
      <c r="B727" s="35" t="s">
        <v>25</v>
      </c>
      <c r="C727" s="37" t="s">
        <v>550</v>
      </c>
      <c r="D727" s="37" t="s">
        <v>551</v>
      </c>
      <c r="E727" s="37" t="s">
        <v>84</v>
      </c>
      <c r="F727" s="37">
        <v>1</v>
      </c>
      <c r="G727" s="37"/>
      <c r="H727" s="87"/>
      <c r="I727" s="87">
        <v>46195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88</v>
      </c>
      <c r="N727">
        <f>_xlfn.ISOWEEKNUM(I727)</f>
        <v>26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724</v>
      </c>
      <c r="B728" s="35" t="s">
        <v>25</v>
      </c>
      <c r="C728" s="37" t="s">
        <v>550</v>
      </c>
      <c r="D728" s="37" t="s">
        <v>552</v>
      </c>
      <c r="E728" s="37" t="s">
        <v>79</v>
      </c>
      <c r="F728" s="37">
        <v>1</v>
      </c>
      <c r="G728" s="37"/>
      <c r="H728" s="87"/>
      <c r="I728" s="87">
        <v>46195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88</v>
      </c>
      <c r="N728">
        <f>_xlfn.ISOWEEKNUM(I728)</f>
        <v>26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725</v>
      </c>
      <c r="B729" s="35" t="s">
        <v>25</v>
      </c>
      <c r="C729" s="36" t="s">
        <v>553</v>
      </c>
      <c r="D729" s="37" t="s">
        <v>554</v>
      </c>
      <c r="E729" s="37" t="s">
        <v>79</v>
      </c>
      <c r="F729" s="37">
        <v>1</v>
      </c>
      <c r="G729" s="37"/>
      <c r="H729" s="87"/>
      <c r="I729" s="87">
        <v>46195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88</v>
      </c>
      <c r="N729">
        <f>_xlfn.ISOWEEKNUM(I729)</f>
        <v>26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726</v>
      </c>
      <c r="B730" s="35" t="s">
        <v>25</v>
      </c>
      <c r="C730" s="36" t="s">
        <v>553</v>
      </c>
      <c r="D730" s="37" t="s">
        <v>554</v>
      </c>
      <c r="E730" s="37" t="s">
        <v>118</v>
      </c>
      <c r="F730" s="37">
        <v>1</v>
      </c>
      <c r="G730" s="37"/>
      <c r="H730" s="87"/>
      <c r="I730" s="87">
        <v>46195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88</v>
      </c>
      <c r="N730">
        <f>_xlfn.ISOWEEKNUM(I730)</f>
        <v>26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727</v>
      </c>
      <c r="B731" s="35" t="s">
        <v>25</v>
      </c>
      <c r="C731" s="36" t="s">
        <v>553</v>
      </c>
      <c r="D731" s="37" t="s">
        <v>555</v>
      </c>
      <c r="E731" s="37" t="s">
        <v>79</v>
      </c>
      <c r="F731" s="37">
        <v>1</v>
      </c>
      <c r="G731" s="37"/>
      <c r="H731" s="87"/>
      <c r="I731" s="87">
        <v>46195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88</v>
      </c>
      <c r="N731">
        <f>_xlfn.ISOWEEKNUM(I731)</f>
        <v>26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728</v>
      </c>
      <c r="B732" s="35" t="s">
        <v>25</v>
      </c>
      <c r="C732" s="36" t="s">
        <v>553</v>
      </c>
      <c r="D732" s="36" t="s">
        <v>556</v>
      </c>
      <c r="E732" s="37" t="s">
        <v>84</v>
      </c>
      <c r="F732" s="37">
        <v>1</v>
      </c>
      <c r="G732" s="37"/>
      <c r="H732" s="87"/>
      <c r="I732" s="87">
        <v>46195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88</v>
      </c>
      <c r="N732">
        <f>_xlfn.ISOWEEKNUM(I732)</f>
        <v>26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729</v>
      </c>
      <c r="B733" s="35" t="s">
        <v>25</v>
      </c>
      <c r="C733" s="37" t="s">
        <v>557</v>
      </c>
      <c r="D733" s="37" t="s">
        <v>467</v>
      </c>
      <c r="E733" s="37" t="s">
        <v>79</v>
      </c>
      <c r="F733" s="37">
        <v>2</v>
      </c>
      <c r="G733" s="37"/>
      <c r="H733" s="87"/>
      <c r="I733" s="87">
        <v>46195</v>
      </c>
      <c r="J733" s="37" t="s">
        <v>4</v>
      </c>
      <c r="K733" s="38">
        <f>F733-G733</f>
        <v>2</v>
      </c>
      <c r="L733" s="39">
        <f>IF(F733=0,"",G733/F733)</f>
        <v>0</v>
      </c>
      <c r="M733" s="40">
        <f ca="1">I733-TODAY()</f>
        <v>88</v>
      </c>
      <c r="N733">
        <f>_xlfn.ISOWEEKNUM(I733)</f>
        <v>26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730</v>
      </c>
      <c r="B734" s="35" t="s">
        <v>25</v>
      </c>
      <c r="C734" s="37" t="s">
        <v>558</v>
      </c>
      <c r="D734" s="37" t="s">
        <v>559</v>
      </c>
      <c r="E734" s="37" t="s">
        <v>79</v>
      </c>
      <c r="F734" s="37">
        <v>2</v>
      </c>
      <c r="G734" s="37"/>
      <c r="H734" s="87"/>
      <c r="I734" s="87">
        <v>46195</v>
      </c>
      <c r="J734" s="37" t="s">
        <v>4</v>
      </c>
      <c r="K734" s="38">
        <f>F734-G734</f>
        <v>2</v>
      </c>
      <c r="L734" s="39">
        <f>IF(F734=0,"",G734/F734)</f>
        <v>0</v>
      </c>
      <c r="M734" s="40">
        <f ca="1">I734-TODAY()</f>
        <v>88</v>
      </c>
      <c r="N734">
        <f>_xlfn.ISOWEEKNUM(I734)</f>
        <v>26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731</v>
      </c>
      <c r="B735" s="35" t="s">
        <v>25</v>
      </c>
      <c r="C735" s="36" t="s">
        <v>560</v>
      </c>
      <c r="D735" s="37" t="s">
        <v>551</v>
      </c>
      <c r="E735" s="37" t="s">
        <v>118</v>
      </c>
      <c r="F735" s="37">
        <v>2</v>
      </c>
      <c r="G735" s="37"/>
      <c r="H735" s="87"/>
      <c r="I735" s="87">
        <v>46195</v>
      </c>
      <c r="J735" s="37" t="s">
        <v>4</v>
      </c>
      <c r="K735" s="38">
        <f>F735-G735</f>
        <v>2</v>
      </c>
      <c r="L735" s="39">
        <f>IF(F735=0,"",G735/F735)</f>
        <v>0</v>
      </c>
      <c r="M735" s="40">
        <f ca="1">I735-TODAY()</f>
        <v>88</v>
      </c>
      <c r="N735">
        <f>_xlfn.ISOWEEKNUM(I735)</f>
        <v>26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732</v>
      </c>
      <c r="B736" s="35" t="s">
        <v>25</v>
      </c>
      <c r="C736" s="36" t="s">
        <v>561</v>
      </c>
      <c r="D736" s="36" t="s">
        <v>543</v>
      </c>
      <c r="E736" s="37" t="s">
        <v>84</v>
      </c>
      <c r="F736" s="37">
        <v>1</v>
      </c>
      <c r="G736" s="37"/>
      <c r="H736" s="87"/>
      <c r="I736" s="87">
        <v>46195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88</v>
      </c>
      <c r="N736">
        <f>_xlfn.ISOWEEKNUM(I736)</f>
        <v>26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733</v>
      </c>
      <c r="B737" s="35" t="s">
        <v>26</v>
      </c>
      <c r="C737" s="37" t="s">
        <v>26</v>
      </c>
      <c r="D737" s="37" t="s">
        <v>530</v>
      </c>
      <c r="E737" s="37" t="s">
        <v>79</v>
      </c>
      <c r="F737" s="37">
        <v>2</v>
      </c>
      <c r="G737" s="37"/>
      <c r="H737" s="87"/>
      <c r="I737" s="87">
        <v>46196</v>
      </c>
      <c r="J737" s="37" t="s">
        <v>4</v>
      </c>
      <c r="K737" s="38">
        <f>F737-G737</f>
        <v>2</v>
      </c>
      <c r="L737" s="39">
        <f>IF(F737=0,"",G737/F737)</f>
        <v>0</v>
      </c>
      <c r="M737" s="40">
        <f ca="1">I737-TODAY()</f>
        <v>89</v>
      </c>
      <c r="N737">
        <f>_xlfn.ISOWEEKNUM(I737)</f>
        <v>26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734</v>
      </c>
      <c r="B738" s="35" t="s">
        <v>26</v>
      </c>
      <c r="C738" s="37" t="s">
        <v>26</v>
      </c>
      <c r="D738" s="37" t="s">
        <v>562</v>
      </c>
      <c r="E738" s="37" t="s">
        <v>275</v>
      </c>
      <c r="F738" s="37">
        <v>2</v>
      </c>
      <c r="G738" s="37"/>
      <c r="H738" s="87"/>
      <c r="I738" s="87">
        <v>46196</v>
      </c>
      <c r="J738" s="37" t="s">
        <v>4</v>
      </c>
      <c r="K738" s="38">
        <f>F738-G738</f>
        <v>2</v>
      </c>
      <c r="L738" s="39">
        <f>IF(F738=0,"",G738/F738)</f>
        <v>0</v>
      </c>
      <c r="M738" s="40">
        <f ca="1">I738-TODAY()</f>
        <v>89</v>
      </c>
      <c r="N738">
        <f>_xlfn.ISOWEEKNUM(I738)</f>
        <v>26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735</v>
      </c>
      <c r="B739" s="35" t="s">
        <v>26</v>
      </c>
      <c r="C739" s="37" t="s">
        <v>26</v>
      </c>
      <c r="D739" s="37" t="s">
        <v>562</v>
      </c>
      <c r="E739" s="37" t="s">
        <v>129</v>
      </c>
      <c r="F739" s="37">
        <v>2</v>
      </c>
      <c r="G739" s="37">
        <v>2</v>
      </c>
      <c r="H739" s="87">
        <v>46063</v>
      </c>
      <c r="I739" s="87">
        <v>46063</v>
      </c>
      <c r="J739" s="37" t="s">
        <v>77</v>
      </c>
      <c r="K739" s="38">
        <f>F739-G739</f>
        <v>0</v>
      </c>
      <c r="L739" s="39">
        <f>IF(F739=0,"",G739/F739)</f>
        <v>1</v>
      </c>
      <c r="M739" s="40">
        <f ca="1">I739-TODAY()</f>
        <v>-44</v>
      </c>
      <c r="N739">
        <f>_xlfn.ISOWEEKNUM(I739)</f>
        <v>7</v>
      </c>
      <c r="O739" t="str">
        <f>IF(ISNUMBER(SEARCH("Access Point",E739)),"AP",IF(OR(ISNUMBER(SEARCH("Switch",E739)),ISNUMBER(SEARCH("Control Type",E739))),"Switch","Infra"))</f>
        <v>Infra</v>
      </c>
    </row>
    <row r="740" spans="1:15" ht="14.25" customHeight="1">
      <c r="A740">
        <v>736</v>
      </c>
      <c r="B740" s="45" t="s">
        <v>26</v>
      </c>
      <c r="C740" s="46" t="s">
        <v>563</v>
      </c>
      <c r="D740" s="46" t="s">
        <v>564</v>
      </c>
      <c r="E740" s="46" t="s">
        <v>79</v>
      </c>
      <c r="F740" s="46">
        <v>2</v>
      </c>
      <c r="G740" s="46"/>
      <c r="H740" s="89"/>
      <c r="I740" s="87">
        <v>46196</v>
      </c>
      <c r="J740" s="46" t="s">
        <v>4</v>
      </c>
      <c r="K740" s="47">
        <f>F740-G740</f>
        <v>2</v>
      </c>
      <c r="L740" s="39">
        <f>IF(F740=0,"",G740/F740)</f>
        <v>0</v>
      </c>
      <c r="M740" s="40">
        <f ca="1">I740-TODAY()</f>
        <v>89</v>
      </c>
      <c r="N740">
        <f>_xlfn.ISOWEEKNUM(I740)</f>
        <v>26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565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566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567</v>
      </c>
      <c r="E4" s="48" t="s">
        <v>13</v>
      </c>
      <c r="F4" s="48" t="s">
        <v>30</v>
      </c>
      <c r="G4" s="48" t="s">
        <v>31</v>
      </c>
      <c r="H4" s="48" t="s">
        <v>568</v>
      </c>
      <c r="I4" s="48" t="s">
        <v>569</v>
      </c>
      <c r="J4" s="48" t="s">
        <v>570</v>
      </c>
      <c r="K4" s="48" t="s">
        <v>571</v>
      </c>
      <c r="L4" s="48" t="s">
        <v>572</v>
      </c>
    </row>
    <row r="5" spans="1:12" ht="14.25" customHeight="1">
      <c r="A5" s="49" t="s">
        <v>20</v>
      </c>
      <c r="B5" s="50" t="s">
        <v>573</v>
      </c>
      <c r="C5" s="50" t="s">
        <v>574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575</v>
      </c>
      <c r="C6" s="50" t="s">
        <v>576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577</v>
      </c>
      <c r="C7" s="50" t="s">
        <v>578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579</v>
      </c>
      <c r="C8" s="50" t="s">
        <v>580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581</v>
      </c>
      <c r="C9" s="50" t="s">
        <v>582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581</v>
      </c>
      <c r="C10" s="50" t="s">
        <v>583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584</v>
      </c>
      <c r="C11" s="50" t="s">
        <v>585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586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193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74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83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79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76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84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81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120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118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125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126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275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127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194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128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257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195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196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129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587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588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589</v>
      </c>
      <c r="G4" s="48" t="s">
        <v>568</v>
      </c>
      <c r="H4" s="48" t="s">
        <v>569</v>
      </c>
      <c r="I4" s="48" t="s">
        <v>570</v>
      </c>
      <c r="J4" s="48" t="s">
        <v>572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72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573</v>
      </c>
      <c r="L5" s="50" t="s">
        <v>590</v>
      </c>
      <c r="M5" s="50" t="s">
        <v>6</v>
      </c>
    </row>
    <row r="6" spans="1:13" ht="14.25" customHeight="1">
      <c r="A6" s="55" t="s">
        <v>20</v>
      </c>
      <c r="B6" s="55" t="s">
        <v>116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591</v>
      </c>
      <c r="L6" s="56" t="s">
        <v>592</v>
      </c>
      <c r="M6" s="56" t="s">
        <v>6</v>
      </c>
    </row>
    <row r="7" spans="1:13" ht="14.25" customHeight="1">
      <c r="A7" s="49" t="s">
        <v>20</v>
      </c>
      <c r="B7" s="49" t="s">
        <v>153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593</v>
      </c>
      <c r="L7" s="50" t="s">
        <v>594</v>
      </c>
      <c r="M7" s="50" t="s">
        <v>6</v>
      </c>
    </row>
    <row r="8" spans="1:13" ht="14.25" customHeight="1">
      <c r="A8" s="55" t="s">
        <v>20</v>
      </c>
      <c r="B8" s="55" t="s">
        <v>188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595</v>
      </c>
      <c r="L8" s="56" t="s">
        <v>596</v>
      </c>
      <c r="M8" s="56" t="s">
        <v>6</v>
      </c>
    </row>
    <row r="9" spans="1:13" ht="14.25" customHeight="1">
      <c r="A9" s="49" t="s">
        <v>20</v>
      </c>
      <c r="B9" s="49" t="s">
        <v>201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578</v>
      </c>
      <c r="L9" s="50" t="s">
        <v>597</v>
      </c>
      <c r="M9" s="50" t="s">
        <v>6</v>
      </c>
    </row>
    <row r="10" spans="1:13" ht="14.25" customHeight="1">
      <c r="A10" s="55" t="s">
        <v>20</v>
      </c>
      <c r="B10" s="55" t="s">
        <v>215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598</v>
      </c>
      <c r="L10" s="56" t="s">
        <v>599</v>
      </c>
      <c r="M10" s="56" t="s">
        <v>6</v>
      </c>
    </row>
    <row r="11" spans="1:13" ht="14.25" customHeight="1">
      <c r="A11" s="49" t="s">
        <v>20</v>
      </c>
      <c r="B11" s="54" t="s">
        <v>226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600</v>
      </c>
      <c r="L11" s="50" t="s">
        <v>601</v>
      </c>
      <c r="M11" s="50" t="s">
        <v>6</v>
      </c>
    </row>
    <row r="12" spans="1:13" ht="14.25" customHeight="1">
      <c r="A12" s="55" t="s">
        <v>20</v>
      </c>
      <c r="B12" s="57" t="s">
        <v>232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602</v>
      </c>
      <c r="L12" s="56" t="s">
        <v>602</v>
      </c>
      <c r="M12" s="56" t="s">
        <v>6</v>
      </c>
    </row>
    <row r="13" spans="1:13" ht="14.25" customHeight="1">
      <c r="A13" s="49" t="s">
        <v>20</v>
      </c>
      <c r="B13" s="54" t="s">
        <v>234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603</v>
      </c>
      <c r="L13" s="50" t="s">
        <v>603</v>
      </c>
      <c r="M13" s="50" t="s">
        <v>6</v>
      </c>
    </row>
    <row r="14" spans="1:13" ht="14.25" customHeight="1">
      <c r="A14" s="55" t="s">
        <v>20</v>
      </c>
      <c r="B14" s="57" t="s">
        <v>236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604</v>
      </c>
      <c r="L14" s="56" t="s">
        <v>604</v>
      </c>
      <c r="M14" s="56" t="s">
        <v>6</v>
      </c>
    </row>
    <row r="15" spans="1:13" ht="14.25" customHeight="1">
      <c r="A15" s="49" t="s">
        <v>20</v>
      </c>
      <c r="B15" s="54" t="s">
        <v>238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605</v>
      </c>
      <c r="L15" s="50" t="s">
        <v>605</v>
      </c>
      <c r="M15" s="50" t="s">
        <v>6</v>
      </c>
    </row>
    <row r="16" spans="1:13" ht="14.25" customHeight="1">
      <c r="A16" s="55" t="s">
        <v>20</v>
      </c>
      <c r="B16" s="57" t="s">
        <v>239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606</v>
      </c>
      <c r="L16" s="56" t="s">
        <v>606</v>
      </c>
      <c r="M16" s="56" t="s">
        <v>6</v>
      </c>
    </row>
    <row r="17" spans="1:13" ht="14.25" customHeight="1">
      <c r="A17" s="49" t="s">
        <v>20</v>
      </c>
      <c r="B17" s="54" t="s">
        <v>240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607</v>
      </c>
      <c r="L17" s="50" t="s">
        <v>607</v>
      </c>
      <c r="M17" s="50" t="s">
        <v>6</v>
      </c>
    </row>
    <row r="18" spans="1:13" ht="14.25" customHeight="1">
      <c r="A18" s="55" t="s">
        <v>20</v>
      </c>
      <c r="B18" s="55" t="s">
        <v>242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608</v>
      </c>
      <c r="L18" s="56" t="s">
        <v>608</v>
      </c>
      <c r="M18" s="56" t="s">
        <v>6</v>
      </c>
    </row>
    <row r="19" spans="1:13" ht="14.25" customHeight="1">
      <c r="A19" s="49" t="s">
        <v>20</v>
      </c>
      <c r="B19" s="49" t="s">
        <v>243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609</v>
      </c>
      <c r="L19" s="50" t="s">
        <v>609</v>
      </c>
      <c r="M19" s="50" t="s">
        <v>6</v>
      </c>
    </row>
    <row r="20" spans="1:13" ht="14.25" customHeight="1">
      <c r="A20" s="55" t="s">
        <v>20</v>
      </c>
      <c r="B20" s="55" t="s">
        <v>244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610</v>
      </c>
      <c r="L20" s="56" t="s">
        <v>610</v>
      </c>
      <c r="M20" s="56" t="s">
        <v>6</v>
      </c>
    </row>
    <row r="21" spans="1:13" ht="14.25" customHeight="1">
      <c r="A21" s="49" t="s">
        <v>20</v>
      </c>
      <c r="B21" s="49" t="s">
        <v>245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611</v>
      </c>
      <c r="L21" s="50" t="s">
        <v>611</v>
      </c>
      <c r="M21" s="50" t="s">
        <v>6</v>
      </c>
    </row>
    <row r="22" spans="1:13" ht="14.25" customHeight="1">
      <c r="A22" s="55" t="s">
        <v>20</v>
      </c>
      <c r="B22" s="57" t="s">
        <v>247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612</v>
      </c>
      <c r="L22" s="56" t="s">
        <v>612</v>
      </c>
      <c r="M22" s="56" t="s">
        <v>6</v>
      </c>
    </row>
    <row r="23" spans="1:13" ht="14.25" customHeight="1">
      <c r="A23" s="49" t="s">
        <v>20</v>
      </c>
      <c r="B23" s="54" t="s">
        <v>249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613</v>
      </c>
      <c r="L23" s="50" t="s">
        <v>613</v>
      </c>
      <c r="M23" s="50" t="s">
        <v>6</v>
      </c>
    </row>
    <row r="24" spans="1:13" ht="14.25" customHeight="1">
      <c r="A24" s="55" t="s">
        <v>21</v>
      </c>
      <c r="B24" s="57" t="s">
        <v>250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575</v>
      </c>
      <c r="L24" s="56" t="s">
        <v>614</v>
      </c>
      <c r="M24" s="56" t="s">
        <v>6</v>
      </c>
    </row>
    <row r="25" spans="1:13" ht="14.25" customHeight="1">
      <c r="A25" s="49" t="s">
        <v>21</v>
      </c>
      <c r="B25" s="54" t="s">
        <v>260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615</v>
      </c>
      <c r="L25" s="50" t="s">
        <v>616</v>
      </c>
      <c r="M25" s="50" t="s">
        <v>6</v>
      </c>
    </row>
    <row r="26" spans="1:13" ht="14.25" customHeight="1">
      <c r="A26" s="55" t="s">
        <v>21</v>
      </c>
      <c r="B26" s="57" t="s">
        <v>273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617</v>
      </c>
      <c r="L26" s="56" t="s">
        <v>618</v>
      </c>
      <c r="M26" s="56" t="s">
        <v>6</v>
      </c>
    </row>
    <row r="27" spans="1:13" ht="14.25" customHeight="1">
      <c r="A27" s="49" t="s">
        <v>21</v>
      </c>
      <c r="B27" s="54" t="s">
        <v>278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619</v>
      </c>
      <c r="L27" s="50" t="s">
        <v>581</v>
      </c>
      <c r="M27" s="50" t="s">
        <v>6</v>
      </c>
    </row>
    <row r="28" spans="1:13" ht="14.25" customHeight="1">
      <c r="A28" s="55" t="s">
        <v>21</v>
      </c>
      <c r="B28" s="57" t="s">
        <v>283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620</v>
      </c>
      <c r="L28" s="56" t="s">
        <v>621</v>
      </c>
      <c r="M28" s="56" t="s">
        <v>6</v>
      </c>
    </row>
    <row r="29" spans="1:13" ht="14.25" customHeight="1">
      <c r="A29" s="49" t="s">
        <v>21</v>
      </c>
      <c r="B29" s="54" t="s">
        <v>286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622</v>
      </c>
      <c r="L29" s="50" t="s">
        <v>622</v>
      </c>
      <c r="M29" s="50" t="s">
        <v>6</v>
      </c>
    </row>
    <row r="30" spans="1:13" ht="14.25" customHeight="1">
      <c r="A30" s="55" t="s">
        <v>21</v>
      </c>
      <c r="B30" s="57" t="s">
        <v>291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623</v>
      </c>
      <c r="L30" s="56" t="s">
        <v>623</v>
      </c>
      <c r="M30" s="56" t="s">
        <v>6</v>
      </c>
    </row>
    <row r="31" spans="1:13" ht="14.25" customHeight="1">
      <c r="A31" s="49" t="s">
        <v>21</v>
      </c>
      <c r="B31" s="54" t="s">
        <v>294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624</v>
      </c>
      <c r="L31" s="50" t="s">
        <v>624</v>
      </c>
      <c r="M31" s="50" t="s">
        <v>6</v>
      </c>
    </row>
    <row r="32" spans="1:13" ht="14.25" customHeight="1">
      <c r="A32" s="55" t="s">
        <v>21</v>
      </c>
      <c r="B32" s="55" t="s">
        <v>296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625</v>
      </c>
      <c r="L32" s="56" t="s">
        <v>625</v>
      </c>
      <c r="M32" s="56" t="s">
        <v>6</v>
      </c>
    </row>
    <row r="33" spans="1:13" ht="14.25" customHeight="1">
      <c r="A33" s="49" t="s">
        <v>21</v>
      </c>
      <c r="B33" s="54" t="s">
        <v>298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626</v>
      </c>
      <c r="L33" s="50" t="s">
        <v>626</v>
      </c>
      <c r="M33" s="50" t="s">
        <v>6</v>
      </c>
    </row>
    <row r="34" spans="1:13" ht="14.25" customHeight="1">
      <c r="A34" s="55" t="s">
        <v>21</v>
      </c>
      <c r="B34" s="57" t="s">
        <v>302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627</v>
      </c>
      <c r="L34" s="56" t="s">
        <v>627</v>
      </c>
      <c r="M34" s="56" t="s">
        <v>6</v>
      </c>
    </row>
    <row r="35" spans="1:13" ht="14.25" customHeight="1">
      <c r="A35" s="49" t="s">
        <v>21</v>
      </c>
      <c r="B35" s="54" t="s">
        <v>305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628</v>
      </c>
      <c r="L35" s="50" t="s">
        <v>628</v>
      </c>
      <c r="M35" s="50" t="s">
        <v>6</v>
      </c>
    </row>
    <row r="36" spans="1:13" ht="14.25" customHeight="1">
      <c r="A36" s="55" t="s">
        <v>21</v>
      </c>
      <c r="B36" s="55" t="s">
        <v>307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629</v>
      </c>
      <c r="L36" s="56" t="s">
        <v>629</v>
      </c>
      <c r="M36" s="56" t="s">
        <v>6</v>
      </c>
    </row>
    <row r="37" spans="1:13" ht="14.25" customHeight="1">
      <c r="A37" s="49" t="s">
        <v>21</v>
      </c>
      <c r="B37" s="49" t="s">
        <v>309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630</v>
      </c>
      <c r="L37" s="50" t="s">
        <v>630</v>
      </c>
      <c r="M37" s="50" t="s">
        <v>6</v>
      </c>
    </row>
    <row r="38" spans="1:13" ht="14.25" customHeight="1">
      <c r="A38" s="55" t="s">
        <v>21</v>
      </c>
      <c r="B38" s="57" t="s">
        <v>311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631</v>
      </c>
      <c r="L38" s="56" t="s">
        <v>631</v>
      </c>
      <c r="M38" s="56" t="s">
        <v>6</v>
      </c>
    </row>
    <row r="39" spans="1:13" ht="14.25" customHeight="1">
      <c r="A39" s="49" t="s">
        <v>21</v>
      </c>
      <c r="B39" s="49" t="s">
        <v>313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632</v>
      </c>
      <c r="L39" s="50" t="s">
        <v>632</v>
      </c>
      <c r="M39" s="50" t="s">
        <v>6</v>
      </c>
    </row>
    <row r="40" spans="1:13" ht="14.25" customHeight="1">
      <c r="A40" s="55" t="s">
        <v>21</v>
      </c>
      <c r="B40" s="55" t="s">
        <v>315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633</v>
      </c>
      <c r="L40" s="56" t="s">
        <v>633</v>
      </c>
      <c r="M40" s="56" t="s">
        <v>6</v>
      </c>
    </row>
    <row r="41" spans="1:13" ht="14.25" customHeight="1">
      <c r="A41" s="49" t="s">
        <v>21</v>
      </c>
      <c r="B41" s="49" t="s">
        <v>317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634</v>
      </c>
      <c r="L41" s="50" t="s">
        <v>634</v>
      </c>
      <c r="M41" s="50" t="s">
        <v>6</v>
      </c>
    </row>
    <row r="42" spans="1:13" ht="14.25" customHeight="1">
      <c r="A42" s="55" t="s">
        <v>21</v>
      </c>
      <c r="B42" s="57" t="s">
        <v>319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635</v>
      </c>
      <c r="L42" s="56" t="s">
        <v>635</v>
      </c>
      <c r="M42" s="56" t="s">
        <v>6</v>
      </c>
    </row>
    <row r="43" spans="1:13" ht="14.25" customHeight="1">
      <c r="A43" s="49" t="s">
        <v>21</v>
      </c>
      <c r="B43" s="54" t="s">
        <v>320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584</v>
      </c>
      <c r="L43" s="50" t="s">
        <v>584</v>
      </c>
      <c r="M43" s="50" t="s">
        <v>6</v>
      </c>
    </row>
    <row r="44" spans="1:13" ht="14.25" customHeight="1">
      <c r="A44" s="55" t="s">
        <v>21</v>
      </c>
      <c r="B44" s="57" t="s">
        <v>322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636</v>
      </c>
      <c r="L44" s="56" t="s">
        <v>636</v>
      </c>
      <c r="M44" s="56" t="s">
        <v>6</v>
      </c>
    </row>
    <row r="45" spans="1:13" ht="14.25" customHeight="1">
      <c r="A45" s="49" t="s">
        <v>21</v>
      </c>
      <c r="B45" s="54" t="s">
        <v>324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590</v>
      </c>
      <c r="L45" s="50" t="s">
        <v>590</v>
      </c>
      <c r="M45" s="50" t="s">
        <v>6</v>
      </c>
    </row>
    <row r="46" spans="1:13" ht="14.25" customHeight="1">
      <c r="A46" s="55" t="s">
        <v>21</v>
      </c>
      <c r="B46" s="57" t="s">
        <v>326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591</v>
      </c>
      <c r="L46" s="56" t="s">
        <v>591</v>
      </c>
      <c r="M46" s="56" t="s">
        <v>6</v>
      </c>
    </row>
    <row r="47" spans="1:13" ht="14.25" customHeight="1">
      <c r="A47" s="49" t="s">
        <v>21</v>
      </c>
      <c r="B47" s="54" t="s">
        <v>328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637</v>
      </c>
      <c r="L47" s="50" t="s">
        <v>637</v>
      </c>
      <c r="M47" s="50" t="s">
        <v>6</v>
      </c>
    </row>
    <row r="48" spans="1:13" ht="14.25" customHeight="1">
      <c r="A48" s="55" t="s">
        <v>21</v>
      </c>
      <c r="B48" s="57" t="s">
        <v>330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638</v>
      </c>
      <c r="L48" s="56" t="s">
        <v>638</v>
      </c>
      <c r="M48" s="56" t="s">
        <v>6</v>
      </c>
    </row>
    <row r="49" spans="1:13" ht="14.25" customHeight="1">
      <c r="A49" s="49" t="s">
        <v>21</v>
      </c>
      <c r="B49" s="54" t="s">
        <v>332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639</v>
      </c>
      <c r="L49" s="50" t="s">
        <v>639</v>
      </c>
      <c r="M49" s="50" t="s">
        <v>6</v>
      </c>
    </row>
    <row r="50" spans="1:13" ht="14.25" customHeight="1">
      <c r="A50" s="55" t="s">
        <v>21</v>
      </c>
      <c r="B50" s="57" t="s">
        <v>334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576</v>
      </c>
      <c r="L50" s="56" t="s">
        <v>576</v>
      </c>
      <c r="M50" s="56" t="s">
        <v>6</v>
      </c>
    </row>
    <row r="51" spans="1:13" ht="14.25" customHeight="1">
      <c r="A51" s="49" t="s">
        <v>21</v>
      </c>
      <c r="B51" s="54" t="s">
        <v>336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640</v>
      </c>
      <c r="L51" s="50" t="s">
        <v>576</v>
      </c>
      <c r="M51" s="50" t="s">
        <v>6</v>
      </c>
    </row>
    <row r="52" spans="1:13" ht="14.25" customHeight="1">
      <c r="A52" s="55" t="s">
        <v>21</v>
      </c>
      <c r="B52" s="57" t="s">
        <v>338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640</v>
      </c>
      <c r="L52" s="56" t="s">
        <v>576</v>
      </c>
      <c r="M52" s="56" t="s">
        <v>6</v>
      </c>
    </row>
    <row r="53" spans="1:13" ht="14.25" customHeight="1">
      <c r="A53" s="49" t="s">
        <v>21</v>
      </c>
      <c r="B53" s="54" t="s">
        <v>340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640</v>
      </c>
      <c r="L53" s="50" t="s">
        <v>576</v>
      </c>
      <c r="M53" s="50" t="s">
        <v>6</v>
      </c>
    </row>
    <row r="54" spans="1:13" ht="14.25" customHeight="1">
      <c r="A54" s="55" t="s">
        <v>21</v>
      </c>
      <c r="B54" s="57" t="s">
        <v>342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640</v>
      </c>
      <c r="L54" s="56" t="s">
        <v>576</v>
      </c>
      <c r="M54" s="56" t="s">
        <v>6</v>
      </c>
    </row>
    <row r="55" spans="1:13" ht="14.25" customHeight="1">
      <c r="A55" s="49" t="s">
        <v>22</v>
      </c>
      <c r="B55" s="54" t="s">
        <v>344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577</v>
      </c>
      <c r="L55" s="50" t="s">
        <v>592</v>
      </c>
      <c r="M55" s="50" t="s">
        <v>6</v>
      </c>
    </row>
    <row r="56" spans="1:13" ht="14.25" customHeight="1">
      <c r="A56" s="55" t="s">
        <v>22</v>
      </c>
      <c r="B56" s="55" t="s">
        <v>401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593</v>
      </c>
      <c r="L56" s="56" t="s">
        <v>641</v>
      </c>
      <c r="M56" s="56" t="s">
        <v>6</v>
      </c>
    </row>
    <row r="57" spans="1:13" ht="14.25" customHeight="1">
      <c r="A57" s="49" t="s">
        <v>22</v>
      </c>
      <c r="B57" s="49" t="s">
        <v>405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642</v>
      </c>
      <c r="L57" s="50" t="s">
        <v>643</v>
      </c>
      <c r="M57" s="50" t="s">
        <v>6</v>
      </c>
    </row>
    <row r="58" spans="1:13" ht="14.25" customHeight="1">
      <c r="A58" s="55" t="s">
        <v>22</v>
      </c>
      <c r="B58" s="57" t="s">
        <v>408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644</v>
      </c>
      <c r="L58" s="56" t="s">
        <v>644</v>
      </c>
      <c r="M58" s="56" t="s">
        <v>6</v>
      </c>
    </row>
    <row r="59" spans="1:13" ht="14.25" customHeight="1">
      <c r="A59" s="49" t="s">
        <v>22</v>
      </c>
      <c r="B59" s="49" t="s">
        <v>411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645</v>
      </c>
      <c r="L59" s="50" t="s">
        <v>645</v>
      </c>
      <c r="M59" s="50" t="s">
        <v>6</v>
      </c>
    </row>
    <row r="60" spans="1:13" ht="14.25" customHeight="1">
      <c r="A60" s="55" t="s">
        <v>23</v>
      </c>
      <c r="B60" s="55" t="s">
        <v>412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579</v>
      </c>
      <c r="L60" s="56" t="s">
        <v>628</v>
      </c>
      <c r="M60" s="56" t="s">
        <v>6</v>
      </c>
    </row>
    <row r="61" spans="1:13" ht="14.25" customHeight="1">
      <c r="A61" s="49" t="s">
        <v>23</v>
      </c>
      <c r="B61" s="49" t="s">
        <v>442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629</v>
      </c>
      <c r="L61" s="50" t="s">
        <v>591</v>
      </c>
      <c r="M61" s="50" t="s">
        <v>6</v>
      </c>
    </row>
    <row r="62" spans="1:13" ht="14.25" customHeight="1">
      <c r="A62" s="55" t="s">
        <v>23</v>
      </c>
      <c r="B62" s="55" t="s">
        <v>456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637</v>
      </c>
      <c r="L62" s="56" t="s">
        <v>646</v>
      </c>
      <c r="M62" s="56" t="s">
        <v>6</v>
      </c>
    </row>
    <row r="63" spans="1:13" ht="14.25" customHeight="1">
      <c r="A63" s="49" t="s">
        <v>23</v>
      </c>
      <c r="B63" s="54" t="s">
        <v>466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647</v>
      </c>
      <c r="L63" s="50" t="s">
        <v>582</v>
      </c>
      <c r="M63" s="50" t="s">
        <v>6</v>
      </c>
    </row>
    <row r="64" spans="1:13" ht="14.25" customHeight="1">
      <c r="A64" s="55" t="s">
        <v>23</v>
      </c>
      <c r="B64" s="57" t="s">
        <v>470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585</v>
      </c>
      <c r="L64" s="56" t="s">
        <v>585</v>
      </c>
      <c r="M64" s="56" t="s">
        <v>6</v>
      </c>
    </row>
    <row r="65" spans="1:13" ht="14.25" customHeight="1">
      <c r="A65" s="49" t="s">
        <v>23</v>
      </c>
      <c r="B65" s="49" t="s">
        <v>472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648</v>
      </c>
      <c r="L65" s="50" t="s">
        <v>648</v>
      </c>
      <c r="M65" s="50" t="s">
        <v>6</v>
      </c>
    </row>
    <row r="66" spans="1:13" ht="14.25" customHeight="1">
      <c r="A66" s="55" t="s">
        <v>23</v>
      </c>
      <c r="B66" s="57" t="s">
        <v>473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649</v>
      </c>
      <c r="L66" s="56" t="s">
        <v>649</v>
      </c>
      <c r="M66" s="56" t="s">
        <v>6</v>
      </c>
    </row>
    <row r="67" spans="1:13" ht="14.25" customHeight="1">
      <c r="A67" s="49" t="s">
        <v>23</v>
      </c>
      <c r="B67" s="49" t="s">
        <v>474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592</v>
      </c>
      <c r="L67" s="50" t="s">
        <v>592</v>
      </c>
      <c r="M67" s="50" t="s">
        <v>6</v>
      </c>
    </row>
    <row r="68" spans="1:13" ht="14.25" customHeight="1">
      <c r="A68" s="55" t="s">
        <v>23</v>
      </c>
      <c r="B68" s="57" t="s">
        <v>476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593</v>
      </c>
      <c r="L68" s="56" t="s">
        <v>593</v>
      </c>
      <c r="M68" s="56" t="s">
        <v>6</v>
      </c>
    </row>
    <row r="69" spans="1:13" ht="14.25" customHeight="1">
      <c r="A69" s="49" t="s">
        <v>23</v>
      </c>
      <c r="B69" s="54" t="s">
        <v>478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583</v>
      </c>
      <c r="L69" s="50" t="s">
        <v>583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581</v>
      </c>
      <c r="L70" s="56" t="s">
        <v>632</v>
      </c>
      <c r="M70" s="56" t="s">
        <v>6</v>
      </c>
    </row>
    <row r="71" spans="1:13" ht="14.25" customHeight="1">
      <c r="A71" s="49" t="s">
        <v>24</v>
      </c>
      <c r="B71" s="54" t="s">
        <v>493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633</v>
      </c>
      <c r="L71" s="50" t="s">
        <v>590</v>
      </c>
      <c r="M71" s="50" t="s">
        <v>6</v>
      </c>
    </row>
    <row r="72" spans="1:13" ht="14.25" customHeight="1">
      <c r="A72" s="55" t="s">
        <v>24</v>
      </c>
      <c r="B72" s="55" t="s">
        <v>501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591</v>
      </c>
      <c r="L72" s="56" t="s">
        <v>591</v>
      </c>
      <c r="M72" s="56" t="s">
        <v>6</v>
      </c>
    </row>
    <row r="73" spans="1:13" ht="14.25" customHeight="1">
      <c r="A73" s="49" t="s">
        <v>24</v>
      </c>
      <c r="B73" s="49" t="s">
        <v>502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637</v>
      </c>
      <c r="L73" s="50" t="s">
        <v>637</v>
      </c>
      <c r="M73" s="50" t="s">
        <v>6</v>
      </c>
    </row>
    <row r="74" spans="1:13" ht="14.25" customHeight="1">
      <c r="A74" s="55" t="s">
        <v>24</v>
      </c>
      <c r="B74" s="55" t="s">
        <v>503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638</v>
      </c>
      <c r="L74" s="56" t="s">
        <v>638</v>
      </c>
      <c r="M74" s="56" t="s">
        <v>6</v>
      </c>
    </row>
    <row r="75" spans="1:13" ht="14.25" customHeight="1">
      <c r="A75" s="49" t="s">
        <v>24</v>
      </c>
      <c r="B75" s="49" t="s">
        <v>504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639</v>
      </c>
      <c r="L75" s="50" t="s">
        <v>639</v>
      </c>
      <c r="M75" s="50" t="s">
        <v>6</v>
      </c>
    </row>
    <row r="76" spans="1:13" ht="14.25" customHeight="1">
      <c r="A76" s="55" t="s">
        <v>24</v>
      </c>
      <c r="B76" s="55" t="s">
        <v>506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576</v>
      </c>
      <c r="L76" s="56" t="s">
        <v>576</v>
      </c>
      <c r="M76" s="56" t="s">
        <v>6</v>
      </c>
    </row>
    <row r="77" spans="1:13" ht="14.25" customHeight="1">
      <c r="A77" s="49" t="s">
        <v>24</v>
      </c>
      <c r="B77" s="49" t="s">
        <v>508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640</v>
      </c>
      <c r="L77" s="50" t="s">
        <v>640</v>
      </c>
      <c r="M77" s="50" t="s">
        <v>6</v>
      </c>
    </row>
    <row r="78" spans="1:13" ht="14.25" customHeight="1">
      <c r="A78" s="55" t="s">
        <v>24</v>
      </c>
      <c r="B78" s="55" t="s">
        <v>509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646</v>
      </c>
      <c r="L78" s="56" t="s">
        <v>646</v>
      </c>
      <c r="M78" s="56" t="s">
        <v>6</v>
      </c>
    </row>
    <row r="79" spans="1:13" ht="14.25" customHeight="1">
      <c r="A79" s="49" t="s">
        <v>24</v>
      </c>
      <c r="B79" s="49" t="s">
        <v>511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647</v>
      </c>
      <c r="L79" s="50" t="s">
        <v>647</v>
      </c>
      <c r="M79" s="50" t="s">
        <v>6</v>
      </c>
    </row>
    <row r="80" spans="1:13" ht="14.25" customHeight="1">
      <c r="A80" s="55" t="s">
        <v>24</v>
      </c>
      <c r="B80" s="55" t="s">
        <v>512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650</v>
      </c>
      <c r="L80" s="56" t="s">
        <v>650</v>
      </c>
      <c r="M80" s="56" t="s">
        <v>6</v>
      </c>
    </row>
    <row r="81" spans="1:13" ht="14.25" customHeight="1">
      <c r="A81" s="49" t="s">
        <v>24</v>
      </c>
      <c r="B81" s="49" t="s">
        <v>514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651</v>
      </c>
      <c r="L81" s="50" t="s">
        <v>651</v>
      </c>
      <c r="M81" s="50" t="s">
        <v>6</v>
      </c>
    </row>
    <row r="82" spans="1:13" ht="14.25" customHeight="1">
      <c r="A82" s="55" t="s">
        <v>24</v>
      </c>
      <c r="B82" s="55" t="s">
        <v>516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652</v>
      </c>
      <c r="L82" s="56" t="s">
        <v>652</v>
      </c>
      <c r="M82" s="56" t="s">
        <v>6</v>
      </c>
    </row>
    <row r="83" spans="1:13" ht="14.25" customHeight="1">
      <c r="A83" s="49" t="s">
        <v>24</v>
      </c>
      <c r="B83" s="49" t="s">
        <v>518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582</v>
      </c>
      <c r="L83" s="50" t="s">
        <v>582</v>
      </c>
      <c r="M83" s="50" t="s">
        <v>6</v>
      </c>
    </row>
    <row r="84" spans="1:13" ht="14.25" customHeight="1">
      <c r="A84" s="55" t="s">
        <v>24</v>
      </c>
      <c r="B84" s="55" t="s">
        <v>520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585</v>
      </c>
      <c r="L84" s="56" t="s">
        <v>582</v>
      </c>
      <c r="M84" s="56" t="s">
        <v>6</v>
      </c>
    </row>
    <row r="85" spans="1:13" ht="14.25" customHeight="1">
      <c r="A85" s="49" t="s">
        <v>25</v>
      </c>
      <c r="B85" s="49" t="s">
        <v>522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581</v>
      </c>
      <c r="L85" s="50" t="s">
        <v>634</v>
      </c>
      <c r="M85" s="50" t="s">
        <v>6</v>
      </c>
    </row>
    <row r="86" spans="1:13" ht="14.25" customHeight="1">
      <c r="A86" s="55" t="s">
        <v>25</v>
      </c>
      <c r="B86" s="55" t="s">
        <v>532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635</v>
      </c>
      <c r="L86" s="56" t="s">
        <v>590</v>
      </c>
      <c r="M86" s="56" t="s">
        <v>6</v>
      </c>
    </row>
    <row r="87" spans="1:13" ht="14.25" customHeight="1">
      <c r="A87" s="49" t="s">
        <v>25</v>
      </c>
      <c r="B87" s="49" t="s">
        <v>537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591</v>
      </c>
      <c r="L87" s="50" t="s">
        <v>639</v>
      </c>
      <c r="M87" s="50" t="s">
        <v>6</v>
      </c>
    </row>
    <row r="88" spans="1:13" ht="14.25" customHeight="1">
      <c r="A88" s="55" t="s">
        <v>25</v>
      </c>
      <c r="B88" s="55" t="s">
        <v>542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576</v>
      </c>
      <c r="L88" s="56" t="s">
        <v>576</v>
      </c>
      <c r="M88" s="56" t="s">
        <v>6</v>
      </c>
    </row>
    <row r="89" spans="1:13" ht="14.25" customHeight="1">
      <c r="A89" s="49" t="s">
        <v>25</v>
      </c>
      <c r="B89" s="49" t="s">
        <v>544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640</v>
      </c>
      <c r="L89" s="50" t="s">
        <v>640</v>
      </c>
      <c r="M89" s="50" t="s">
        <v>6</v>
      </c>
    </row>
    <row r="90" spans="1:13" ht="14.25" customHeight="1">
      <c r="A90" s="55" t="s">
        <v>25</v>
      </c>
      <c r="B90" s="55" t="s">
        <v>547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646</v>
      </c>
      <c r="L90" s="56" t="s">
        <v>646</v>
      </c>
      <c r="M90" s="56" t="s">
        <v>6</v>
      </c>
    </row>
    <row r="91" spans="1:13" ht="14.25" customHeight="1">
      <c r="A91" s="49" t="s">
        <v>25</v>
      </c>
      <c r="B91" s="49" t="s">
        <v>550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647</v>
      </c>
      <c r="L91" s="50" t="s">
        <v>647</v>
      </c>
      <c r="M91" s="50" t="s">
        <v>6</v>
      </c>
    </row>
    <row r="92" spans="1:13" ht="14.25" customHeight="1">
      <c r="A92" s="55" t="s">
        <v>25</v>
      </c>
      <c r="B92" s="57" t="s">
        <v>553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650</v>
      </c>
      <c r="L92" s="56" t="s">
        <v>650</v>
      </c>
      <c r="M92" s="56" t="s">
        <v>6</v>
      </c>
    </row>
    <row r="93" spans="1:13" ht="14.25" customHeight="1">
      <c r="A93" s="49" t="s">
        <v>25</v>
      </c>
      <c r="B93" s="49" t="s">
        <v>557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651</v>
      </c>
      <c r="L93" s="50" t="s">
        <v>651</v>
      </c>
      <c r="M93" s="50" t="s">
        <v>6</v>
      </c>
    </row>
    <row r="94" spans="1:13" ht="14.25" customHeight="1">
      <c r="A94" s="55" t="s">
        <v>25</v>
      </c>
      <c r="B94" s="55" t="s">
        <v>558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652</v>
      </c>
      <c r="L94" s="56" t="s">
        <v>652</v>
      </c>
      <c r="M94" s="56" t="s">
        <v>6</v>
      </c>
    </row>
    <row r="95" spans="1:13" ht="14.25" customHeight="1">
      <c r="A95" s="49" t="s">
        <v>25</v>
      </c>
      <c r="B95" s="54" t="s">
        <v>560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582</v>
      </c>
      <c r="L95" s="50" t="s">
        <v>582</v>
      </c>
      <c r="M95" s="50" t="s">
        <v>6</v>
      </c>
    </row>
    <row r="96" spans="1:13" ht="14.25" customHeight="1">
      <c r="A96" s="55" t="s">
        <v>25</v>
      </c>
      <c r="B96" s="57" t="s">
        <v>561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585</v>
      </c>
      <c r="L96" s="56" t="s">
        <v>585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584</v>
      </c>
      <c r="L97" s="50" t="s">
        <v>650</v>
      </c>
      <c r="M97" s="50" t="s">
        <v>6</v>
      </c>
    </row>
    <row r="98" spans="1:13" ht="14.25" customHeight="1">
      <c r="A98" s="55" t="s">
        <v>26</v>
      </c>
      <c r="B98" s="55" t="s">
        <v>563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651</v>
      </c>
      <c r="L98" s="56" t="s">
        <v>585</v>
      </c>
      <c r="M98" s="56" t="s">
        <v>6</v>
      </c>
    </row>
    <row r="99" spans="1:13" ht="14.25" customHeight="1">
      <c r="A99" s="51" t="s">
        <v>27</v>
      </c>
      <c r="B99" s="52" t="s">
        <v>653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654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655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589</v>
      </c>
      <c r="H4" s="48" t="s">
        <v>568</v>
      </c>
      <c r="I4" s="48" t="s">
        <v>17</v>
      </c>
      <c r="J4" s="48" t="s">
        <v>18</v>
      </c>
      <c r="K4" s="48" t="s">
        <v>656</v>
      </c>
      <c r="L4" s="48" t="s">
        <v>61</v>
      </c>
      <c r="M4" s="48" t="s">
        <v>657</v>
      </c>
      <c r="N4" s="48" t="s">
        <v>658</v>
      </c>
    </row>
    <row r="5" spans="1:15" ht="14.25" customHeight="1">
      <c r="A5" s="49" t="s">
        <v>20</v>
      </c>
      <c r="B5" s="54" t="s">
        <v>72</v>
      </c>
      <c r="C5" s="49" t="s">
        <v>73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573</v>
      </c>
      <c r="J5" s="50" t="s">
        <v>625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72</v>
      </c>
      <c r="C6" s="55" t="s">
        <v>86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626</v>
      </c>
      <c r="J6" s="56" t="s">
        <v>627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72</v>
      </c>
      <c r="C7" s="49" t="s">
        <v>87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628</v>
      </c>
      <c r="J7" s="50" t="s">
        <v>628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72</v>
      </c>
      <c r="C8" s="55" t="s">
        <v>95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628</v>
      </c>
      <c r="J8" s="56" t="s">
        <v>628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72</v>
      </c>
      <c r="C9" s="54" t="s">
        <v>115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629</v>
      </c>
      <c r="J9" s="50" t="s">
        <v>629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72</v>
      </c>
      <c r="C10" s="55" t="s">
        <v>93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630</v>
      </c>
      <c r="J10" s="56" t="s">
        <v>630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72</v>
      </c>
      <c r="C11" s="49" t="s">
        <v>82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631</v>
      </c>
      <c r="J11" s="50" t="s">
        <v>631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72</v>
      </c>
      <c r="C12" s="55" t="s">
        <v>91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632</v>
      </c>
      <c r="J12" s="56" t="s">
        <v>632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72</v>
      </c>
      <c r="C13" s="49" t="s">
        <v>85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633</v>
      </c>
      <c r="J13" s="50" t="s">
        <v>633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72</v>
      </c>
      <c r="C14" s="55" t="s">
        <v>89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634</v>
      </c>
      <c r="J14" s="56" t="s">
        <v>634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72</v>
      </c>
      <c r="C15" s="49" t="s">
        <v>100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635</v>
      </c>
      <c r="J15" s="50" t="s">
        <v>635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72</v>
      </c>
      <c r="C16" s="55" t="s">
        <v>99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584</v>
      </c>
      <c r="J16" s="56" t="s">
        <v>584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72</v>
      </c>
      <c r="C17" s="49" t="s">
        <v>75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584</v>
      </c>
      <c r="J17" s="50" t="s">
        <v>584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72</v>
      </c>
      <c r="C18" s="55" t="s">
        <v>96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636</v>
      </c>
      <c r="J18" s="56" t="s">
        <v>636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72</v>
      </c>
      <c r="C19" s="54" t="s">
        <v>113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636</v>
      </c>
      <c r="J19" s="50" t="s">
        <v>636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72</v>
      </c>
      <c r="C20" s="55" t="s">
        <v>94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590</v>
      </c>
      <c r="J20" s="56" t="s">
        <v>590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72</v>
      </c>
      <c r="C21" s="49" t="s">
        <v>90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590</v>
      </c>
      <c r="J21" s="50" t="s">
        <v>590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72</v>
      </c>
      <c r="C22" s="55" t="s">
        <v>78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591</v>
      </c>
      <c r="J22" s="56" t="s">
        <v>591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72</v>
      </c>
      <c r="C23" s="49" t="s">
        <v>92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591</v>
      </c>
      <c r="J23" s="50" t="s">
        <v>591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72</v>
      </c>
      <c r="C24" s="55" t="s">
        <v>237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591</v>
      </c>
      <c r="J24" s="56" t="s">
        <v>591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72</v>
      </c>
      <c r="C25" s="54" t="s">
        <v>106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637</v>
      </c>
      <c r="J25" s="50" t="s">
        <v>637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72</v>
      </c>
      <c r="C26" s="57" t="s">
        <v>108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637</v>
      </c>
      <c r="J26" s="56" t="s">
        <v>637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72</v>
      </c>
      <c r="C27" s="54" t="s">
        <v>110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637</v>
      </c>
      <c r="J27" s="50" t="s">
        <v>637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72</v>
      </c>
      <c r="C28" s="55" t="s">
        <v>80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638</v>
      </c>
      <c r="J28" s="56" t="s">
        <v>638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72</v>
      </c>
      <c r="C29" s="49" t="s">
        <v>97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638</v>
      </c>
      <c r="J29" s="50" t="s">
        <v>638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72</v>
      </c>
      <c r="C30" s="55" t="s">
        <v>98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638</v>
      </c>
      <c r="J30" s="56" t="s">
        <v>638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72</v>
      </c>
      <c r="C31" s="49" t="s">
        <v>101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639</v>
      </c>
      <c r="J31" s="50" t="s">
        <v>639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116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639</v>
      </c>
      <c r="J32" s="56" t="s">
        <v>640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116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646</v>
      </c>
      <c r="J33" s="50" t="s">
        <v>650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116</v>
      </c>
      <c r="C34" s="55" t="s">
        <v>145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651</v>
      </c>
      <c r="J34" s="56" t="s">
        <v>651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116</v>
      </c>
      <c r="C35" s="49" t="s">
        <v>121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652</v>
      </c>
      <c r="J35" s="50" t="s">
        <v>652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116</v>
      </c>
      <c r="C36" s="55" t="s">
        <v>122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652</v>
      </c>
      <c r="J36" s="56" t="s">
        <v>652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116</v>
      </c>
      <c r="C37" s="49" t="s">
        <v>144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582</v>
      </c>
      <c r="J37" s="50" t="s">
        <v>582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116</v>
      </c>
      <c r="C38" s="55" t="s">
        <v>124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585</v>
      </c>
      <c r="J38" s="56" t="s">
        <v>585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116</v>
      </c>
      <c r="C39" s="49" t="s">
        <v>119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585</v>
      </c>
      <c r="J39" s="50" t="s">
        <v>585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116</v>
      </c>
      <c r="C40" s="55" t="s">
        <v>117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648</v>
      </c>
      <c r="J40" s="56" t="s">
        <v>648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116</v>
      </c>
      <c r="C41" s="49" t="s">
        <v>134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649</v>
      </c>
      <c r="J41" s="50" t="s">
        <v>649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116</v>
      </c>
      <c r="C42" s="55" t="s">
        <v>132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649</v>
      </c>
      <c r="J42" s="56" t="s">
        <v>649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116</v>
      </c>
      <c r="C43" s="49" t="s">
        <v>131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592</v>
      </c>
      <c r="J43" s="50" t="s">
        <v>592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116</v>
      </c>
      <c r="C44" s="55" t="s">
        <v>123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592</v>
      </c>
      <c r="J44" s="56" t="s">
        <v>592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116</v>
      </c>
      <c r="C45" s="49" t="s">
        <v>143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593</v>
      </c>
      <c r="J45" s="50" t="s">
        <v>593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116</v>
      </c>
      <c r="C46" s="55" t="s">
        <v>147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593</v>
      </c>
      <c r="J46" s="56" t="s">
        <v>593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116</v>
      </c>
      <c r="C47" s="49" t="s">
        <v>146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593</v>
      </c>
      <c r="J47" s="50" t="s">
        <v>593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116</v>
      </c>
      <c r="C48" s="55" t="s">
        <v>142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583</v>
      </c>
      <c r="J48" s="56" t="s">
        <v>583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116</v>
      </c>
      <c r="C49" s="49" t="s">
        <v>138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583</v>
      </c>
      <c r="J49" s="50" t="s">
        <v>583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116</v>
      </c>
      <c r="C50" s="55" t="s">
        <v>141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583</v>
      </c>
      <c r="J50" s="56" t="s">
        <v>583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116</v>
      </c>
      <c r="C51" s="49" t="s">
        <v>140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659</v>
      </c>
      <c r="J51" s="50" t="s">
        <v>659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116</v>
      </c>
      <c r="C52" s="55" t="s">
        <v>139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659</v>
      </c>
      <c r="J52" s="56" t="s">
        <v>659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116</v>
      </c>
      <c r="C53" s="49" t="s">
        <v>137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659</v>
      </c>
      <c r="J53" s="50" t="s">
        <v>659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116</v>
      </c>
      <c r="C54" s="55" t="s">
        <v>136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580</v>
      </c>
      <c r="J54" s="56" t="s">
        <v>580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116</v>
      </c>
      <c r="C55" s="49" t="s">
        <v>135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580</v>
      </c>
      <c r="J55" s="50" t="s">
        <v>580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116</v>
      </c>
      <c r="C56" s="55" t="s">
        <v>148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580</v>
      </c>
      <c r="J56" s="56" t="s">
        <v>580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116</v>
      </c>
      <c r="C57" s="49" t="s">
        <v>149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660</v>
      </c>
      <c r="J57" s="50" t="s">
        <v>660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116</v>
      </c>
      <c r="C58" s="55" t="s">
        <v>150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660</v>
      </c>
      <c r="J58" s="56" t="s">
        <v>660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116</v>
      </c>
      <c r="C59" s="49" t="s">
        <v>151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660</v>
      </c>
      <c r="J59" s="50" t="s">
        <v>660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116</v>
      </c>
      <c r="C60" s="55" t="s">
        <v>152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660</v>
      </c>
      <c r="J60" s="56" t="s">
        <v>660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153</v>
      </c>
      <c r="C61" s="49" t="s">
        <v>154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660</v>
      </c>
      <c r="J61" s="50" t="s">
        <v>660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153</v>
      </c>
      <c r="C62" s="55" t="s">
        <v>174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661</v>
      </c>
      <c r="J62" s="56" t="s">
        <v>661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153</v>
      </c>
      <c r="C63" s="49" t="s">
        <v>180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661</v>
      </c>
      <c r="J63" s="50" t="s">
        <v>661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153</v>
      </c>
      <c r="C64" s="55" t="s">
        <v>175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662</v>
      </c>
      <c r="J64" s="56" t="s">
        <v>662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153</v>
      </c>
      <c r="C65" s="49" t="s">
        <v>178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662</v>
      </c>
      <c r="J65" s="50" t="s">
        <v>662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153</v>
      </c>
      <c r="C66" s="55" t="s">
        <v>164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663</v>
      </c>
      <c r="J66" s="56" t="s">
        <v>663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153</v>
      </c>
      <c r="C67" s="49" t="s">
        <v>162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663</v>
      </c>
      <c r="J67" s="50" t="s">
        <v>663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153</v>
      </c>
      <c r="C68" s="55" t="s">
        <v>181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641</v>
      </c>
      <c r="J68" s="56" t="s">
        <v>641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153</v>
      </c>
      <c r="C69" s="49" t="s">
        <v>159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641</v>
      </c>
      <c r="J69" s="50" t="s">
        <v>641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153</v>
      </c>
      <c r="C70" s="55" t="s">
        <v>158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642</v>
      </c>
      <c r="J70" s="56" t="s">
        <v>642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153</v>
      </c>
      <c r="C71" s="49" t="s">
        <v>155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642</v>
      </c>
      <c r="J71" s="50" t="s">
        <v>642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153</v>
      </c>
      <c r="C72" s="55" t="s">
        <v>173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594</v>
      </c>
      <c r="J72" s="56" t="s">
        <v>594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153</v>
      </c>
      <c r="C73" s="49" t="s">
        <v>179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594</v>
      </c>
      <c r="J73" s="50" t="s">
        <v>594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153</v>
      </c>
      <c r="C74" s="55" t="s">
        <v>177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595</v>
      </c>
      <c r="J74" s="56" t="s">
        <v>595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153</v>
      </c>
      <c r="C75" s="49" t="s">
        <v>176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595</v>
      </c>
      <c r="J75" s="50" t="s">
        <v>595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153</v>
      </c>
      <c r="C76" s="55" t="s">
        <v>183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595</v>
      </c>
      <c r="J76" s="56" t="s">
        <v>595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153</v>
      </c>
      <c r="C77" s="49" t="s">
        <v>186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664</v>
      </c>
      <c r="J77" s="50" t="s">
        <v>664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153</v>
      </c>
      <c r="C78" s="55" t="s">
        <v>171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664</v>
      </c>
      <c r="J78" s="56" t="s">
        <v>664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153</v>
      </c>
      <c r="C79" s="49" t="s">
        <v>170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664</v>
      </c>
      <c r="J79" s="50" t="s">
        <v>664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153</v>
      </c>
      <c r="C80" s="55" t="s">
        <v>169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665</v>
      </c>
      <c r="J80" s="56" t="s">
        <v>665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153</v>
      </c>
      <c r="C81" s="49" t="s">
        <v>168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665</v>
      </c>
      <c r="J81" s="50" t="s">
        <v>665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153</v>
      </c>
      <c r="C82" s="55" t="s">
        <v>167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665</v>
      </c>
      <c r="J82" s="56" t="s">
        <v>665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153</v>
      </c>
      <c r="C83" s="49" t="s">
        <v>166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666</v>
      </c>
      <c r="J83" s="50" t="s">
        <v>666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153</v>
      </c>
      <c r="C84" s="55" t="s">
        <v>163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666</v>
      </c>
      <c r="J84" s="56" t="s">
        <v>666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153</v>
      </c>
      <c r="C85" s="49" t="s">
        <v>157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666</v>
      </c>
      <c r="J85" s="50" t="s">
        <v>666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153</v>
      </c>
      <c r="C86" s="55" t="s">
        <v>172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667</v>
      </c>
      <c r="J86" s="56" t="s">
        <v>667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153</v>
      </c>
      <c r="C87" s="49" t="s">
        <v>161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667</v>
      </c>
      <c r="J87" s="50" t="s">
        <v>667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153</v>
      </c>
      <c r="C88" s="55" t="s">
        <v>160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667</v>
      </c>
      <c r="J88" s="56" t="s">
        <v>667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153</v>
      </c>
      <c r="C89" s="49" t="s">
        <v>182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667</v>
      </c>
      <c r="J89" s="50" t="s">
        <v>667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153</v>
      </c>
      <c r="C90" s="55" t="s">
        <v>184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667</v>
      </c>
      <c r="J90" s="56" t="s">
        <v>667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153</v>
      </c>
      <c r="C91" s="49" t="s">
        <v>185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667</v>
      </c>
      <c r="J91" s="50" t="s">
        <v>667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153</v>
      </c>
      <c r="C92" s="55" t="s">
        <v>156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643</v>
      </c>
      <c r="J92" s="56" t="s">
        <v>643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153</v>
      </c>
      <c r="C93" s="49" t="s">
        <v>187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643</v>
      </c>
      <c r="J93" s="50" t="s">
        <v>643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188</v>
      </c>
      <c r="C94" s="55" t="s">
        <v>192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643</v>
      </c>
      <c r="J94" s="56" t="s">
        <v>668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188</v>
      </c>
      <c r="C95" s="49" t="s">
        <v>73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596</v>
      </c>
      <c r="J95" s="50" t="s">
        <v>669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188</v>
      </c>
      <c r="C96" s="57" t="s">
        <v>200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670</v>
      </c>
      <c r="J96" s="56" t="s">
        <v>670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188</v>
      </c>
      <c r="C97" s="49" t="s">
        <v>189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671</v>
      </c>
      <c r="J97" s="50" t="s">
        <v>671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188</v>
      </c>
      <c r="C98" s="55" t="s">
        <v>190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597</v>
      </c>
      <c r="J98" s="56" t="s">
        <v>597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188</v>
      </c>
      <c r="C99" s="49" t="s">
        <v>191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597</v>
      </c>
      <c r="J99" s="50" t="s">
        <v>597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188</v>
      </c>
      <c r="C100" s="55" t="s">
        <v>197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597</v>
      </c>
      <c r="J100" s="56" t="s">
        <v>597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188</v>
      </c>
      <c r="C101" s="49" t="s">
        <v>198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598</v>
      </c>
      <c r="J101" s="50" t="s">
        <v>598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188</v>
      </c>
      <c r="C102" s="55" t="s">
        <v>199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598</v>
      </c>
      <c r="J102" s="56" t="s">
        <v>598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201</v>
      </c>
      <c r="C103" s="49" t="s">
        <v>202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598</v>
      </c>
      <c r="J103" s="50" t="s">
        <v>598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201</v>
      </c>
      <c r="C104" s="55" t="s">
        <v>204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672</v>
      </c>
      <c r="J104" s="56" t="s">
        <v>672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201</v>
      </c>
      <c r="C105" s="49" t="s">
        <v>206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599</v>
      </c>
      <c r="J105" s="50" t="s">
        <v>599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201</v>
      </c>
      <c r="C106" s="55" t="s">
        <v>203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599</v>
      </c>
      <c r="J106" s="56" t="s">
        <v>599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201</v>
      </c>
      <c r="C107" s="49" t="s">
        <v>205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600</v>
      </c>
      <c r="J107" s="50" t="s">
        <v>600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201</v>
      </c>
      <c r="C108" s="55" t="s">
        <v>213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600</v>
      </c>
      <c r="J108" s="56" t="s">
        <v>600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201</v>
      </c>
      <c r="C109" s="49" t="s">
        <v>207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601</v>
      </c>
      <c r="J109" s="50" t="s">
        <v>601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201</v>
      </c>
      <c r="C110" s="55" t="s">
        <v>208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601</v>
      </c>
      <c r="J110" s="56" t="s">
        <v>601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201</v>
      </c>
      <c r="C111" s="49" t="s">
        <v>209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601</v>
      </c>
      <c r="J111" s="50" t="s">
        <v>601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201</v>
      </c>
      <c r="C112" s="55" t="s">
        <v>210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602</v>
      </c>
      <c r="J112" s="56" t="s">
        <v>602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201</v>
      </c>
      <c r="C113" s="49" t="s">
        <v>211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602</v>
      </c>
      <c r="J113" s="50" t="s">
        <v>602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201</v>
      </c>
      <c r="C114" s="55" t="s">
        <v>212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602</v>
      </c>
      <c r="J114" s="56" t="s">
        <v>602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201</v>
      </c>
      <c r="C115" s="49" t="s">
        <v>214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603</v>
      </c>
      <c r="J115" s="50" t="s">
        <v>603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215</v>
      </c>
      <c r="C116" s="55" t="s">
        <v>224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603</v>
      </c>
      <c r="J116" s="56" t="s">
        <v>603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215</v>
      </c>
      <c r="C117" s="49" t="s">
        <v>216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604</v>
      </c>
      <c r="J117" s="50" t="s">
        <v>604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215</v>
      </c>
      <c r="C118" s="55" t="s">
        <v>218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605</v>
      </c>
      <c r="J118" s="56" t="s">
        <v>605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215</v>
      </c>
      <c r="C119" s="49" t="s">
        <v>219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605</v>
      </c>
      <c r="J119" s="50" t="s">
        <v>605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215</v>
      </c>
      <c r="C120" s="55" t="s">
        <v>220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606</v>
      </c>
      <c r="J120" s="56" t="s">
        <v>606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215</v>
      </c>
      <c r="C121" s="49" t="s">
        <v>221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606</v>
      </c>
      <c r="J121" s="50" t="s">
        <v>606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215</v>
      </c>
      <c r="C122" s="55" t="s">
        <v>222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606</v>
      </c>
      <c r="J122" s="56" t="s">
        <v>606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215</v>
      </c>
      <c r="C123" s="49" t="s">
        <v>223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607</v>
      </c>
      <c r="J123" s="50" t="s">
        <v>607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215</v>
      </c>
      <c r="C124" s="55" t="s">
        <v>225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607</v>
      </c>
      <c r="J124" s="56" t="s">
        <v>607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226</v>
      </c>
      <c r="C125" s="49" t="s">
        <v>73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607</v>
      </c>
      <c r="J125" s="50" t="s">
        <v>608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226</v>
      </c>
      <c r="C126" s="57" t="s">
        <v>229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609</v>
      </c>
      <c r="J126" s="56" t="s">
        <v>609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226</v>
      </c>
      <c r="C127" s="54" t="s">
        <v>231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610</v>
      </c>
      <c r="J127" s="50" t="s">
        <v>610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226</v>
      </c>
      <c r="C128" s="55" t="s">
        <v>227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610</v>
      </c>
      <c r="J128" s="56" t="s">
        <v>610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226</v>
      </c>
      <c r="C129" s="49" t="s">
        <v>228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610</v>
      </c>
      <c r="J129" s="50" t="s">
        <v>610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226</v>
      </c>
      <c r="C130" s="57" t="s">
        <v>230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610</v>
      </c>
      <c r="J130" s="56" t="s">
        <v>610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232</v>
      </c>
      <c r="C131" s="49" t="s">
        <v>233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610</v>
      </c>
      <c r="J131" s="50" t="s">
        <v>611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232</v>
      </c>
      <c r="C132" s="55" t="s">
        <v>73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612</v>
      </c>
      <c r="J132" s="56" t="s">
        <v>612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234</v>
      </c>
      <c r="C133" s="49" t="s">
        <v>73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613</v>
      </c>
      <c r="J133" s="50" t="s">
        <v>613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234</v>
      </c>
      <c r="C134" s="57" t="s">
        <v>235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673</v>
      </c>
      <c r="J134" s="56" t="s">
        <v>673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236</v>
      </c>
      <c r="C135" s="49" t="s">
        <v>73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674</v>
      </c>
      <c r="J135" s="50" t="s">
        <v>674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236</v>
      </c>
      <c r="C136" s="55" t="s">
        <v>237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675</v>
      </c>
      <c r="J136" s="56" t="s">
        <v>675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238</v>
      </c>
      <c r="C137" s="49" t="s">
        <v>73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676</v>
      </c>
      <c r="J137" s="50" t="s">
        <v>677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239</v>
      </c>
      <c r="C138" s="55" t="s">
        <v>73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678</v>
      </c>
      <c r="J138" s="56" t="s">
        <v>678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239</v>
      </c>
      <c r="C139" s="54" t="s">
        <v>235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678</v>
      </c>
      <c r="J139" s="50" t="s">
        <v>678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240</v>
      </c>
      <c r="C140" s="55" t="s">
        <v>73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679</v>
      </c>
      <c r="J140" s="56" t="s">
        <v>679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240</v>
      </c>
      <c r="C141" s="54" t="s">
        <v>241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680</v>
      </c>
      <c r="J141" s="50" t="s">
        <v>680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242</v>
      </c>
      <c r="C142" s="55" t="s">
        <v>242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680</v>
      </c>
      <c r="J142" s="56" t="s">
        <v>680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243</v>
      </c>
      <c r="C143" s="49" t="s">
        <v>243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680</v>
      </c>
      <c r="J143" s="50" t="s">
        <v>680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244</v>
      </c>
      <c r="C144" s="55" t="s">
        <v>244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574</v>
      </c>
      <c r="J144" s="56" t="s">
        <v>574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245</v>
      </c>
      <c r="C145" s="54" t="s">
        <v>246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574</v>
      </c>
      <c r="J145" s="50" t="s">
        <v>574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247</v>
      </c>
      <c r="C146" s="57" t="s">
        <v>248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574</v>
      </c>
      <c r="J146" s="56" t="s">
        <v>574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249</v>
      </c>
      <c r="C147" s="49" t="s">
        <v>237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574</v>
      </c>
      <c r="J147" s="50" t="s">
        <v>574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250</v>
      </c>
      <c r="C148" s="55" t="s">
        <v>73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575</v>
      </c>
      <c r="J148" s="56" t="s">
        <v>681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250</v>
      </c>
      <c r="C149" s="49" t="s">
        <v>252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682</v>
      </c>
      <c r="J149" s="50" t="s">
        <v>683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250</v>
      </c>
      <c r="C150" s="55" t="s">
        <v>192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684</v>
      </c>
      <c r="J150" s="56" t="s">
        <v>614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250</v>
      </c>
      <c r="C151" s="49" t="s">
        <v>251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615</v>
      </c>
      <c r="J151" s="50" t="s">
        <v>615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250</v>
      </c>
      <c r="C152" s="55" t="s">
        <v>255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685</v>
      </c>
      <c r="J152" s="56" t="s">
        <v>685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250</v>
      </c>
      <c r="C153" s="49" t="s">
        <v>254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686</v>
      </c>
      <c r="J153" s="50" t="s">
        <v>686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250</v>
      </c>
      <c r="C154" s="55" t="s">
        <v>256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579</v>
      </c>
      <c r="J154" s="56" t="s">
        <v>579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260</v>
      </c>
      <c r="C155" s="54" t="s">
        <v>270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579</v>
      </c>
      <c r="J155" s="50" t="s">
        <v>579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260</v>
      </c>
      <c r="C156" s="57" t="s">
        <v>272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687</v>
      </c>
      <c r="J156" s="56" t="s">
        <v>687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260</v>
      </c>
      <c r="C157" s="49" t="s">
        <v>259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616</v>
      </c>
      <c r="J157" s="50" t="s">
        <v>616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260</v>
      </c>
      <c r="C158" s="55" t="s">
        <v>263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617</v>
      </c>
      <c r="J158" s="56" t="s">
        <v>617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260</v>
      </c>
      <c r="C159" s="54" t="s">
        <v>271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688</v>
      </c>
      <c r="J159" s="50" t="s">
        <v>688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260</v>
      </c>
      <c r="C160" s="55" t="s">
        <v>262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618</v>
      </c>
      <c r="J160" s="56" t="s">
        <v>618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260</v>
      </c>
      <c r="C161" s="49" t="s">
        <v>264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619</v>
      </c>
      <c r="J161" s="50" t="s">
        <v>619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260</v>
      </c>
      <c r="C162" s="57" t="s">
        <v>265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619</v>
      </c>
      <c r="J162" s="56" t="s">
        <v>619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260</v>
      </c>
      <c r="C163" s="54" t="s">
        <v>266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581</v>
      </c>
      <c r="J163" s="50" t="s">
        <v>581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260</v>
      </c>
      <c r="C164" s="55" t="s">
        <v>261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581</v>
      </c>
      <c r="J164" s="56" t="s">
        <v>581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260</v>
      </c>
      <c r="C165" s="54" t="s">
        <v>267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620</v>
      </c>
      <c r="J165" s="50" t="s">
        <v>620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260</v>
      </c>
      <c r="C166" s="57" t="s">
        <v>268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620</v>
      </c>
      <c r="J166" s="56" t="s">
        <v>620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260</v>
      </c>
      <c r="C167" s="54" t="s">
        <v>269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620</v>
      </c>
      <c r="J167" s="50" t="s">
        <v>620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260</v>
      </c>
      <c r="C168" s="57" t="s">
        <v>689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620</v>
      </c>
      <c r="J168" s="56" t="s">
        <v>620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273</v>
      </c>
      <c r="C169" s="49" t="s">
        <v>690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621</v>
      </c>
      <c r="J169" s="50" t="s">
        <v>622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273</v>
      </c>
      <c r="C170" s="55" t="s">
        <v>276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623</v>
      </c>
      <c r="J170" s="56" t="s">
        <v>624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273</v>
      </c>
      <c r="C171" s="49" t="s">
        <v>277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625</v>
      </c>
      <c r="J171" s="50" t="s">
        <v>625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278</v>
      </c>
      <c r="C172" s="55" t="s">
        <v>281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625</v>
      </c>
      <c r="J172" s="56" t="s">
        <v>626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278</v>
      </c>
      <c r="C173" s="49" t="s">
        <v>282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627</v>
      </c>
      <c r="J173" s="50" t="s">
        <v>627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278</v>
      </c>
      <c r="C174" s="55" t="s">
        <v>280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628</v>
      </c>
      <c r="J174" s="56" t="s">
        <v>628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278</v>
      </c>
      <c r="C175" s="49" t="s">
        <v>279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628</v>
      </c>
      <c r="J175" s="50" t="s">
        <v>628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283</v>
      </c>
      <c r="C176" s="55" t="s">
        <v>279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628</v>
      </c>
      <c r="J176" s="56" t="s">
        <v>629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283</v>
      </c>
      <c r="C177" s="49" t="s">
        <v>284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630</v>
      </c>
      <c r="J177" s="50" t="s">
        <v>630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283</v>
      </c>
      <c r="C178" s="55" t="s">
        <v>285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631</v>
      </c>
      <c r="J178" s="56" t="s">
        <v>631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286</v>
      </c>
      <c r="C179" s="49" t="s">
        <v>288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631</v>
      </c>
      <c r="J179" s="50" t="s">
        <v>631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286</v>
      </c>
      <c r="C180" s="55" t="s">
        <v>287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632</v>
      </c>
      <c r="J180" s="56" t="s">
        <v>632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286</v>
      </c>
      <c r="C181" s="54" t="s">
        <v>289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632</v>
      </c>
      <c r="J181" s="50" t="s">
        <v>632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291</v>
      </c>
      <c r="C182" s="55" t="s">
        <v>292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633</v>
      </c>
      <c r="J182" s="56" t="s">
        <v>633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291</v>
      </c>
      <c r="C183" s="54" t="s">
        <v>293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633</v>
      </c>
      <c r="J183" s="50" t="s">
        <v>633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294</v>
      </c>
      <c r="C184" s="55" t="s">
        <v>295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634</v>
      </c>
      <c r="J184" s="56" t="s">
        <v>634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296</v>
      </c>
      <c r="C185" s="49" t="s">
        <v>297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634</v>
      </c>
      <c r="J185" s="50" t="s">
        <v>634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296</v>
      </c>
      <c r="C186" s="55" t="s">
        <v>73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635</v>
      </c>
      <c r="J186" s="56" t="s">
        <v>635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298</v>
      </c>
      <c r="C187" s="49" t="s">
        <v>299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635</v>
      </c>
      <c r="J187" s="50" t="s">
        <v>635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302</v>
      </c>
      <c r="C188" s="55" t="s">
        <v>304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584</v>
      </c>
      <c r="J188" s="56" t="s">
        <v>584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302</v>
      </c>
      <c r="C189" s="49" t="s">
        <v>303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584</v>
      </c>
      <c r="J189" s="50" t="s">
        <v>584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305</v>
      </c>
      <c r="C190" s="55" t="s">
        <v>306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636</v>
      </c>
      <c r="J190" s="56" t="s">
        <v>636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307</v>
      </c>
      <c r="C191" s="49" t="s">
        <v>308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636</v>
      </c>
      <c r="J191" s="50" t="s">
        <v>636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309</v>
      </c>
      <c r="C192" s="55" t="s">
        <v>310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590</v>
      </c>
      <c r="J192" s="56" t="s">
        <v>590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311</v>
      </c>
      <c r="C193" s="49" t="s">
        <v>312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590</v>
      </c>
      <c r="J193" s="50" t="s">
        <v>590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313</v>
      </c>
      <c r="C194" s="55" t="s">
        <v>314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591</v>
      </c>
      <c r="J194" s="56" t="s">
        <v>591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315</v>
      </c>
      <c r="C195" s="49" t="s">
        <v>690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591</v>
      </c>
      <c r="J195" s="50" t="s">
        <v>591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317</v>
      </c>
      <c r="C196" s="55" t="s">
        <v>318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637</v>
      </c>
      <c r="J196" s="56" t="s">
        <v>637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319</v>
      </c>
      <c r="C197" s="49" t="s">
        <v>192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637</v>
      </c>
      <c r="J197" s="50" t="s">
        <v>637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320</v>
      </c>
      <c r="C198" s="55" t="s">
        <v>321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638</v>
      </c>
      <c r="J198" s="56" t="s">
        <v>638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322</v>
      </c>
      <c r="C199" s="49" t="s">
        <v>323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638</v>
      </c>
      <c r="J199" s="50" t="s">
        <v>638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324</v>
      </c>
      <c r="C200" s="55" t="s">
        <v>325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638</v>
      </c>
      <c r="J200" s="56" t="s">
        <v>638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326</v>
      </c>
      <c r="C201" s="49" t="s">
        <v>327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638</v>
      </c>
      <c r="J201" s="50" t="s">
        <v>638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328</v>
      </c>
      <c r="C202" s="55" t="s">
        <v>329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639</v>
      </c>
      <c r="J202" s="56" t="s">
        <v>639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330</v>
      </c>
      <c r="C203" s="49" t="s">
        <v>331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639</v>
      </c>
      <c r="J203" s="50" t="s">
        <v>639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332</v>
      </c>
      <c r="C204" s="55" t="s">
        <v>333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639</v>
      </c>
      <c r="J204" s="56" t="s">
        <v>639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334</v>
      </c>
      <c r="C205" s="49" t="s">
        <v>335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639</v>
      </c>
      <c r="J205" s="50" t="s">
        <v>639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336</v>
      </c>
      <c r="C206" s="55" t="s">
        <v>337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576</v>
      </c>
      <c r="J206" s="56" t="s">
        <v>576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338</v>
      </c>
      <c r="C207" s="49" t="s">
        <v>339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576</v>
      </c>
      <c r="J207" s="50" t="s">
        <v>576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340</v>
      </c>
      <c r="C208" s="55" t="s">
        <v>341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576</v>
      </c>
      <c r="J208" s="56" t="s">
        <v>576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342</v>
      </c>
      <c r="C209" s="49" t="s">
        <v>343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576</v>
      </c>
      <c r="J209" s="50" t="s">
        <v>576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344</v>
      </c>
      <c r="C210" s="55" t="s">
        <v>73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577</v>
      </c>
      <c r="J210" s="56" t="s">
        <v>616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344</v>
      </c>
      <c r="C211" s="49" t="s">
        <v>362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617</v>
      </c>
      <c r="J211" s="50" t="s">
        <v>688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344</v>
      </c>
      <c r="C212" s="55" t="s">
        <v>346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618</v>
      </c>
      <c r="J212" s="56" t="s">
        <v>618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344</v>
      </c>
      <c r="C213" s="49" t="s">
        <v>353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618</v>
      </c>
      <c r="J213" s="50" t="s">
        <v>618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344</v>
      </c>
      <c r="C214" s="55" t="s">
        <v>364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619</v>
      </c>
      <c r="J214" s="56" t="s">
        <v>619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344</v>
      </c>
      <c r="C215" s="49" t="s">
        <v>347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581</v>
      </c>
      <c r="J215" s="50" t="s">
        <v>581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344</v>
      </c>
      <c r="C216" s="55" t="s">
        <v>357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620</v>
      </c>
      <c r="J216" s="56" t="s">
        <v>620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344</v>
      </c>
      <c r="C217" s="49" t="s">
        <v>354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621</v>
      </c>
      <c r="J217" s="50" t="s">
        <v>621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344</v>
      </c>
      <c r="C218" s="55" t="s">
        <v>363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622</v>
      </c>
      <c r="J218" s="56" t="s">
        <v>622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344</v>
      </c>
      <c r="C219" s="49" t="s">
        <v>352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623</v>
      </c>
      <c r="J219" s="50" t="s">
        <v>623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344</v>
      </c>
      <c r="C220" s="55" t="s">
        <v>351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624</v>
      </c>
      <c r="J220" s="56" t="s">
        <v>624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344</v>
      </c>
      <c r="C221" s="49" t="s">
        <v>350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625</v>
      </c>
      <c r="J221" s="50" t="s">
        <v>625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344</v>
      </c>
      <c r="C222" s="55" t="s">
        <v>348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626</v>
      </c>
      <c r="J222" s="56" t="s">
        <v>626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344</v>
      </c>
      <c r="C223" s="49" t="s">
        <v>349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627</v>
      </c>
      <c r="J223" s="50" t="s">
        <v>627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344</v>
      </c>
      <c r="C224" s="55" t="s">
        <v>393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628</v>
      </c>
      <c r="J224" s="56" t="s">
        <v>628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344</v>
      </c>
      <c r="C225" s="49" t="s">
        <v>390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629</v>
      </c>
      <c r="J225" s="50" t="s">
        <v>629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344</v>
      </c>
      <c r="C226" s="55" t="s">
        <v>345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630</v>
      </c>
      <c r="J226" s="56" t="s">
        <v>630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344</v>
      </c>
      <c r="C227" s="49" t="s">
        <v>388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631</v>
      </c>
      <c r="J227" s="50" t="s">
        <v>631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344</v>
      </c>
      <c r="C228" s="55" t="s">
        <v>358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632</v>
      </c>
      <c r="J228" s="56" t="s">
        <v>632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344</v>
      </c>
      <c r="C229" s="49" t="s">
        <v>365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633</v>
      </c>
      <c r="J229" s="50" t="s">
        <v>633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344</v>
      </c>
      <c r="C230" s="55" t="s">
        <v>392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634</v>
      </c>
      <c r="J230" s="56" t="s">
        <v>634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344</v>
      </c>
      <c r="C231" s="49" t="s">
        <v>386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635</v>
      </c>
      <c r="J231" s="50" t="s">
        <v>635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344</v>
      </c>
      <c r="C232" s="55" t="s">
        <v>385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584</v>
      </c>
      <c r="J232" s="56" t="s">
        <v>584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344</v>
      </c>
      <c r="C233" s="49" t="s">
        <v>384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636</v>
      </c>
      <c r="J233" s="50" t="s">
        <v>636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344</v>
      </c>
      <c r="C234" s="55" t="s">
        <v>373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590</v>
      </c>
      <c r="J234" s="56" t="s">
        <v>590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344</v>
      </c>
      <c r="C235" s="49" t="s">
        <v>383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591</v>
      </c>
      <c r="J235" s="50" t="s">
        <v>591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344</v>
      </c>
      <c r="C236" s="55" t="s">
        <v>387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637</v>
      </c>
      <c r="J236" s="56" t="s">
        <v>637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344</v>
      </c>
      <c r="C237" s="49" t="s">
        <v>366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638</v>
      </c>
      <c r="J237" s="50" t="s">
        <v>638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344</v>
      </c>
      <c r="C238" s="55" t="s">
        <v>361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639</v>
      </c>
      <c r="J238" s="56" t="s">
        <v>639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344</v>
      </c>
      <c r="C239" s="49" t="s">
        <v>359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576</v>
      </c>
      <c r="J239" s="50" t="s">
        <v>576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344</v>
      </c>
      <c r="C240" s="55" t="s">
        <v>356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640</v>
      </c>
      <c r="J240" s="56" t="s">
        <v>640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344</v>
      </c>
      <c r="C241" s="49" t="s">
        <v>389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646</v>
      </c>
      <c r="J241" s="50" t="s">
        <v>646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344</v>
      </c>
      <c r="C242" s="55" t="s">
        <v>391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647</v>
      </c>
      <c r="J242" s="56" t="s">
        <v>647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344</v>
      </c>
      <c r="C243" s="49" t="s">
        <v>380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647</v>
      </c>
      <c r="J243" s="50" t="s">
        <v>647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344</v>
      </c>
      <c r="C244" s="55" t="s">
        <v>394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650</v>
      </c>
      <c r="J244" s="56" t="s">
        <v>650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344</v>
      </c>
      <c r="C245" s="49" t="s">
        <v>381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650</v>
      </c>
      <c r="J245" s="50" t="s">
        <v>650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344</v>
      </c>
      <c r="C246" s="55" t="s">
        <v>372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651</v>
      </c>
      <c r="J246" s="56" t="s">
        <v>651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344</v>
      </c>
      <c r="C247" s="49" t="s">
        <v>379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651</v>
      </c>
      <c r="J247" s="50" t="s">
        <v>651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344</v>
      </c>
      <c r="C248" s="55" t="s">
        <v>371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652</v>
      </c>
      <c r="J248" s="56" t="s">
        <v>652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344</v>
      </c>
      <c r="C249" s="49" t="s">
        <v>355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652</v>
      </c>
      <c r="J249" s="50" t="s">
        <v>652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344</v>
      </c>
      <c r="C250" s="55" t="s">
        <v>360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652</v>
      </c>
      <c r="J250" s="56" t="s">
        <v>652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344</v>
      </c>
      <c r="C251" s="49" t="s">
        <v>367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582</v>
      </c>
      <c r="J251" s="50" t="s">
        <v>582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344</v>
      </c>
      <c r="C252" s="55" t="s">
        <v>369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582</v>
      </c>
      <c r="J252" s="56" t="s">
        <v>582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344</v>
      </c>
      <c r="C253" s="49" t="s">
        <v>370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585</v>
      </c>
      <c r="J253" s="50" t="s">
        <v>585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344</v>
      </c>
      <c r="C254" s="55" t="s">
        <v>368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585</v>
      </c>
      <c r="J254" s="56" t="s">
        <v>585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344</v>
      </c>
      <c r="C255" s="49" t="s">
        <v>374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648</v>
      </c>
      <c r="J255" s="50" t="s">
        <v>648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344</v>
      </c>
      <c r="C256" s="55" t="s">
        <v>375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648</v>
      </c>
      <c r="J256" s="56" t="s">
        <v>648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344</v>
      </c>
      <c r="C257" s="49" t="s">
        <v>376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649</v>
      </c>
      <c r="J257" s="50" t="s">
        <v>649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344</v>
      </c>
      <c r="C258" s="55" t="s">
        <v>377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649</v>
      </c>
      <c r="J258" s="56" t="s">
        <v>649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344</v>
      </c>
      <c r="C259" s="49" t="s">
        <v>378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649</v>
      </c>
      <c r="J259" s="50" t="s">
        <v>649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344</v>
      </c>
      <c r="C260" s="55" t="s">
        <v>400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592</v>
      </c>
      <c r="J260" s="56" t="s">
        <v>592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344</v>
      </c>
      <c r="C261" s="49" t="s">
        <v>382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592</v>
      </c>
      <c r="J261" s="50" t="s">
        <v>592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344</v>
      </c>
      <c r="C262" s="55" t="s">
        <v>395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592</v>
      </c>
      <c r="J262" s="56" t="s">
        <v>592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344</v>
      </c>
      <c r="C263" s="49" t="s">
        <v>396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593</v>
      </c>
      <c r="J263" s="50" t="s">
        <v>593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344</v>
      </c>
      <c r="C264" s="55" t="s">
        <v>397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593</v>
      </c>
      <c r="J264" s="56" t="s">
        <v>593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344</v>
      </c>
      <c r="C265" s="49" t="s">
        <v>398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593</v>
      </c>
      <c r="J265" s="50" t="s">
        <v>593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344</v>
      </c>
      <c r="C266" s="55" t="s">
        <v>399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593</v>
      </c>
      <c r="J266" s="56" t="s">
        <v>593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401</v>
      </c>
      <c r="C267" s="49" t="s">
        <v>402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583</v>
      </c>
      <c r="J267" s="50" t="s">
        <v>642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401</v>
      </c>
      <c r="C268" s="55" t="s">
        <v>404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594</v>
      </c>
      <c r="J268" s="56" t="s">
        <v>594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401</v>
      </c>
      <c r="C269" s="49" t="s">
        <v>403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594</v>
      </c>
      <c r="J269" s="50" t="s">
        <v>594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405</v>
      </c>
      <c r="C270" s="55" t="s">
        <v>406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594</v>
      </c>
      <c r="J270" s="56" t="s">
        <v>644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405</v>
      </c>
      <c r="C271" s="49" t="s">
        <v>407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645</v>
      </c>
      <c r="J271" s="50" t="s">
        <v>645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408</v>
      </c>
      <c r="C272" s="57" t="s">
        <v>410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668</v>
      </c>
      <c r="J272" s="56" t="s">
        <v>668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408</v>
      </c>
      <c r="C273" s="54" t="s">
        <v>409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596</v>
      </c>
      <c r="J273" s="50" t="s">
        <v>596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411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578</v>
      </c>
      <c r="J274" s="56" t="s">
        <v>578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412</v>
      </c>
      <c r="C275" s="49" t="s">
        <v>413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579</v>
      </c>
      <c r="J275" s="50" t="s">
        <v>579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412</v>
      </c>
      <c r="C276" s="55" t="s">
        <v>421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687</v>
      </c>
      <c r="J276" s="56" t="s">
        <v>687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412</v>
      </c>
      <c r="C277" s="49" t="s">
        <v>436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616</v>
      </c>
      <c r="J277" s="50" t="s">
        <v>616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412</v>
      </c>
      <c r="C278" s="55" t="s">
        <v>417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617</v>
      </c>
      <c r="J278" s="56" t="s">
        <v>617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412</v>
      </c>
      <c r="C279" s="49" t="s">
        <v>418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688</v>
      </c>
      <c r="J279" s="50" t="s">
        <v>688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412</v>
      </c>
      <c r="C280" s="55" t="s">
        <v>432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618</v>
      </c>
      <c r="J280" s="56" t="s">
        <v>618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412</v>
      </c>
      <c r="C281" s="49" t="s">
        <v>414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619</v>
      </c>
      <c r="J281" s="50" t="s">
        <v>619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412</v>
      </c>
      <c r="C282" s="55" t="s">
        <v>426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581</v>
      </c>
      <c r="J282" s="56" t="s">
        <v>581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412</v>
      </c>
      <c r="C283" s="49" t="s">
        <v>437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620</v>
      </c>
      <c r="J283" s="50" t="s">
        <v>620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412</v>
      </c>
      <c r="C284" s="55" t="s">
        <v>435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620</v>
      </c>
      <c r="J284" s="56" t="s">
        <v>620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412</v>
      </c>
      <c r="C285" s="49" t="s">
        <v>434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621</v>
      </c>
      <c r="J285" s="50" t="s">
        <v>621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412</v>
      </c>
      <c r="C286" s="55" t="s">
        <v>433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622</v>
      </c>
      <c r="J286" s="56" t="s">
        <v>622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412</v>
      </c>
      <c r="C287" s="49" t="s">
        <v>431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622</v>
      </c>
      <c r="J287" s="50" t="s">
        <v>622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412</v>
      </c>
      <c r="C288" s="55" t="s">
        <v>427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623</v>
      </c>
      <c r="J288" s="56" t="s">
        <v>623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412</v>
      </c>
      <c r="C289" s="49" t="s">
        <v>425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623</v>
      </c>
      <c r="J289" s="50" t="s">
        <v>623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412</v>
      </c>
      <c r="C290" s="55" t="s">
        <v>424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624</v>
      </c>
      <c r="J290" s="56" t="s">
        <v>624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412</v>
      </c>
      <c r="C291" s="49" t="s">
        <v>423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625</v>
      </c>
      <c r="J291" s="50" t="s">
        <v>625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412</v>
      </c>
      <c r="C292" s="55" t="s">
        <v>422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625</v>
      </c>
      <c r="J292" s="56" t="s">
        <v>625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412</v>
      </c>
      <c r="C293" s="49" t="s">
        <v>420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626</v>
      </c>
      <c r="J293" s="50" t="s">
        <v>626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412</v>
      </c>
      <c r="C294" s="55" t="s">
        <v>416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627</v>
      </c>
      <c r="J294" s="56" t="s">
        <v>627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412</v>
      </c>
      <c r="C295" s="49" t="s">
        <v>441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627</v>
      </c>
      <c r="J295" s="50" t="s">
        <v>627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412</v>
      </c>
      <c r="C296" s="55" t="s">
        <v>428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628</v>
      </c>
      <c r="J296" s="56" t="s">
        <v>628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412</v>
      </c>
      <c r="C297" s="49" t="s">
        <v>429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628</v>
      </c>
      <c r="J297" s="50" t="s">
        <v>628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412</v>
      </c>
      <c r="C298" s="55" t="s">
        <v>430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629</v>
      </c>
      <c r="J298" s="56" t="s">
        <v>629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412</v>
      </c>
      <c r="C299" s="49" t="s">
        <v>419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629</v>
      </c>
      <c r="J299" s="50" t="s">
        <v>629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412</v>
      </c>
      <c r="C300" s="55" t="s">
        <v>415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629</v>
      </c>
      <c r="J300" s="56" t="s">
        <v>629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412</v>
      </c>
      <c r="C301" s="49" t="s">
        <v>438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630</v>
      </c>
      <c r="J301" s="50" t="s">
        <v>630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412</v>
      </c>
      <c r="C302" s="55" t="s">
        <v>439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630</v>
      </c>
      <c r="J302" s="56" t="s">
        <v>630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412</v>
      </c>
      <c r="C303" s="49" t="s">
        <v>440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630</v>
      </c>
      <c r="J303" s="50" t="s">
        <v>630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442</v>
      </c>
      <c r="C304" s="55" t="s">
        <v>454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631</v>
      </c>
      <c r="J304" s="56" t="s">
        <v>632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442</v>
      </c>
      <c r="C305" s="49" t="s">
        <v>443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633</v>
      </c>
      <c r="J305" s="50" t="s">
        <v>633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442</v>
      </c>
      <c r="C306" s="55" t="s">
        <v>447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634</v>
      </c>
      <c r="J306" s="56" t="s">
        <v>634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442</v>
      </c>
      <c r="C307" s="49" t="s">
        <v>444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635</v>
      </c>
      <c r="J307" s="50" t="s">
        <v>635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442</v>
      </c>
      <c r="C308" s="55" t="s">
        <v>445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584</v>
      </c>
      <c r="J308" s="56" t="s">
        <v>584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442</v>
      </c>
      <c r="C309" s="49" t="s">
        <v>446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636</v>
      </c>
      <c r="J309" s="50" t="s">
        <v>636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442</v>
      </c>
      <c r="C310" s="55" t="s">
        <v>448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590</v>
      </c>
      <c r="J310" s="56" t="s">
        <v>590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442</v>
      </c>
      <c r="C311" s="49" t="s">
        <v>449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590</v>
      </c>
      <c r="J311" s="50" t="s">
        <v>590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442</v>
      </c>
      <c r="C312" s="55" t="s">
        <v>450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591</v>
      </c>
      <c r="J312" s="56" t="s">
        <v>591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442</v>
      </c>
      <c r="C313" s="49" t="s">
        <v>451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637</v>
      </c>
      <c r="J313" s="50" t="s">
        <v>637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442</v>
      </c>
      <c r="C314" s="55" t="s">
        <v>452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637</v>
      </c>
      <c r="J314" s="56" t="s">
        <v>637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442</v>
      </c>
      <c r="C315" s="49" t="s">
        <v>453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638</v>
      </c>
      <c r="J315" s="50" t="s">
        <v>638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442</v>
      </c>
      <c r="C316" s="55" t="s">
        <v>455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639</v>
      </c>
      <c r="J316" s="56" t="s">
        <v>639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456</v>
      </c>
      <c r="C317" s="49" t="s">
        <v>457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639</v>
      </c>
      <c r="J317" s="50" t="s">
        <v>639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456</v>
      </c>
      <c r="C318" s="55" t="s">
        <v>458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576</v>
      </c>
      <c r="J318" s="56" t="s">
        <v>576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456</v>
      </c>
      <c r="C319" s="49" t="s">
        <v>459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640</v>
      </c>
      <c r="J319" s="50" t="s">
        <v>640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456</v>
      </c>
      <c r="C320" s="55" t="s">
        <v>464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646</v>
      </c>
      <c r="J320" s="56" t="s">
        <v>646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456</v>
      </c>
      <c r="C321" s="49" t="s">
        <v>460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647</v>
      </c>
      <c r="J321" s="50" t="s">
        <v>647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456</v>
      </c>
      <c r="C322" s="55" t="s">
        <v>461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650</v>
      </c>
      <c r="J322" s="56" t="s">
        <v>650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456</v>
      </c>
      <c r="C323" s="49" t="s">
        <v>462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651</v>
      </c>
      <c r="J323" s="50" t="s">
        <v>651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456</v>
      </c>
      <c r="C324" s="55" t="s">
        <v>463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651</v>
      </c>
      <c r="J324" s="56" t="s">
        <v>651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456</v>
      </c>
      <c r="C325" s="49" t="s">
        <v>465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652</v>
      </c>
      <c r="J325" s="50" t="s">
        <v>652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466</v>
      </c>
      <c r="C326" s="55" t="s">
        <v>73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582</v>
      </c>
      <c r="J326" s="56" t="s">
        <v>649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466</v>
      </c>
      <c r="C327" s="49" t="s">
        <v>468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592</v>
      </c>
      <c r="J327" s="50" t="s">
        <v>592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466</v>
      </c>
      <c r="C328" s="55" t="s">
        <v>469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592</v>
      </c>
      <c r="J328" s="56" t="s">
        <v>592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466</v>
      </c>
      <c r="C329" s="49" t="s">
        <v>227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593</v>
      </c>
      <c r="J329" s="50" t="s">
        <v>593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466</v>
      </c>
      <c r="C330" s="55" t="s">
        <v>467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593</v>
      </c>
      <c r="J330" s="56" t="s">
        <v>593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470</v>
      </c>
      <c r="C331" s="49" t="s">
        <v>471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593</v>
      </c>
      <c r="J331" s="50" t="s">
        <v>593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472</v>
      </c>
      <c r="C332" s="55" t="s">
        <v>472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583</v>
      </c>
      <c r="J332" s="56" t="s">
        <v>583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473</v>
      </c>
      <c r="C333" s="49" t="s">
        <v>471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659</v>
      </c>
      <c r="J333" s="50" t="s">
        <v>659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474</v>
      </c>
      <c r="C334" s="57" t="s">
        <v>475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580</v>
      </c>
      <c r="J334" s="56" t="s">
        <v>580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476</v>
      </c>
      <c r="C335" s="49" t="s">
        <v>477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580</v>
      </c>
      <c r="J335" s="50" t="s">
        <v>580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478</v>
      </c>
      <c r="C336" s="55" t="s">
        <v>479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580</v>
      </c>
      <c r="J336" s="56" t="s">
        <v>580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73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581</v>
      </c>
      <c r="J337" s="50" t="s">
        <v>626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481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627</v>
      </c>
      <c r="J338" s="56" t="s">
        <v>627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482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628</v>
      </c>
      <c r="J339" s="50" t="s">
        <v>628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485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629</v>
      </c>
      <c r="J340" s="56" t="s">
        <v>629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480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630</v>
      </c>
      <c r="J341" s="50" t="s">
        <v>630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484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630</v>
      </c>
      <c r="J342" s="56" t="s">
        <v>630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486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631</v>
      </c>
      <c r="J343" s="50" t="s">
        <v>631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632</v>
      </c>
      <c r="J344" s="56" t="s">
        <v>632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483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632</v>
      </c>
      <c r="J345" s="50" t="s">
        <v>632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487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633</v>
      </c>
      <c r="J346" s="56" t="s">
        <v>633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488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633</v>
      </c>
      <c r="J347" s="50" t="s">
        <v>633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489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633</v>
      </c>
      <c r="J348" s="56" t="s">
        <v>633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490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634</v>
      </c>
      <c r="J349" s="50" t="s">
        <v>634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634</v>
      </c>
      <c r="J350" s="56" t="s">
        <v>634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493</v>
      </c>
      <c r="C351" s="49" t="s">
        <v>73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634</v>
      </c>
      <c r="J351" s="50" t="s">
        <v>635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493</v>
      </c>
      <c r="C352" s="55" t="s">
        <v>480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584</v>
      </c>
      <c r="J352" s="56" t="s">
        <v>584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493</v>
      </c>
      <c r="C353" s="49" t="s">
        <v>494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636</v>
      </c>
      <c r="J353" s="50" t="s">
        <v>636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493</v>
      </c>
      <c r="C354" s="55" t="s">
        <v>495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590</v>
      </c>
      <c r="J354" s="56" t="s">
        <v>590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493</v>
      </c>
      <c r="C355" s="49" t="s">
        <v>496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591</v>
      </c>
      <c r="J355" s="50" t="s">
        <v>591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493</v>
      </c>
      <c r="C356" s="57" t="s">
        <v>498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637</v>
      </c>
      <c r="J356" s="56" t="s">
        <v>637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493</v>
      </c>
      <c r="C357" s="54" t="s">
        <v>499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637</v>
      </c>
      <c r="J357" s="50" t="s">
        <v>637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493</v>
      </c>
      <c r="C358" s="57" t="s">
        <v>500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638</v>
      </c>
      <c r="J358" s="56" t="s">
        <v>638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493</v>
      </c>
      <c r="C359" s="49" t="s">
        <v>497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638</v>
      </c>
      <c r="J359" s="50" t="s">
        <v>638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501</v>
      </c>
      <c r="C360" s="55" t="s">
        <v>496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639</v>
      </c>
      <c r="J360" s="56" t="s">
        <v>639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501</v>
      </c>
      <c r="C361" s="49" t="s">
        <v>73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639</v>
      </c>
      <c r="J361" s="50" t="s">
        <v>639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502</v>
      </c>
      <c r="C362" s="55" t="s">
        <v>496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576</v>
      </c>
      <c r="J362" s="56" t="s">
        <v>576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502</v>
      </c>
      <c r="C363" s="49" t="s">
        <v>73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576</v>
      </c>
      <c r="J363" s="50" t="s">
        <v>576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503</v>
      </c>
      <c r="C364" s="55" t="s">
        <v>496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640</v>
      </c>
      <c r="J364" s="56" t="s">
        <v>640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504</v>
      </c>
      <c r="C365" s="49" t="s">
        <v>505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640</v>
      </c>
      <c r="J365" s="50" t="s">
        <v>640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506</v>
      </c>
      <c r="C366" s="55" t="s">
        <v>507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646</v>
      </c>
      <c r="J366" s="56" t="s">
        <v>646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508</v>
      </c>
      <c r="C367" s="49" t="s">
        <v>308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647</v>
      </c>
      <c r="J367" s="50" t="s">
        <v>647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509</v>
      </c>
      <c r="C368" s="55" t="s">
        <v>510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647</v>
      </c>
      <c r="J368" s="56" t="s">
        <v>647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511</v>
      </c>
      <c r="C369" s="49" t="s">
        <v>467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650</v>
      </c>
      <c r="J369" s="50" t="s">
        <v>650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512</v>
      </c>
      <c r="C370" s="55" t="s">
        <v>513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651</v>
      </c>
      <c r="J370" s="56" t="s">
        <v>651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514</v>
      </c>
      <c r="C371" s="49" t="s">
        <v>515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651</v>
      </c>
      <c r="J371" s="50" t="s">
        <v>651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516</v>
      </c>
      <c r="C372" s="55" t="s">
        <v>517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652</v>
      </c>
      <c r="J372" s="56" t="s">
        <v>652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518</v>
      </c>
      <c r="C373" s="49" t="s">
        <v>519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582</v>
      </c>
      <c r="J373" s="50" t="s">
        <v>582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520</v>
      </c>
      <c r="C374" s="55" t="s">
        <v>521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582</v>
      </c>
      <c r="J374" s="56" t="s">
        <v>582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522</v>
      </c>
      <c r="C375" s="49" t="s">
        <v>73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581</v>
      </c>
      <c r="J375" s="50" t="s">
        <v>624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522</v>
      </c>
      <c r="C376" s="55" t="s">
        <v>530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625</v>
      </c>
      <c r="J376" s="56" t="s">
        <v>628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522</v>
      </c>
      <c r="C377" s="49" t="s">
        <v>523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629</v>
      </c>
      <c r="J377" s="50" t="s">
        <v>629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522</v>
      </c>
      <c r="C378" s="55" t="s">
        <v>528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630</v>
      </c>
      <c r="J378" s="56" t="s">
        <v>630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522</v>
      </c>
      <c r="C379" s="49" t="s">
        <v>529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631</v>
      </c>
      <c r="J379" s="50" t="s">
        <v>631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522</v>
      </c>
      <c r="C380" s="55" t="s">
        <v>524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632</v>
      </c>
      <c r="J380" s="56" t="s">
        <v>632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522</v>
      </c>
      <c r="C381" s="49" t="s">
        <v>525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633</v>
      </c>
      <c r="J381" s="50" t="s">
        <v>633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522</v>
      </c>
      <c r="C382" s="55" t="s">
        <v>526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634</v>
      </c>
      <c r="J382" s="56" t="s">
        <v>634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522</v>
      </c>
      <c r="C383" s="49" t="s">
        <v>527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634</v>
      </c>
      <c r="J383" s="50" t="s">
        <v>634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522</v>
      </c>
      <c r="C384" s="57" t="s">
        <v>531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635</v>
      </c>
      <c r="J384" s="56" t="s">
        <v>635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532</v>
      </c>
      <c r="C385" s="49" t="s">
        <v>73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635</v>
      </c>
      <c r="J385" s="50" t="s">
        <v>636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532</v>
      </c>
      <c r="C386" s="57" t="s">
        <v>536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590</v>
      </c>
      <c r="J386" s="56" t="s">
        <v>590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532</v>
      </c>
      <c r="C387" s="49" t="s">
        <v>533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591</v>
      </c>
      <c r="J387" s="50" t="s">
        <v>591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532</v>
      </c>
      <c r="C388" s="57" t="s">
        <v>535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637</v>
      </c>
      <c r="J388" s="56" t="s">
        <v>637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532</v>
      </c>
      <c r="C389" s="54" t="s">
        <v>691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637</v>
      </c>
      <c r="J389" s="50" t="s">
        <v>637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537</v>
      </c>
      <c r="C390" s="55" t="s">
        <v>73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638</v>
      </c>
      <c r="J390" s="56" t="s">
        <v>639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537</v>
      </c>
      <c r="C391" s="54" t="s">
        <v>541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576</v>
      </c>
      <c r="J391" s="50" t="s">
        <v>640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537</v>
      </c>
      <c r="C392" s="57" t="s">
        <v>538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646</v>
      </c>
      <c r="J392" s="56" t="s">
        <v>646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537</v>
      </c>
      <c r="C393" s="54" t="s">
        <v>539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646</v>
      </c>
      <c r="J393" s="50" t="s">
        <v>646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537</v>
      </c>
      <c r="C394" s="57" t="s">
        <v>540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646</v>
      </c>
      <c r="J394" s="56" t="s">
        <v>646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542</v>
      </c>
      <c r="C395" s="49" t="s">
        <v>73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647</v>
      </c>
      <c r="J395" s="50" t="s">
        <v>650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542</v>
      </c>
      <c r="C396" s="57" t="s">
        <v>692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651</v>
      </c>
      <c r="J396" s="56" t="s">
        <v>651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544</v>
      </c>
      <c r="C397" s="49" t="s">
        <v>73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651</v>
      </c>
      <c r="J397" s="50" t="s">
        <v>651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544</v>
      </c>
      <c r="C398" s="55" t="s">
        <v>545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652</v>
      </c>
      <c r="J398" s="56" t="s">
        <v>652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544</v>
      </c>
      <c r="C399" s="54" t="s">
        <v>546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652</v>
      </c>
      <c r="J399" s="50" t="s">
        <v>652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547</v>
      </c>
      <c r="C400" s="55" t="s">
        <v>73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582</v>
      </c>
      <c r="J400" s="56" t="s">
        <v>582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547</v>
      </c>
      <c r="C401" s="49" t="s">
        <v>548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585</v>
      </c>
      <c r="J401" s="50" t="s">
        <v>585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547</v>
      </c>
      <c r="C402" s="57" t="s">
        <v>549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585</v>
      </c>
      <c r="J402" s="56" t="s">
        <v>585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550</v>
      </c>
      <c r="C403" s="49" t="s">
        <v>551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648</v>
      </c>
      <c r="J403" s="50" t="s">
        <v>648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550</v>
      </c>
      <c r="C404" s="55" t="s">
        <v>73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648</v>
      </c>
      <c r="J404" s="56" t="s">
        <v>648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550</v>
      </c>
      <c r="C405" s="49" t="s">
        <v>552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649</v>
      </c>
      <c r="J405" s="50" t="s">
        <v>649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553</v>
      </c>
      <c r="C406" s="55" t="s">
        <v>554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649</v>
      </c>
      <c r="J406" s="56" t="s">
        <v>649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553</v>
      </c>
      <c r="C407" s="49" t="s">
        <v>555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592</v>
      </c>
      <c r="J407" s="50" t="s">
        <v>592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553</v>
      </c>
      <c r="C408" s="57" t="s">
        <v>556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592</v>
      </c>
      <c r="J408" s="56" t="s">
        <v>592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557</v>
      </c>
      <c r="C409" s="49" t="s">
        <v>467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592</v>
      </c>
      <c r="J409" s="50" t="s">
        <v>592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558</v>
      </c>
      <c r="C410" s="55" t="s">
        <v>559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593</v>
      </c>
      <c r="J410" s="56" t="s">
        <v>593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560</v>
      </c>
      <c r="C411" s="49" t="s">
        <v>551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583</v>
      </c>
      <c r="J411" s="50" t="s">
        <v>583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561</v>
      </c>
      <c r="C412" s="57" t="s">
        <v>543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583</v>
      </c>
      <c r="J412" s="56" t="s">
        <v>583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562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584</v>
      </c>
      <c r="J413" s="50" t="s">
        <v>576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530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640</v>
      </c>
      <c r="J414" s="56" t="s">
        <v>650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563</v>
      </c>
      <c r="C415" s="49" t="s">
        <v>564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651</v>
      </c>
      <c r="J415" s="50" t="s">
        <v>585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693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694</v>
      </c>
    </row>
    <row r="2" spans="1:5" ht="15" customHeight="1"/>
    <row r="3" spans="1:5" ht="28.5" customHeight="1">
      <c r="A3" s="48" t="s">
        <v>58</v>
      </c>
      <c r="B3" s="58" t="s">
        <v>695</v>
      </c>
      <c r="C3" s="48" t="s">
        <v>696</v>
      </c>
      <c r="D3" s="48" t="s">
        <v>697</v>
      </c>
      <c r="E3" s="48" t="s">
        <v>61</v>
      </c>
    </row>
    <row r="4" spans="1:5" ht="14.25" customHeight="1">
      <c r="A4" s="52" t="s">
        <v>193</v>
      </c>
      <c r="B4" s="52">
        <v>4</v>
      </c>
      <c r="C4" s="52">
        <v>4</v>
      </c>
      <c r="D4" s="52">
        <v>0</v>
      </c>
      <c r="E4" s="52" t="s">
        <v>698</v>
      </c>
    </row>
    <row r="5" spans="1:5" ht="14.25" customHeight="1">
      <c r="A5" s="52" t="s">
        <v>83</v>
      </c>
      <c r="B5" s="52">
        <v>45</v>
      </c>
      <c r="C5" s="52">
        <v>39</v>
      </c>
      <c r="D5" s="52">
        <v>-6</v>
      </c>
      <c r="E5" s="52" t="s">
        <v>699</v>
      </c>
    </row>
    <row r="6" spans="1:5" ht="14.25" customHeight="1">
      <c r="A6" s="59" t="s">
        <v>79</v>
      </c>
      <c r="B6" s="59">
        <v>584</v>
      </c>
      <c r="C6" s="59">
        <v>550</v>
      </c>
      <c r="D6" s="59">
        <v>-34</v>
      </c>
      <c r="E6" s="59" t="s">
        <v>700</v>
      </c>
    </row>
    <row r="7" spans="1:5" ht="14.25" customHeight="1">
      <c r="A7" s="52" t="s">
        <v>76</v>
      </c>
      <c r="B7" s="52">
        <v>37</v>
      </c>
      <c r="C7" s="52">
        <v>30</v>
      </c>
      <c r="D7" s="52">
        <v>-7</v>
      </c>
      <c r="E7" s="52" t="s">
        <v>699</v>
      </c>
    </row>
    <row r="8" spans="1:5" ht="14.25" customHeight="1">
      <c r="A8" s="59" t="s">
        <v>84</v>
      </c>
      <c r="B8" s="59">
        <v>320</v>
      </c>
      <c r="C8" s="59">
        <v>299</v>
      </c>
      <c r="D8" s="59">
        <v>-21</v>
      </c>
      <c r="E8" s="59" t="s">
        <v>700</v>
      </c>
    </row>
    <row r="9" spans="1:5" ht="14.25" customHeight="1">
      <c r="A9" s="52" t="s">
        <v>81</v>
      </c>
      <c r="B9" s="52">
        <v>2</v>
      </c>
      <c r="C9" s="52">
        <v>2</v>
      </c>
      <c r="D9" s="52">
        <v>0</v>
      </c>
      <c r="E9" s="52" t="s">
        <v>698</v>
      </c>
    </row>
    <row r="10" spans="1:5" ht="14.25" customHeight="1">
      <c r="A10" s="52" t="s">
        <v>120</v>
      </c>
      <c r="B10" s="52">
        <v>47</v>
      </c>
      <c r="C10" s="52">
        <v>47</v>
      </c>
      <c r="D10" s="52">
        <v>0</v>
      </c>
      <c r="E10" s="52" t="s">
        <v>698</v>
      </c>
    </row>
    <row r="11" spans="1:5" ht="14.25" customHeight="1">
      <c r="A11" s="52" t="s">
        <v>118</v>
      </c>
      <c r="B11" s="52">
        <v>62</v>
      </c>
      <c r="C11" s="52">
        <v>64</v>
      </c>
      <c r="D11" s="52">
        <v>2</v>
      </c>
      <c r="E11" s="52" t="s">
        <v>698</v>
      </c>
    </row>
    <row r="12" spans="1:5" ht="14.25" customHeight="1">
      <c r="A12" s="52" t="s">
        <v>125</v>
      </c>
      <c r="B12" s="52">
        <v>4</v>
      </c>
      <c r="C12" s="52">
        <v>4</v>
      </c>
      <c r="D12" s="52">
        <v>0</v>
      </c>
      <c r="E12" s="52" t="s">
        <v>698</v>
      </c>
    </row>
    <row r="13" spans="1:5" ht="14.25" customHeight="1">
      <c r="A13" s="52" t="s">
        <v>126</v>
      </c>
      <c r="B13" s="52">
        <v>10</v>
      </c>
      <c r="C13" s="52">
        <v>10</v>
      </c>
      <c r="D13" s="52">
        <v>0</v>
      </c>
      <c r="E13" s="52" t="s">
        <v>698</v>
      </c>
    </row>
    <row r="14" spans="1:5" ht="14.25" customHeight="1">
      <c r="A14" s="52" t="s">
        <v>275</v>
      </c>
      <c r="B14" s="52">
        <v>4</v>
      </c>
      <c r="C14" s="52">
        <v>0</v>
      </c>
      <c r="D14" s="52">
        <v>-4</v>
      </c>
      <c r="E14" s="52" t="s">
        <v>698</v>
      </c>
    </row>
    <row r="15" spans="1:5" ht="14.25" customHeight="1">
      <c r="A15" s="52" t="s">
        <v>127</v>
      </c>
      <c r="B15" s="52">
        <v>2</v>
      </c>
      <c r="C15" s="52">
        <v>2</v>
      </c>
      <c r="D15" s="52">
        <v>0</v>
      </c>
      <c r="E15" s="52" t="s">
        <v>698</v>
      </c>
    </row>
    <row r="16" spans="1:5" ht="14.25" customHeight="1">
      <c r="A16" s="52" t="s">
        <v>194</v>
      </c>
      <c r="B16" s="52">
        <v>2</v>
      </c>
      <c r="C16" s="52">
        <v>2</v>
      </c>
      <c r="D16" s="52">
        <v>0</v>
      </c>
      <c r="E16" s="52" t="s">
        <v>698</v>
      </c>
    </row>
    <row r="17" spans="1:5" ht="14.25" customHeight="1">
      <c r="A17" s="52" t="s">
        <v>128</v>
      </c>
      <c r="B17" s="52">
        <v>2</v>
      </c>
      <c r="C17" s="52">
        <v>2</v>
      </c>
      <c r="D17" s="52">
        <v>0</v>
      </c>
      <c r="E17" s="52" t="s">
        <v>698</v>
      </c>
    </row>
    <row r="18" spans="1:5" ht="14.25" customHeight="1">
      <c r="A18" s="52" t="s">
        <v>257</v>
      </c>
      <c r="B18" s="52">
        <v>4</v>
      </c>
      <c r="C18" s="52">
        <v>4</v>
      </c>
      <c r="D18" s="52">
        <v>0</v>
      </c>
      <c r="E18" s="52" t="s">
        <v>698</v>
      </c>
    </row>
    <row r="19" spans="1:5" ht="14.25" customHeight="1">
      <c r="A19" s="52" t="s">
        <v>195</v>
      </c>
      <c r="B19" s="52">
        <v>3</v>
      </c>
      <c r="C19" s="52">
        <v>0</v>
      </c>
      <c r="D19" s="52">
        <v>-3</v>
      </c>
      <c r="E19" s="52" t="s">
        <v>698</v>
      </c>
    </row>
    <row r="20" spans="1:5" ht="14.25" customHeight="1">
      <c r="A20" s="52" t="s">
        <v>196</v>
      </c>
      <c r="B20" s="52">
        <v>1</v>
      </c>
      <c r="C20" s="52">
        <v>0</v>
      </c>
      <c r="D20" s="52">
        <v>-1</v>
      </c>
      <c r="E20" s="52" t="s">
        <v>698</v>
      </c>
    </row>
    <row r="21" spans="1:5" ht="14.25" customHeight="1">
      <c r="A21" s="52" t="s">
        <v>129</v>
      </c>
      <c r="B21" s="52">
        <v>14</v>
      </c>
      <c r="C21" s="52">
        <v>14</v>
      </c>
      <c r="D21" s="52">
        <v>0</v>
      </c>
      <c r="E21" s="52" t="s">
        <v>698</v>
      </c>
    </row>
    <row r="22" spans="1:5" ht="14.25" customHeight="1">
      <c r="A22" s="60" t="s">
        <v>701</v>
      </c>
      <c r="B22" s="52">
        <v>0</v>
      </c>
      <c r="C22" s="52">
        <v>4</v>
      </c>
      <c r="D22" s="52">
        <v>4</v>
      </c>
      <c r="E22" s="52" t="s">
        <v>698</v>
      </c>
    </row>
    <row r="23" spans="1:5" ht="14.25" customHeight="1">
      <c r="A23" s="7" t="s">
        <v>702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703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704</v>
      </c>
      <c r="F3" s="48" t="s">
        <v>705</v>
      </c>
    </row>
    <row r="4" spans="1:6" ht="14.25" customHeight="1">
      <c r="A4" s="61" t="s">
        <v>25</v>
      </c>
      <c r="B4" s="61" t="s">
        <v>557</v>
      </c>
      <c r="C4" s="61" t="s">
        <v>467</v>
      </c>
      <c r="D4" s="61" t="s">
        <v>79</v>
      </c>
      <c r="E4" s="62" t="s">
        <v>706</v>
      </c>
      <c r="F4" s="61">
        <v>2</v>
      </c>
    </row>
    <row r="5" spans="1:6" ht="14.25" customHeight="1">
      <c r="A5" s="52" t="s">
        <v>25</v>
      </c>
      <c r="B5" s="52" t="s">
        <v>522</v>
      </c>
      <c r="C5" s="52" t="s">
        <v>73</v>
      </c>
      <c r="D5" s="52" t="s">
        <v>74</v>
      </c>
      <c r="E5" s="60" t="s">
        <v>707</v>
      </c>
      <c r="F5" s="52">
        <v>18</v>
      </c>
    </row>
    <row r="6" spans="1:6" ht="14.25" customHeight="1">
      <c r="A6" s="61" t="s">
        <v>25</v>
      </c>
      <c r="B6" s="61" t="s">
        <v>522</v>
      </c>
      <c r="C6" s="61" t="s">
        <v>523</v>
      </c>
      <c r="D6" s="61" t="s">
        <v>126</v>
      </c>
      <c r="E6" s="62" t="s">
        <v>708</v>
      </c>
      <c r="F6" s="61">
        <v>2</v>
      </c>
    </row>
    <row r="7" spans="1:6" ht="14.25" customHeight="1">
      <c r="A7" s="52" t="s">
        <v>25</v>
      </c>
      <c r="B7" s="52" t="s">
        <v>522</v>
      </c>
      <c r="C7" s="52" t="s">
        <v>523</v>
      </c>
      <c r="D7" s="52" t="s">
        <v>129</v>
      </c>
      <c r="E7" s="60" t="s">
        <v>709</v>
      </c>
      <c r="F7" s="52">
        <v>2</v>
      </c>
    </row>
    <row r="8" spans="1:6" ht="14.25" customHeight="1">
      <c r="A8" s="61" t="s">
        <v>25</v>
      </c>
      <c r="B8" s="61" t="s">
        <v>522</v>
      </c>
      <c r="C8" s="61" t="s">
        <v>524</v>
      </c>
      <c r="D8" s="61" t="s">
        <v>79</v>
      </c>
      <c r="E8" s="62" t="s">
        <v>706</v>
      </c>
      <c r="F8" s="61">
        <v>2</v>
      </c>
    </row>
    <row r="9" spans="1:6" ht="14.25" customHeight="1">
      <c r="A9" s="52" t="s">
        <v>25</v>
      </c>
      <c r="B9" s="52" t="s">
        <v>522</v>
      </c>
      <c r="C9" s="52" t="s">
        <v>525</v>
      </c>
      <c r="D9" s="52" t="s">
        <v>79</v>
      </c>
      <c r="E9" s="60" t="s">
        <v>706</v>
      </c>
      <c r="F9" s="52">
        <v>1</v>
      </c>
    </row>
    <row r="10" spans="1:6" ht="14.25" customHeight="1">
      <c r="A10" s="61" t="s">
        <v>25</v>
      </c>
      <c r="B10" s="61" t="s">
        <v>522</v>
      </c>
      <c r="C10" s="61" t="s">
        <v>525</v>
      </c>
      <c r="D10" s="61" t="s">
        <v>76</v>
      </c>
      <c r="E10" s="62" t="s">
        <v>710</v>
      </c>
      <c r="F10" s="61">
        <v>1</v>
      </c>
    </row>
    <row r="11" spans="1:6" ht="14.25" customHeight="1">
      <c r="A11" s="52" t="s">
        <v>25</v>
      </c>
      <c r="B11" s="52" t="s">
        <v>522</v>
      </c>
      <c r="C11" s="52" t="s">
        <v>526</v>
      </c>
      <c r="D11" s="52" t="s">
        <v>76</v>
      </c>
      <c r="E11" s="60" t="s">
        <v>710</v>
      </c>
      <c r="F11" s="52">
        <v>2</v>
      </c>
    </row>
    <row r="12" spans="1:6" ht="14.25" customHeight="1">
      <c r="A12" s="61" t="s">
        <v>25</v>
      </c>
      <c r="B12" s="61" t="s">
        <v>522</v>
      </c>
      <c r="C12" s="61" t="s">
        <v>527</v>
      </c>
      <c r="D12" s="61" t="s">
        <v>120</v>
      </c>
      <c r="E12" s="62" t="s">
        <v>711</v>
      </c>
      <c r="F12" s="61">
        <v>2</v>
      </c>
    </row>
    <row r="13" spans="1:6" ht="14.25" customHeight="1">
      <c r="A13" s="52" t="s">
        <v>25</v>
      </c>
      <c r="B13" s="52" t="s">
        <v>522</v>
      </c>
      <c r="C13" s="52" t="s">
        <v>528</v>
      </c>
      <c r="D13" s="52" t="s">
        <v>83</v>
      </c>
      <c r="E13" s="60" t="s">
        <v>712</v>
      </c>
      <c r="F13" s="52">
        <v>2</v>
      </c>
    </row>
    <row r="14" spans="1:6" ht="14.25" customHeight="1">
      <c r="A14" s="61" t="s">
        <v>25</v>
      </c>
      <c r="B14" s="61" t="s">
        <v>522</v>
      </c>
      <c r="C14" s="61" t="s">
        <v>528</v>
      </c>
      <c r="D14" s="61" t="s">
        <v>76</v>
      </c>
      <c r="E14" s="62" t="s">
        <v>710</v>
      </c>
      <c r="F14" s="61">
        <v>2</v>
      </c>
    </row>
    <row r="15" spans="1:6" ht="14.25" customHeight="1">
      <c r="A15" s="52" t="s">
        <v>25</v>
      </c>
      <c r="B15" s="52" t="s">
        <v>522</v>
      </c>
      <c r="C15" s="52" t="s">
        <v>529</v>
      </c>
      <c r="D15" s="52" t="s">
        <v>79</v>
      </c>
      <c r="E15" s="60" t="s">
        <v>706</v>
      </c>
      <c r="F15" s="52">
        <v>3</v>
      </c>
    </row>
    <row r="16" spans="1:6" ht="14.25" customHeight="1">
      <c r="A16" s="61" t="s">
        <v>25</v>
      </c>
      <c r="B16" s="61" t="s">
        <v>522</v>
      </c>
      <c r="C16" s="61" t="s">
        <v>530</v>
      </c>
      <c r="D16" s="61" t="s">
        <v>79</v>
      </c>
      <c r="E16" s="62" t="s">
        <v>706</v>
      </c>
      <c r="F16" s="61">
        <v>2</v>
      </c>
    </row>
    <row r="17" spans="1:6" ht="14.25" customHeight="1">
      <c r="A17" s="52" t="s">
        <v>25</v>
      </c>
      <c r="B17" s="52" t="s">
        <v>522</v>
      </c>
      <c r="C17" s="52" t="s">
        <v>530</v>
      </c>
      <c r="D17" s="52" t="s">
        <v>79</v>
      </c>
      <c r="E17" s="60" t="s">
        <v>706</v>
      </c>
      <c r="F17" s="52">
        <v>9</v>
      </c>
    </row>
    <row r="18" spans="1:6" ht="14.25" customHeight="1">
      <c r="A18" s="61" t="s">
        <v>25</v>
      </c>
      <c r="B18" s="61" t="s">
        <v>522</v>
      </c>
      <c r="C18" s="61" t="s">
        <v>530</v>
      </c>
      <c r="D18" s="61" t="s">
        <v>84</v>
      </c>
      <c r="E18" s="62" t="s">
        <v>713</v>
      </c>
      <c r="F18" s="61">
        <v>1</v>
      </c>
    </row>
    <row r="19" spans="1:6" ht="14.25" customHeight="1">
      <c r="A19" s="52" t="s">
        <v>25</v>
      </c>
      <c r="B19" s="52" t="s">
        <v>522</v>
      </c>
      <c r="C19" s="60" t="s">
        <v>531</v>
      </c>
      <c r="D19" s="52" t="s">
        <v>84</v>
      </c>
      <c r="E19" s="60" t="s">
        <v>713</v>
      </c>
      <c r="F19" s="52">
        <v>1</v>
      </c>
    </row>
    <row r="20" spans="1:6" ht="14.25" customHeight="1">
      <c r="A20" s="61" t="s">
        <v>25</v>
      </c>
      <c r="B20" s="61" t="s">
        <v>537</v>
      </c>
      <c r="C20" s="61" t="s">
        <v>73</v>
      </c>
      <c r="D20" s="61" t="s">
        <v>74</v>
      </c>
      <c r="E20" s="62" t="s">
        <v>707</v>
      </c>
      <c r="F20" s="61">
        <v>6</v>
      </c>
    </row>
    <row r="21" spans="1:6" ht="14.25" customHeight="1">
      <c r="A21" s="52" t="s">
        <v>25</v>
      </c>
      <c r="B21" s="52" t="s">
        <v>537</v>
      </c>
      <c r="C21" s="60" t="s">
        <v>538</v>
      </c>
      <c r="D21" s="52" t="s">
        <v>79</v>
      </c>
      <c r="E21" s="60" t="s">
        <v>706</v>
      </c>
      <c r="F21" s="52">
        <v>1</v>
      </c>
    </row>
    <row r="22" spans="1:6" ht="14.25" customHeight="1">
      <c r="A22" s="61" t="s">
        <v>25</v>
      </c>
      <c r="B22" s="61" t="s">
        <v>537</v>
      </c>
      <c r="C22" s="62" t="s">
        <v>539</v>
      </c>
      <c r="D22" s="61" t="s">
        <v>84</v>
      </c>
      <c r="E22" s="62" t="s">
        <v>713</v>
      </c>
      <c r="F22" s="61">
        <v>1</v>
      </c>
    </row>
    <row r="23" spans="1:6" ht="14.25" customHeight="1">
      <c r="A23" s="52" t="s">
        <v>25</v>
      </c>
      <c r="B23" s="52" t="s">
        <v>537</v>
      </c>
      <c r="C23" s="60" t="s">
        <v>540</v>
      </c>
      <c r="D23" s="52" t="s">
        <v>84</v>
      </c>
      <c r="E23" s="60" t="s">
        <v>713</v>
      </c>
      <c r="F23" s="52">
        <v>1</v>
      </c>
    </row>
    <row r="24" spans="1:6" ht="14.25" customHeight="1">
      <c r="A24" s="61" t="s">
        <v>25</v>
      </c>
      <c r="B24" s="61" t="s">
        <v>537</v>
      </c>
      <c r="C24" s="62" t="s">
        <v>541</v>
      </c>
      <c r="D24" s="61" t="s">
        <v>79</v>
      </c>
      <c r="E24" s="62" t="s">
        <v>706</v>
      </c>
      <c r="F24" s="61">
        <v>4</v>
      </c>
    </row>
    <row r="25" spans="1:6" ht="14.25" customHeight="1">
      <c r="A25" s="52" t="s">
        <v>25</v>
      </c>
      <c r="B25" s="52" t="s">
        <v>537</v>
      </c>
      <c r="C25" s="60" t="s">
        <v>541</v>
      </c>
      <c r="D25" s="52" t="s">
        <v>84</v>
      </c>
      <c r="E25" s="60" t="s">
        <v>713</v>
      </c>
      <c r="F25" s="52">
        <v>2</v>
      </c>
    </row>
    <row r="26" spans="1:6" ht="14.25" customHeight="1">
      <c r="A26" s="61" t="s">
        <v>25</v>
      </c>
      <c r="B26" s="61" t="s">
        <v>544</v>
      </c>
      <c r="C26" s="61" t="s">
        <v>73</v>
      </c>
      <c r="D26" s="61" t="s">
        <v>74</v>
      </c>
      <c r="E26" s="62" t="s">
        <v>707</v>
      </c>
      <c r="F26" s="61">
        <v>2</v>
      </c>
    </row>
    <row r="27" spans="1:6" ht="14.25" customHeight="1">
      <c r="A27" s="52" t="s">
        <v>25</v>
      </c>
      <c r="B27" s="52" t="s">
        <v>544</v>
      </c>
      <c r="C27" s="52" t="s">
        <v>545</v>
      </c>
      <c r="D27" s="52" t="s">
        <v>84</v>
      </c>
      <c r="E27" s="60" t="s">
        <v>713</v>
      </c>
      <c r="F27" s="52">
        <v>2</v>
      </c>
    </row>
    <row r="28" spans="1:6" ht="14.25" customHeight="1">
      <c r="A28" s="61" t="s">
        <v>25</v>
      </c>
      <c r="B28" s="61" t="s">
        <v>544</v>
      </c>
      <c r="C28" s="62" t="s">
        <v>546</v>
      </c>
      <c r="D28" s="61" t="s">
        <v>79</v>
      </c>
      <c r="E28" s="62" t="s">
        <v>706</v>
      </c>
      <c r="F28" s="61">
        <v>2</v>
      </c>
    </row>
    <row r="29" spans="1:6" ht="14.25" customHeight="1">
      <c r="A29" s="52" t="s">
        <v>25</v>
      </c>
      <c r="B29" s="52" t="s">
        <v>532</v>
      </c>
      <c r="C29" s="52" t="s">
        <v>73</v>
      </c>
      <c r="D29" s="52" t="s">
        <v>74</v>
      </c>
      <c r="E29" s="60" t="s">
        <v>707</v>
      </c>
      <c r="F29" s="52">
        <v>8</v>
      </c>
    </row>
    <row r="30" spans="1:6" ht="14.25" customHeight="1">
      <c r="A30" s="61" t="s">
        <v>25</v>
      </c>
      <c r="B30" s="61" t="s">
        <v>532</v>
      </c>
      <c r="C30" s="61" t="s">
        <v>533</v>
      </c>
      <c r="D30" s="61" t="s">
        <v>79</v>
      </c>
      <c r="E30" s="62" t="s">
        <v>706</v>
      </c>
      <c r="F30" s="61">
        <v>2</v>
      </c>
    </row>
    <row r="31" spans="1:6" ht="14.25" customHeight="1">
      <c r="A31" s="52" t="s">
        <v>25</v>
      </c>
      <c r="B31" s="52" t="s">
        <v>532</v>
      </c>
      <c r="C31" s="60" t="s">
        <v>691</v>
      </c>
      <c r="D31" s="52" t="s">
        <v>84</v>
      </c>
      <c r="E31" s="60" t="s">
        <v>713</v>
      </c>
      <c r="F31" s="52">
        <v>1</v>
      </c>
    </row>
    <row r="32" spans="1:6" ht="14.25" customHeight="1">
      <c r="A32" s="61" t="s">
        <v>25</v>
      </c>
      <c r="B32" s="61" t="s">
        <v>532</v>
      </c>
      <c r="C32" s="62" t="s">
        <v>535</v>
      </c>
      <c r="D32" s="61" t="s">
        <v>84</v>
      </c>
      <c r="E32" s="62" t="s">
        <v>713</v>
      </c>
      <c r="F32" s="61">
        <v>2</v>
      </c>
    </row>
    <row r="33" spans="1:6" ht="14.25" customHeight="1">
      <c r="A33" s="52" t="s">
        <v>25</v>
      </c>
      <c r="B33" s="52" t="s">
        <v>532</v>
      </c>
      <c r="C33" s="60" t="s">
        <v>536</v>
      </c>
      <c r="D33" s="52" t="s">
        <v>79</v>
      </c>
      <c r="E33" s="60" t="s">
        <v>706</v>
      </c>
      <c r="F33" s="52">
        <v>3</v>
      </c>
    </row>
    <row r="34" spans="1:6" ht="14.25" customHeight="1">
      <c r="A34" s="61" t="s">
        <v>25</v>
      </c>
      <c r="B34" s="61" t="s">
        <v>547</v>
      </c>
      <c r="C34" s="61" t="s">
        <v>73</v>
      </c>
      <c r="D34" s="61" t="s">
        <v>74</v>
      </c>
      <c r="E34" s="62" t="s">
        <v>707</v>
      </c>
      <c r="F34" s="61">
        <v>3</v>
      </c>
    </row>
    <row r="35" spans="1:6" ht="14.25" customHeight="1">
      <c r="A35" s="52" t="s">
        <v>25</v>
      </c>
      <c r="B35" s="52" t="s">
        <v>547</v>
      </c>
      <c r="C35" s="52" t="s">
        <v>548</v>
      </c>
      <c r="D35" s="52" t="s">
        <v>79</v>
      </c>
      <c r="E35" s="60" t="s">
        <v>706</v>
      </c>
      <c r="F35" s="52">
        <v>1</v>
      </c>
    </row>
    <row r="36" spans="1:6" ht="14.25" customHeight="1">
      <c r="A36" s="61" t="s">
        <v>25</v>
      </c>
      <c r="B36" s="61" t="s">
        <v>547</v>
      </c>
      <c r="C36" s="62" t="s">
        <v>549</v>
      </c>
      <c r="D36" s="61" t="s">
        <v>84</v>
      </c>
      <c r="E36" s="62" t="s">
        <v>713</v>
      </c>
      <c r="F36" s="61">
        <v>1</v>
      </c>
    </row>
    <row r="37" spans="1:6" ht="14.25" customHeight="1">
      <c r="A37" s="52" t="s">
        <v>25</v>
      </c>
      <c r="B37" s="52" t="s">
        <v>550</v>
      </c>
      <c r="C37" s="52" t="s">
        <v>73</v>
      </c>
      <c r="D37" s="52" t="s">
        <v>74</v>
      </c>
      <c r="E37" s="60" t="s">
        <v>707</v>
      </c>
      <c r="F37" s="52">
        <v>1</v>
      </c>
    </row>
    <row r="38" spans="1:6" ht="14.25" customHeight="1">
      <c r="A38" s="61" t="s">
        <v>25</v>
      </c>
      <c r="B38" s="61" t="s">
        <v>550</v>
      </c>
      <c r="C38" s="61" t="s">
        <v>551</v>
      </c>
      <c r="D38" s="61" t="s">
        <v>79</v>
      </c>
      <c r="E38" s="62" t="s">
        <v>706</v>
      </c>
      <c r="F38" s="61">
        <v>1</v>
      </c>
    </row>
    <row r="39" spans="1:6" ht="14.25" customHeight="1">
      <c r="A39" s="52" t="s">
        <v>25</v>
      </c>
      <c r="B39" s="52" t="s">
        <v>550</v>
      </c>
      <c r="C39" s="52" t="s">
        <v>551</v>
      </c>
      <c r="D39" s="52" t="s">
        <v>84</v>
      </c>
      <c r="E39" s="60" t="s">
        <v>713</v>
      </c>
      <c r="F39" s="52">
        <v>1</v>
      </c>
    </row>
    <row r="40" spans="1:6" ht="14.25" customHeight="1">
      <c r="A40" s="61" t="s">
        <v>25</v>
      </c>
      <c r="B40" s="61" t="s">
        <v>550</v>
      </c>
      <c r="C40" s="61" t="s">
        <v>552</v>
      </c>
      <c r="D40" s="61" t="s">
        <v>79</v>
      </c>
      <c r="E40" s="62" t="s">
        <v>706</v>
      </c>
      <c r="F40" s="61">
        <v>1</v>
      </c>
    </row>
    <row r="41" spans="1:6" ht="14.25" customHeight="1">
      <c r="A41" s="52" t="s">
        <v>25</v>
      </c>
      <c r="B41" s="52" t="s">
        <v>558</v>
      </c>
      <c r="C41" s="52" t="s">
        <v>559</v>
      </c>
      <c r="D41" s="52" t="s">
        <v>79</v>
      </c>
      <c r="E41" s="60" t="s">
        <v>706</v>
      </c>
      <c r="F41" s="52">
        <v>2</v>
      </c>
    </row>
    <row r="42" spans="1:6" ht="14.25" customHeight="1">
      <c r="A42" s="61" t="s">
        <v>25</v>
      </c>
      <c r="B42" s="61" t="s">
        <v>542</v>
      </c>
      <c r="C42" s="61" t="s">
        <v>73</v>
      </c>
      <c r="D42" s="61" t="s">
        <v>74</v>
      </c>
      <c r="E42" s="62" t="s">
        <v>707</v>
      </c>
      <c r="F42" s="61">
        <v>5</v>
      </c>
    </row>
    <row r="43" spans="1:6" ht="14.25" customHeight="1">
      <c r="A43" s="52" t="s">
        <v>25</v>
      </c>
      <c r="B43" s="52" t="s">
        <v>542</v>
      </c>
      <c r="C43" s="60" t="s">
        <v>692</v>
      </c>
      <c r="D43" s="52" t="s">
        <v>79</v>
      </c>
      <c r="E43" s="60" t="s">
        <v>706</v>
      </c>
      <c r="F43" s="52">
        <v>2</v>
      </c>
    </row>
    <row r="44" spans="1:6" ht="14.25" customHeight="1">
      <c r="A44" s="61" t="s">
        <v>25</v>
      </c>
      <c r="B44" s="62" t="s">
        <v>561</v>
      </c>
      <c r="C44" s="62" t="s">
        <v>543</v>
      </c>
      <c r="D44" s="61" t="s">
        <v>84</v>
      </c>
      <c r="E44" s="62" t="s">
        <v>713</v>
      </c>
      <c r="F44" s="61">
        <v>1</v>
      </c>
    </row>
    <row r="45" spans="1:6" ht="14.25" customHeight="1">
      <c r="A45" s="52" t="s">
        <v>25</v>
      </c>
      <c r="B45" s="60" t="s">
        <v>553</v>
      </c>
      <c r="C45" s="52" t="s">
        <v>554</v>
      </c>
      <c r="D45" s="52" t="s">
        <v>79</v>
      </c>
      <c r="E45" s="60" t="s">
        <v>706</v>
      </c>
      <c r="F45" s="52">
        <v>1</v>
      </c>
    </row>
    <row r="46" spans="1:6" ht="14.25" customHeight="1">
      <c r="A46" s="61" t="s">
        <v>25</v>
      </c>
      <c r="B46" s="62" t="s">
        <v>553</v>
      </c>
      <c r="C46" s="61" t="s">
        <v>554</v>
      </c>
      <c r="D46" s="61" t="s">
        <v>118</v>
      </c>
      <c r="E46" s="62" t="s">
        <v>714</v>
      </c>
      <c r="F46" s="61">
        <v>1</v>
      </c>
    </row>
    <row r="47" spans="1:6" ht="14.25" customHeight="1">
      <c r="A47" s="52" t="s">
        <v>25</v>
      </c>
      <c r="B47" s="60" t="s">
        <v>553</v>
      </c>
      <c r="C47" s="52" t="s">
        <v>555</v>
      </c>
      <c r="D47" s="52" t="s">
        <v>79</v>
      </c>
      <c r="E47" s="60" t="s">
        <v>706</v>
      </c>
      <c r="F47" s="52">
        <v>1</v>
      </c>
    </row>
    <row r="48" spans="1:6" ht="14.25" customHeight="1">
      <c r="A48" s="61" t="s">
        <v>25</v>
      </c>
      <c r="B48" s="62" t="s">
        <v>553</v>
      </c>
      <c r="C48" s="62" t="s">
        <v>556</v>
      </c>
      <c r="D48" s="61" t="s">
        <v>84</v>
      </c>
      <c r="E48" s="62" t="s">
        <v>713</v>
      </c>
      <c r="F48" s="61">
        <v>1</v>
      </c>
    </row>
    <row r="49" spans="1:6" ht="14.25" customHeight="1">
      <c r="A49" s="52" t="s">
        <v>25</v>
      </c>
      <c r="B49" s="60" t="s">
        <v>560</v>
      </c>
      <c r="C49" s="52" t="s">
        <v>551</v>
      </c>
      <c r="D49" s="52" t="s">
        <v>118</v>
      </c>
      <c r="E49" s="60" t="s">
        <v>714</v>
      </c>
      <c r="F49" s="52">
        <v>2</v>
      </c>
    </row>
    <row r="50" spans="1:6" ht="14.25" customHeight="1">
      <c r="A50" s="61" t="s">
        <v>21</v>
      </c>
      <c r="B50" s="61" t="s">
        <v>309</v>
      </c>
      <c r="C50" s="61" t="s">
        <v>310</v>
      </c>
      <c r="D50" s="61" t="s">
        <v>79</v>
      </c>
      <c r="E50" s="62" t="s">
        <v>706</v>
      </c>
      <c r="F50" s="61">
        <v>2</v>
      </c>
    </row>
    <row r="51" spans="1:6" ht="14.25" customHeight="1">
      <c r="A51" s="52" t="s">
        <v>21</v>
      </c>
      <c r="B51" s="52" t="s">
        <v>307</v>
      </c>
      <c r="C51" s="52" t="s">
        <v>308</v>
      </c>
      <c r="D51" s="52" t="s">
        <v>79</v>
      </c>
      <c r="E51" s="60" t="s">
        <v>706</v>
      </c>
      <c r="F51" s="52">
        <v>2</v>
      </c>
    </row>
    <row r="52" spans="1:6" ht="14.25" customHeight="1">
      <c r="A52" s="61" t="s">
        <v>21</v>
      </c>
      <c r="B52" s="61" t="s">
        <v>315</v>
      </c>
      <c r="C52" s="61" t="s">
        <v>690</v>
      </c>
      <c r="D52" s="61" t="s">
        <v>118</v>
      </c>
      <c r="E52" s="62" t="s">
        <v>714</v>
      </c>
      <c r="F52" s="61">
        <v>2</v>
      </c>
    </row>
    <row r="53" spans="1:6" ht="14.25" customHeight="1">
      <c r="A53" s="52" t="s">
        <v>21</v>
      </c>
      <c r="B53" s="52" t="s">
        <v>296</v>
      </c>
      <c r="C53" s="52" t="s">
        <v>73</v>
      </c>
      <c r="D53" s="52" t="s">
        <v>74</v>
      </c>
      <c r="E53" s="60" t="s">
        <v>707</v>
      </c>
      <c r="F53" s="52">
        <v>1</v>
      </c>
    </row>
    <row r="54" spans="1:6" ht="14.25" customHeight="1">
      <c r="A54" s="61" t="s">
        <v>21</v>
      </c>
      <c r="B54" s="61" t="s">
        <v>296</v>
      </c>
      <c r="C54" s="61" t="s">
        <v>297</v>
      </c>
      <c r="D54" s="61" t="s">
        <v>79</v>
      </c>
      <c r="E54" s="62" t="s">
        <v>706</v>
      </c>
      <c r="F54" s="61">
        <v>2</v>
      </c>
    </row>
    <row r="55" spans="1:6" ht="14.25" customHeight="1">
      <c r="A55" s="52" t="s">
        <v>21</v>
      </c>
      <c r="B55" s="52" t="s">
        <v>317</v>
      </c>
      <c r="C55" s="52" t="s">
        <v>318</v>
      </c>
      <c r="D55" s="52" t="s">
        <v>79</v>
      </c>
      <c r="E55" s="60" t="s">
        <v>706</v>
      </c>
      <c r="F55" s="52">
        <v>2</v>
      </c>
    </row>
    <row r="56" spans="1:6" ht="14.25" customHeight="1">
      <c r="A56" s="61" t="s">
        <v>21</v>
      </c>
      <c r="B56" s="61" t="s">
        <v>313</v>
      </c>
      <c r="C56" s="61" t="s">
        <v>314</v>
      </c>
      <c r="D56" s="61" t="s">
        <v>79</v>
      </c>
      <c r="E56" s="62" t="s">
        <v>706</v>
      </c>
      <c r="F56" s="61">
        <v>2</v>
      </c>
    </row>
    <row r="57" spans="1:6" ht="14.25" customHeight="1">
      <c r="A57" s="52" t="s">
        <v>21</v>
      </c>
      <c r="B57" s="60" t="s">
        <v>320</v>
      </c>
      <c r="C57" s="52" t="s">
        <v>321</v>
      </c>
      <c r="D57" s="52" t="s">
        <v>79</v>
      </c>
      <c r="E57" s="60" t="s">
        <v>706</v>
      </c>
      <c r="F57" s="52">
        <v>1</v>
      </c>
    </row>
    <row r="58" spans="1:6" ht="14.25" customHeight="1">
      <c r="A58" s="61" t="s">
        <v>21</v>
      </c>
      <c r="B58" s="62" t="s">
        <v>324</v>
      </c>
      <c r="C58" s="61" t="s">
        <v>325</v>
      </c>
      <c r="D58" s="61" t="s">
        <v>79</v>
      </c>
      <c r="E58" s="62" t="s">
        <v>706</v>
      </c>
      <c r="F58" s="61">
        <v>1</v>
      </c>
    </row>
    <row r="59" spans="1:6" ht="14.25" customHeight="1">
      <c r="A59" s="52" t="s">
        <v>21</v>
      </c>
      <c r="B59" s="60" t="s">
        <v>328</v>
      </c>
      <c r="C59" s="52" t="s">
        <v>329</v>
      </c>
      <c r="D59" s="52" t="s">
        <v>79</v>
      </c>
      <c r="E59" s="60" t="s">
        <v>706</v>
      </c>
      <c r="F59" s="52">
        <v>1</v>
      </c>
    </row>
    <row r="60" spans="1:6" ht="14.25" customHeight="1">
      <c r="A60" s="61" t="s">
        <v>21</v>
      </c>
      <c r="B60" s="62" t="s">
        <v>340</v>
      </c>
      <c r="C60" s="61" t="s">
        <v>341</v>
      </c>
      <c r="D60" s="61" t="s">
        <v>79</v>
      </c>
      <c r="E60" s="62" t="s">
        <v>706</v>
      </c>
      <c r="F60" s="61">
        <v>1</v>
      </c>
    </row>
    <row r="61" spans="1:6" ht="14.25" customHeight="1">
      <c r="A61" s="52" t="s">
        <v>21</v>
      </c>
      <c r="B61" s="60" t="s">
        <v>326</v>
      </c>
      <c r="C61" s="52" t="s">
        <v>327</v>
      </c>
      <c r="D61" s="52" t="s">
        <v>79</v>
      </c>
      <c r="E61" s="60" t="s">
        <v>706</v>
      </c>
      <c r="F61" s="52">
        <v>1</v>
      </c>
    </row>
    <row r="62" spans="1:6" ht="14.25" customHeight="1">
      <c r="A62" s="61" t="s">
        <v>21</v>
      </c>
      <c r="B62" s="62" t="s">
        <v>260</v>
      </c>
      <c r="C62" s="61" t="s">
        <v>259</v>
      </c>
      <c r="D62" s="61" t="s">
        <v>79</v>
      </c>
      <c r="E62" s="62" t="s">
        <v>706</v>
      </c>
      <c r="F62" s="61">
        <v>2</v>
      </c>
    </row>
    <row r="63" spans="1:6" ht="14.25" customHeight="1">
      <c r="A63" s="52" t="s">
        <v>21</v>
      </c>
      <c r="B63" s="60" t="s">
        <v>260</v>
      </c>
      <c r="C63" s="52" t="s">
        <v>259</v>
      </c>
      <c r="D63" s="52" t="s">
        <v>79</v>
      </c>
      <c r="E63" s="60" t="s">
        <v>706</v>
      </c>
      <c r="F63" s="52">
        <v>2</v>
      </c>
    </row>
    <row r="64" spans="1:6" ht="14.25" customHeight="1">
      <c r="A64" s="61" t="s">
        <v>21</v>
      </c>
      <c r="B64" s="62" t="s">
        <v>260</v>
      </c>
      <c r="C64" s="61" t="s">
        <v>261</v>
      </c>
      <c r="D64" s="61" t="s">
        <v>79</v>
      </c>
      <c r="E64" s="62" t="s">
        <v>706</v>
      </c>
      <c r="F64" s="61">
        <v>1</v>
      </c>
    </row>
    <row r="65" spans="1:6" ht="14.25" customHeight="1">
      <c r="A65" s="52" t="s">
        <v>21</v>
      </c>
      <c r="B65" s="60" t="s">
        <v>260</v>
      </c>
      <c r="C65" s="52" t="s">
        <v>262</v>
      </c>
      <c r="D65" s="52" t="s">
        <v>79</v>
      </c>
      <c r="E65" s="60" t="s">
        <v>706</v>
      </c>
      <c r="F65" s="52">
        <v>2</v>
      </c>
    </row>
    <row r="66" spans="1:6" ht="14.25" customHeight="1">
      <c r="A66" s="61" t="s">
        <v>21</v>
      </c>
      <c r="B66" s="62" t="s">
        <v>260</v>
      </c>
      <c r="C66" s="61" t="s">
        <v>263</v>
      </c>
      <c r="D66" s="61" t="s">
        <v>79</v>
      </c>
      <c r="E66" s="62" t="s">
        <v>706</v>
      </c>
      <c r="F66" s="61">
        <v>4</v>
      </c>
    </row>
    <row r="67" spans="1:6" ht="14.25" customHeight="1">
      <c r="A67" s="52" t="s">
        <v>21</v>
      </c>
      <c r="B67" s="60" t="s">
        <v>260</v>
      </c>
      <c r="C67" s="52" t="s">
        <v>264</v>
      </c>
      <c r="D67" s="52" t="s">
        <v>79</v>
      </c>
      <c r="E67" s="60" t="s">
        <v>706</v>
      </c>
      <c r="F67" s="52">
        <v>2</v>
      </c>
    </row>
    <row r="68" spans="1:6" ht="14.25" customHeight="1">
      <c r="A68" s="61" t="s">
        <v>21</v>
      </c>
      <c r="B68" s="62" t="s">
        <v>260</v>
      </c>
      <c r="C68" s="62" t="s">
        <v>265</v>
      </c>
      <c r="D68" s="61" t="s">
        <v>79</v>
      </c>
      <c r="E68" s="62" t="s">
        <v>706</v>
      </c>
      <c r="F68" s="61">
        <v>2</v>
      </c>
    </row>
    <row r="69" spans="1:6" ht="14.25" customHeight="1">
      <c r="A69" s="52" t="s">
        <v>21</v>
      </c>
      <c r="B69" s="60" t="s">
        <v>260</v>
      </c>
      <c r="C69" s="60" t="s">
        <v>266</v>
      </c>
      <c r="D69" s="52" t="s">
        <v>79</v>
      </c>
      <c r="E69" s="60" t="s">
        <v>706</v>
      </c>
      <c r="F69" s="52">
        <v>2</v>
      </c>
    </row>
    <row r="70" spans="1:6" ht="14.25" customHeight="1">
      <c r="A70" s="61" t="s">
        <v>21</v>
      </c>
      <c r="B70" s="62" t="s">
        <v>260</v>
      </c>
      <c r="C70" s="62" t="s">
        <v>267</v>
      </c>
      <c r="D70" s="61" t="s">
        <v>79</v>
      </c>
      <c r="E70" s="62" t="s">
        <v>706</v>
      </c>
      <c r="F70" s="61">
        <v>1</v>
      </c>
    </row>
    <row r="71" spans="1:6" ht="14.25" customHeight="1">
      <c r="A71" s="52" t="s">
        <v>21</v>
      </c>
      <c r="B71" s="60" t="s">
        <v>260</v>
      </c>
      <c r="C71" s="60" t="s">
        <v>268</v>
      </c>
      <c r="D71" s="52" t="s">
        <v>79</v>
      </c>
      <c r="E71" s="60" t="s">
        <v>706</v>
      </c>
      <c r="F71" s="52">
        <v>1</v>
      </c>
    </row>
    <row r="72" spans="1:6" ht="14.25" customHeight="1">
      <c r="A72" s="61" t="s">
        <v>21</v>
      </c>
      <c r="B72" s="62" t="s">
        <v>260</v>
      </c>
      <c r="C72" s="62" t="s">
        <v>269</v>
      </c>
      <c r="D72" s="61" t="s">
        <v>79</v>
      </c>
      <c r="E72" s="62" t="s">
        <v>706</v>
      </c>
      <c r="F72" s="61">
        <v>1</v>
      </c>
    </row>
    <row r="73" spans="1:6" ht="14.25" customHeight="1">
      <c r="A73" s="52" t="s">
        <v>21</v>
      </c>
      <c r="B73" s="60" t="s">
        <v>260</v>
      </c>
      <c r="C73" s="60" t="s">
        <v>270</v>
      </c>
      <c r="D73" s="52" t="s">
        <v>79</v>
      </c>
      <c r="E73" s="60" t="s">
        <v>706</v>
      </c>
      <c r="F73" s="52">
        <v>4</v>
      </c>
    </row>
    <row r="74" spans="1:6" ht="14.25" customHeight="1">
      <c r="A74" s="61" t="s">
        <v>21</v>
      </c>
      <c r="B74" s="62" t="s">
        <v>260</v>
      </c>
      <c r="C74" s="62" t="s">
        <v>270</v>
      </c>
      <c r="D74" s="61" t="s">
        <v>84</v>
      </c>
      <c r="E74" s="62" t="s">
        <v>713</v>
      </c>
      <c r="F74" s="61">
        <v>1</v>
      </c>
    </row>
    <row r="75" spans="1:6" ht="14.25" customHeight="1">
      <c r="A75" s="52" t="s">
        <v>21</v>
      </c>
      <c r="B75" s="60" t="s">
        <v>260</v>
      </c>
      <c r="C75" s="60" t="s">
        <v>271</v>
      </c>
      <c r="D75" s="52" t="s">
        <v>79</v>
      </c>
      <c r="E75" s="60" t="s">
        <v>706</v>
      </c>
      <c r="F75" s="52">
        <v>4</v>
      </c>
    </row>
    <row r="76" spans="1:6" ht="14.25" customHeight="1">
      <c r="A76" s="61" t="s">
        <v>21</v>
      </c>
      <c r="B76" s="62" t="s">
        <v>260</v>
      </c>
      <c r="C76" s="62" t="s">
        <v>272</v>
      </c>
      <c r="D76" s="61" t="s">
        <v>79</v>
      </c>
      <c r="E76" s="62" t="s">
        <v>706</v>
      </c>
      <c r="F76" s="61">
        <v>5</v>
      </c>
    </row>
    <row r="77" spans="1:6" ht="14.25" customHeight="1">
      <c r="A77" s="52" t="s">
        <v>21</v>
      </c>
      <c r="B77" s="60" t="s">
        <v>260</v>
      </c>
      <c r="C77" s="60" t="s">
        <v>689</v>
      </c>
      <c r="D77" s="52" t="s">
        <v>79</v>
      </c>
      <c r="E77" s="60" t="s">
        <v>706</v>
      </c>
      <c r="F77" s="52">
        <v>1</v>
      </c>
    </row>
    <row r="78" spans="1:6" ht="14.25" customHeight="1">
      <c r="A78" s="61" t="s">
        <v>21</v>
      </c>
      <c r="B78" s="62" t="s">
        <v>302</v>
      </c>
      <c r="C78" s="61" t="s">
        <v>303</v>
      </c>
      <c r="D78" s="61" t="s">
        <v>79</v>
      </c>
      <c r="E78" s="62" t="s">
        <v>706</v>
      </c>
      <c r="F78" s="61">
        <v>1</v>
      </c>
    </row>
    <row r="79" spans="1:6" ht="14.25" customHeight="1">
      <c r="A79" s="52" t="s">
        <v>21</v>
      </c>
      <c r="B79" s="60" t="s">
        <v>302</v>
      </c>
      <c r="C79" s="52" t="s">
        <v>304</v>
      </c>
      <c r="D79" s="52" t="s">
        <v>79</v>
      </c>
      <c r="E79" s="60" t="s">
        <v>706</v>
      </c>
      <c r="F79" s="52">
        <v>2</v>
      </c>
    </row>
    <row r="80" spans="1:6" ht="14.25" customHeight="1">
      <c r="A80" s="61" t="s">
        <v>21</v>
      </c>
      <c r="B80" s="62" t="s">
        <v>311</v>
      </c>
      <c r="C80" s="61" t="s">
        <v>312</v>
      </c>
      <c r="D80" s="61" t="s">
        <v>79</v>
      </c>
      <c r="E80" s="62" t="s">
        <v>706</v>
      </c>
      <c r="F80" s="61">
        <v>2</v>
      </c>
    </row>
    <row r="81" spans="1:6" ht="14.25" customHeight="1">
      <c r="A81" s="52" t="s">
        <v>21</v>
      </c>
      <c r="B81" s="60" t="s">
        <v>250</v>
      </c>
      <c r="C81" s="52" t="s">
        <v>251</v>
      </c>
      <c r="D81" s="52" t="s">
        <v>79</v>
      </c>
      <c r="E81" s="60" t="s">
        <v>706</v>
      </c>
      <c r="F81" s="52">
        <v>4</v>
      </c>
    </row>
    <row r="82" spans="1:6" ht="14.25" customHeight="1">
      <c r="A82" s="61" t="s">
        <v>21</v>
      </c>
      <c r="B82" s="62" t="s">
        <v>250</v>
      </c>
      <c r="C82" s="61" t="s">
        <v>251</v>
      </c>
      <c r="D82" s="61" t="s">
        <v>84</v>
      </c>
      <c r="E82" s="62" t="s">
        <v>713</v>
      </c>
      <c r="F82" s="61">
        <v>2</v>
      </c>
    </row>
    <row r="83" spans="1:6" ht="14.25" customHeight="1">
      <c r="A83" s="52" t="s">
        <v>21</v>
      </c>
      <c r="B83" s="60" t="s">
        <v>250</v>
      </c>
      <c r="C83" s="52" t="s">
        <v>252</v>
      </c>
      <c r="D83" s="52" t="s">
        <v>79</v>
      </c>
      <c r="E83" s="60" t="s">
        <v>706</v>
      </c>
      <c r="F83" s="52">
        <v>1</v>
      </c>
    </row>
    <row r="84" spans="1:6" ht="14.25" customHeight="1">
      <c r="A84" s="61" t="s">
        <v>21</v>
      </c>
      <c r="B84" s="62" t="s">
        <v>250</v>
      </c>
      <c r="C84" s="61" t="s">
        <v>252</v>
      </c>
      <c r="D84" s="61" t="s">
        <v>79</v>
      </c>
      <c r="E84" s="62" t="s">
        <v>706</v>
      </c>
      <c r="F84" s="61">
        <v>7</v>
      </c>
    </row>
    <row r="85" spans="1:6" ht="14.25" customHeight="1">
      <c r="A85" s="52" t="s">
        <v>21</v>
      </c>
      <c r="B85" s="60" t="s">
        <v>250</v>
      </c>
      <c r="C85" s="52" t="s">
        <v>252</v>
      </c>
      <c r="D85" s="52" t="s">
        <v>84</v>
      </c>
      <c r="E85" s="60" t="s">
        <v>713</v>
      </c>
      <c r="F85" s="52">
        <v>2</v>
      </c>
    </row>
    <row r="86" spans="1:6" ht="14.25" customHeight="1">
      <c r="A86" s="61" t="s">
        <v>21</v>
      </c>
      <c r="B86" s="62" t="s">
        <v>250</v>
      </c>
      <c r="C86" s="61" t="s">
        <v>252</v>
      </c>
      <c r="D86" s="61" t="s">
        <v>84</v>
      </c>
      <c r="E86" s="62" t="s">
        <v>713</v>
      </c>
      <c r="F86" s="61">
        <v>2</v>
      </c>
    </row>
    <row r="87" spans="1:6" ht="14.25" customHeight="1">
      <c r="A87" s="52" t="s">
        <v>21</v>
      </c>
      <c r="B87" s="60" t="s">
        <v>250</v>
      </c>
      <c r="C87" s="52" t="s">
        <v>73</v>
      </c>
      <c r="D87" s="52" t="s">
        <v>74</v>
      </c>
      <c r="E87" s="60" t="s">
        <v>707</v>
      </c>
      <c r="F87" s="52">
        <v>24</v>
      </c>
    </row>
    <row r="88" spans="1:6" ht="14.25" customHeight="1">
      <c r="A88" s="61" t="s">
        <v>21</v>
      </c>
      <c r="B88" s="62" t="s">
        <v>250</v>
      </c>
      <c r="C88" s="61" t="s">
        <v>254</v>
      </c>
      <c r="D88" s="61" t="s">
        <v>84</v>
      </c>
      <c r="E88" s="62" t="s">
        <v>713</v>
      </c>
      <c r="F88" s="61">
        <v>2</v>
      </c>
    </row>
    <row r="89" spans="1:6" ht="14.25" customHeight="1">
      <c r="A89" s="52" t="s">
        <v>21</v>
      </c>
      <c r="B89" s="60" t="s">
        <v>250</v>
      </c>
      <c r="C89" s="52" t="s">
        <v>255</v>
      </c>
      <c r="D89" s="52" t="s">
        <v>79</v>
      </c>
      <c r="E89" s="60" t="s">
        <v>706</v>
      </c>
      <c r="F89" s="52">
        <v>4</v>
      </c>
    </row>
    <row r="90" spans="1:6" ht="14.25" customHeight="1">
      <c r="A90" s="61" t="s">
        <v>21</v>
      </c>
      <c r="B90" s="62" t="s">
        <v>250</v>
      </c>
      <c r="C90" s="61" t="s">
        <v>256</v>
      </c>
      <c r="D90" s="61" t="s">
        <v>79</v>
      </c>
      <c r="E90" s="62" t="s">
        <v>706</v>
      </c>
      <c r="F90" s="61">
        <v>1</v>
      </c>
    </row>
    <row r="91" spans="1:6" ht="14.25" customHeight="1">
      <c r="A91" s="52" t="s">
        <v>21</v>
      </c>
      <c r="B91" s="60" t="s">
        <v>250</v>
      </c>
      <c r="C91" s="52" t="s">
        <v>192</v>
      </c>
      <c r="D91" s="52" t="s">
        <v>79</v>
      </c>
      <c r="E91" s="60" t="s">
        <v>706</v>
      </c>
      <c r="F91" s="52">
        <v>7</v>
      </c>
    </row>
    <row r="92" spans="1:6" ht="14.25" customHeight="1">
      <c r="A92" s="61" t="s">
        <v>21</v>
      </c>
      <c r="B92" s="62" t="s">
        <v>250</v>
      </c>
      <c r="C92" s="61" t="s">
        <v>192</v>
      </c>
      <c r="D92" s="61" t="s">
        <v>84</v>
      </c>
      <c r="E92" s="62" t="s">
        <v>713</v>
      </c>
      <c r="F92" s="61">
        <v>1</v>
      </c>
    </row>
    <row r="93" spans="1:6" ht="14.25" customHeight="1">
      <c r="A93" s="52" t="s">
        <v>21</v>
      </c>
      <c r="B93" s="60" t="s">
        <v>250</v>
      </c>
      <c r="C93" s="52" t="s">
        <v>192</v>
      </c>
      <c r="D93" s="52" t="s">
        <v>257</v>
      </c>
      <c r="E93" s="60" t="s">
        <v>715</v>
      </c>
      <c r="F93" s="52">
        <v>2</v>
      </c>
    </row>
    <row r="94" spans="1:6" ht="14.25" customHeight="1">
      <c r="A94" s="61" t="s">
        <v>21</v>
      </c>
      <c r="B94" s="62" t="s">
        <v>283</v>
      </c>
      <c r="C94" s="61" t="s">
        <v>279</v>
      </c>
      <c r="D94" s="61" t="s">
        <v>79</v>
      </c>
      <c r="E94" s="62" t="s">
        <v>706</v>
      </c>
      <c r="F94" s="61">
        <v>3</v>
      </c>
    </row>
    <row r="95" spans="1:6" ht="14.25" customHeight="1">
      <c r="A95" s="52" t="s">
        <v>21</v>
      </c>
      <c r="B95" s="60" t="s">
        <v>283</v>
      </c>
      <c r="C95" s="52" t="s">
        <v>279</v>
      </c>
      <c r="D95" s="52" t="s">
        <v>79</v>
      </c>
      <c r="E95" s="60" t="s">
        <v>706</v>
      </c>
      <c r="F95" s="52">
        <v>4</v>
      </c>
    </row>
    <row r="96" spans="1:6" ht="14.25" customHeight="1">
      <c r="A96" s="61" t="s">
        <v>21</v>
      </c>
      <c r="B96" s="62" t="s">
        <v>283</v>
      </c>
      <c r="C96" s="61" t="s">
        <v>279</v>
      </c>
      <c r="D96" s="61" t="s">
        <v>79</v>
      </c>
      <c r="E96" s="62" t="s">
        <v>706</v>
      </c>
      <c r="F96" s="61">
        <v>1</v>
      </c>
    </row>
    <row r="97" spans="1:6" ht="14.25" customHeight="1">
      <c r="A97" s="52" t="s">
        <v>21</v>
      </c>
      <c r="B97" s="60" t="s">
        <v>283</v>
      </c>
      <c r="C97" s="52" t="s">
        <v>284</v>
      </c>
      <c r="D97" s="52" t="s">
        <v>118</v>
      </c>
      <c r="E97" s="60" t="s">
        <v>714</v>
      </c>
      <c r="F97" s="52">
        <v>2</v>
      </c>
    </row>
    <row r="98" spans="1:6" ht="14.25" customHeight="1">
      <c r="A98" s="61" t="s">
        <v>21</v>
      </c>
      <c r="B98" s="62" t="s">
        <v>283</v>
      </c>
      <c r="C98" s="61" t="s">
        <v>285</v>
      </c>
      <c r="D98" s="61" t="s">
        <v>79</v>
      </c>
      <c r="E98" s="62" t="s">
        <v>706</v>
      </c>
      <c r="F98" s="61">
        <v>1</v>
      </c>
    </row>
    <row r="99" spans="1:6" ht="14.25" customHeight="1">
      <c r="A99" s="52" t="s">
        <v>21</v>
      </c>
      <c r="B99" s="60" t="s">
        <v>278</v>
      </c>
      <c r="C99" s="52" t="s">
        <v>279</v>
      </c>
      <c r="D99" s="52" t="s">
        <v>79</v>
      </c>
      <c r="E99" s="60" t="s">
        <v>706</v>
      </c>
      <c r="F99" s="52">
        <v>1</v>
      </c>
    </row>
    <row r="100" spans="1:6" ht="14.25" customHeight="1">
      <c r="A100" s="61" t="s">
        <v>21</v>
      </c>
      <c r="B100" s="62" t="s">
        <v>278</v>
      </c>
      <c r="C100" s="61" t="s">
        <v>280</v>
      </c>
      <c r="D100" s="61" t="s">
        <v>118</v>
      </c>
      <c r="E100" s="62" t="s">
        <v>714</v>
      </c>
      <c r="F100" s="61">
        <v>2</v>
      </c>
    </row>
    <row r="101" spans="1:6" ht="14.25" customHeight="1">
      <c r="A101" s="52" t="s">
        <v>21</v>
      </c>
      <c r="B101" s="60" t="s">
        <v>278</v>
      </c>
      <c r="C101" s="52" t="s">
        <v>281</v>
      </c>
      <c r="D101" s="52" t="s">
        <v>79</v>
      </c>
      <c r="E101" s="60" t="s">
        <v>706</v>
      </c>
      <c r="F101" s="52">
        <v>7</v>
      </c>
    </row>
    <row r="102" spans="1:6" ht="14.25" customHeight="1">
      <c r="A102" s="61" t="s">
        <v>21</v>
      </c>
      <c r="B102" s="62" t="s">
        <v>278</v>
      </c>
      <c r="C102" s="61" t="s">
        <v>282</v>
      </c>
      <c r="D102" s="61" t="s">
        <v>79</v>
      </c>
      <c r="E102" s="62" t="s">
        <v>706</v>
      </c>
      <c r="F102" s="61">
        <v>4</v>
      </c>
    </row>
    <row r="103" spans="1:6" ht="14.25" customHeight="1">
      <c r="A103" s="52" t="s">
        <v>21</v>
      </c>
      <c r="B103" s="60" t="s">
        <v>286</v>
      </c>
      <c r="C103" s="52" t="s">
        <v>287</v>
      </c>
      <c r="D103" s="52" t="s">
        <v>118</v>
      </c>
      <c r="E103" s="60" t="s">
        <v>714</v>
      </c>
      <c r="F103" s="52">
        <v>2</v>
      </c>
    </row>
    <row r="104" spans="1:6" ht="14.25" customHeight="1">
      <c r="A104" s="61" t="s">
        <v>21</v>
      </c>
      <c r="B104" s="62" t="s">
        <v>286</v>
      </c>
      <c r="C104" s="61" t="s">
        <v>288</v>
      </c>
      <c r="D104" s="61" t="s">
        <v>79</v>
      </c>
      <c r="E104" s="62" t="s">
        <v>706</v>
      </c>
      <c r="F104" s="61">
        <v>4</v>
      </c>
    </row>
    <row r="105" spans="1:6" ht="14.25" customHeight="1">
      <c r="A105" s="52" t="s">
        <v>21</v>
      </c>
      <c r="B105" s="60" t="s">
        <v>286</v>
      </c>
      <c r="C105" s="60" t="s">
        <v>289</v>
      </c>
      <c r="D105" s="52" t="s">
        <v>79</v>
      </c>
      <c r="E105" s="60" t="s">
        <v>706</v>
      </c>
      <c r="F105" s="52">
        <v>1</v>
      </c>
    </row>
    <row r="106" spans="1:6" ht="14.25" customHeight="1">
      <c r="A106" s="61" t="s">
        <v>21</v>
      </c>
      <c r="B106" s="62" t="s">
        <v>291</v>
      </c>
      <c r="C106" s="61" t="s">
        <v>292</v>
      </c>
      <c r="D106" s="61" t="s">
        <v>79</v>
      </c>
      <c r="E106" s="62" t="s">
        <v>706</v>
      </c>
      <c r="F106" s="61">
        <v>2</v>
      </c>
    </row>
    <row r="107" spans="1:6" ht="14.25" customHeight="1">
      <c r="A107" s="52" t="s">
        <v>21</v>
      </c>
      <c r="B107" s="60" t="s">
        <v>291</v>
      </c>
      <c r="C107" s="60" t="s">
        <v>293</v>
      </c>
      <c r="D107" s="52" t="s">
        <v>79</v>
      </c>
      <c r="E107" s="60" t="s">
        <v>706</v>
      </c>
      <c r="F107" s="52">
        <v>2</v>
      </c>
    </row>
    <row r="108" spans="1:6" ht="14.25" customHeight="1">
      <c r="A108" s="61" t="s">
        <v>21</v>
      </c>
      <c r="B108" s="62" t="s">
        <v>298</v>
      </c>
      <c r="C108" s="61" t="s">
        <v>299</v>
      </c>
      <c r="D108" s="61" t="s">
        <v>79</v>
      </c>
      <c r="E108" s="62" t="s">
        <v>706</v>
      </c>
      <c r="F108" s="61">
        <v>2</v>
      </c>
    </row>
    <row r="109" spans="1:6" ht="14.25" customHeight="1">
      <c r="A109" s="52" t="s">
        <v>21</v>
      </c>
      <c r="B109" s="60" t="s">
        <v>298</v>
      </c>
      <c r="C109" s="52" t="s">
        <v>299</v>
      </c>
      <c r="D109" s="52" t="s">
        <v>118</v>
      </c>
      <c r="E109" s="60" t="s">
        <v>714</v>
      </c>
      <c r="F109" s="52">
        <v>1</v>
      </c>
    </row>
    <row r="110" spans="1:6" ht="14.25" customHeight="1">
      <c r="A110" s="61" t="s">
        <v>21</v>
      </c>
      <c r="B110" s="62" t="s">
        <v>322</v>
      </c>
      <c r="C110" s="61" t="s">
        <v>323</v>
      </c>
      <c r="D110" s="61" t="s">
        <v>79</v>
      </c>
      <c r="E110" s="62" t="s">
        <v>706</v>
      </c>
      <c r="F110" s="61">
        <v>1</v>
      </c>
    </row>
    <row r="111" spans="1:6" ht="14.25" customHeight="1">
      <c r="A111" s="52" t="s">
        <v>21</v>
      </c>
      <c r="B111" s="60" t="s">
        <v>305</v>
      </c>
      <c r="C111" s="52" t="s">
        <v>306</v>
      </c>
      <c r="D111" s="52" t="s">
        <v>79</v>
      </c>
      <c r="E111" s="60" t="s">
        <v>706</v>
      </c>
      <c r="F111" s="52">
        <v>2</v>
      </c>
    </row>
    <row r="112" spans="1:6" ht="14.25" customHeight="1">
      <c r="A112" s="61" t="s">
        <v>21</v>
      </c>
      <c r="B112" s="62" t="s">
        <v>342</v>
      </c>
      <c r="C112" s="61" t="s">
        <v>343</v>
      </c>
      <c r="D112" s="61" t="s">
        <v>79</v>
      </c>
      <c r="E112" s="62" t="s">
        <v>706</v>
      </c>
      <c r="F112" s="61">
        <v>1</v>
      </c>
    </row>
    <row r="113" spans="1:6" ht="14.25" customHeight="1">
      <c r="A113" s="52" t="s">
        <v>21</v>
      </c>
      <c r="B113" s="60" t="s">
        <v>273</v>
      </c>
      <c r="C113" s="52" t="s">
        <v>690</v>
      </c>
      <c r="D113" s="52" t="s">
        <v>79</v>
      </c>
      <c r="E113" s="60" t="s">
        <v>706</v>
      </c>
      <c r="F113" s="52">
        <v>3</v>
      </c>
    </row>
    <row r="114" spans="1:6" ht="14.25" customHeight="1">
      <c r="A114" s="61" t="s">
        <v>21</v>
      </c>
      <c r="B114" s="62" t="s">
        <v>273</v>
      </c>
      <c r="C114" s="61" t="s">
        <v>690</v>
      </c>
      <c r="D114" s="61" t="s">
        <v>118</v>
      </c>
      <c r="E114" s="62" t="s">
        <v>714</v>
      </c>
      <c r="F114" s="61">
        <v>2</v>
      </c>
    </row>
    <row r="115" spans="1:6" ht="14.25" customHeight="1">
      <c r="A115" s="52" t="s">
        <v>21</v>
      </c>
      <c r="B115" s="60" t="s">
        <v>273</v>
      </c>
      <c r="C115" s="52" t="s">
        <v>690</v>
      </c>
      <c r="D115" s="52" t="s">
        <v>275</v>
      </c>
      <c r="E115" s="60" t="s">
        <v>716</v>
      </c>
      <c r="F115" s="52">
        <v>2</v>
      </c>
    </row>
    <row r="116" spans="1:6" ht="14.25" customHeight="1">
      <c r="A116" s="61" t="s">
        <v>21</v>
      </c>
      <c r="B116" s="62" t="s">
        <v>273</v>
      </c>
      <c r="C116" s="61" t="s">
        <v>690</v>
      </c>
      <c r="D116" s="61" t="s">
        <v>129</v>
      </c>
      <c r="E116" s="62" t="s">
        <v>709</v>
      </c>
      <c r="F116" s="61">
        <v>2</v>
      </c>
    </row>
    <row r="117" spans="1:6" ht="14.25" customHeight="1">
      <c r="A117" s="52" t="s">
        <v>21</v>
      </c>
      <c r="B117" s="60" t="s">
        <v>273</v>
      </c>
      <c r="C117" s="52" t="s">
        <v>276</v>
      </c>
      <c r="D117" s="52" t="s">
        <v>79</v>
      </c>
      <c r="E117" s="60" t="s">
        <v>706</v>
      </c>
      <c r="F117" s="52">
        <v>4</v>
      </c>
    </row>
    <row r="118" spans="1:6" ht="14.25" customHeight="1">
      <c r="A118" s="61" t="s">
        <v>21</v>
      </c>
      <c r="B118" s="62" t="s">
        <v>273</v>
      </c>
      <c r="C118" s="61" t="s">
        <v>276</v>
      </c>
      <c r="D118" s="61" t="s">
        <v>84</v>
      </c>
      <c r="E118" s="62" t="s">
        <v>713</v>
      </c>
      <c r="F118" s="61">
        <v>3</v>
      </c>
    </row>
    <row r="119" spans="1:6" ht="14.25" customHeight="1">
      <c r="A119" s="52" t="s">
        <v>21</v>
      </c>
      <c r="B119" s="60" t="s">
        <v>273</v>
      </c>
      <c r="C119" s="52" t="s">
        <v>277</v>
      </c>
      <c r="D119" s="52" t="s">
        <v>79</v>
      </c>
      <c r="E119" s="60" t="s">
        <v>706</v>
      </c>
      <c r="F119" s="52">
        <v>1</v>
      </c>
    </row>
    <row r="120" spans="1:6" ht="14.25" customHeight="1">
      <c r="A120" s="61" t="s">
        <v>21</v>
      </c>
      <c r="B120" s="62" t="s">
        <v>330</v>
      </c>
      <c r="C120" s="61" t="s">
        <v>331</v>
      </c>
      <c r="D120" s="61" t="s">
        <v>79</v>
      </c>
      <c r="E120" s="62" t="s">
        <v>706</v>
      </c>
      <c r="F120" s="61">
        <v>1</v>
      </c>
    </row>
    <row r="121" spans="1:6" ht="14.25" customHeight="1">
      <c r="A121" s="52" t="s">
        <v>21</v>
      </c>
      <c r="B121" s="60" t="s">
        <v>332</v>
      </c>
      <c r="C121" s="52" t="s">
        <v>333</v>
      </c>
      <c r="D121" s="52" t="s">
        <v>79</v>
      </c>
      <c r="E121" s="60" t="s">
        <v>706</v>
      </c>
      <c r="F121" s="52">
        <v>1</v>
      </c>
    </row>
    <row r="122" spans="1:6" ht="14.25" customHeight="1">
      <c r="A122" s="61" t="s">
        <v>21</v>
      </c>
      <c r="B122" s="62" t="s">
        <v>334</v>
      </c>
      <c r="C122" s="61" t="s">
        <v>335</v>
      </c>
      <c r="D122" s="61" t="s">
        <v>79</v>
      </c>
      <c r="E122" s="62" t="s">
        <v>706</v>
      </c>
      <c r="F122" s="61">
        <v>1</v>
      </c>
    </row>
    <row r="123" spans="1:6" ht="14.25" customHeight="1">
      <c r="A123" s="52" t="s">
        <v>21</v>
      </c>
      <c r="B123" s="60" t="s">
        <v>336</v>
      </c>
      <c r="C123" s="52" t="s">
        <v>337</v>
      </c>
      <c r="D123" s="52" t="s">
        <v>79</v>
      </c>
      <c r="E123" s="60" t="s">
        <v>706</v>
      </c>
      <c r="F123" s="52">
        <v>1</v>
      </c>
    </row>
    <row r="124" spans="1:6" ht="14.25" customHeight="1">
      <c r="A124" s="61" t="s">
        <v>21</v>
      </c>
      <c r="B124" s="62" t="s">
        <v>338</v>
      </c>
      <c r="C124" s="61" t="s">
        <v>339</v>
      </c>
      <c r="D124" s="61" t="s">
        <v>79</v>
      </c>
      <c r="E124" s="62" t="s">
        <v>706</v>
      </c>
      <c r="F124" s="61">
        <v>1</v>
      </c>
    </row>
    <row r="125" spans="1:6" ht="14.25" customHeight="1">
      <c r="A125" s="52" t="s">
        <v>21</v>
      </c>
      <c r="B125" s="60" t="s">
        <v>294</v>
      </c>
      <c r="C125" s="52" t="s">
        <v>295</v>
      </c>
      <c r="D125" s="52" t="s">
        <v>79</v>
      </c>
      <c r="E125" s="60" t="s">
        <v>706</v>
      </c>
      <c r="F125" s="52">
        <v>3</v>
      </c>
    </row>
    <row r="126" spans="1:6" ht="14.25" customHeight="1">
      <c r="A126" s="61" t="s">
        <v>21</v>
      </c>
      <c r="B126" s="62" t="s">
        <v>319</v>
      </c>
      <c r="C126" s="61" t="s">
        <v>192</v>
      </c>
      <c r="D126" s="61" t="s">
        <v>257</v>
      </c>
      <c r="E126" s="62" t="s">
        <v>715</v>
      </c>
      <c r="F126" s="61">
        <v>2</v>
      </c>
    </row>
    <row r="127" spans="1:6" ht="14.25" customHeight="1">
      <c r="A127" s="52" t="s">
        <v>20</v>
      </c>
      <c r="B127" s="52" t="s">
        <v>188</v>
      </c>
      <c r="C127" s="52" t="s">
        <v>73</v>
      </c>
      <c r="D127" s="52" t="s">
        <v>74</v>
      </c>
      <c r="E127" s="60" t="s">
        <v>707</v>
      </c>
      <c r="F127" s="52">
        <v>19</v>
      </c>
    </row>
    <row r="128" spans="1:6" ht="14.25" customHeight="1">
      <c r="A128" s="61" t="s">
        <v>20</v>
      </c>
      <c r="B128" s="61" t="s">
        <v>188</v>
      </c>
      <c r="C128" s="61" t="s">
        <v>189</v>
      </c>
      <c r="D128" s="61" t="s">
        <v>79</v>
      </c>
      <c r="E128" s="62" t="s">
        <v>706</v>
      </c>
      <c r="F128" s="61">
        <v>2</v>
      </c>
    </row>
    <row r="129" spans="1:6" ht="14.25" customHeight="1">
      <c r="A129" s="52" t="s">
        <v>20</v>
      </c>
      <c r="B129" s="52" t="s">
        <v>188</v>
      </c>
      <c r="C129" s="52" t="s">
        <v>189</v>
      </c>
      <c r="D129" s="52" t="s">
        <v>84</v>
      </c>
      <c r="E129" s="60" t="s">
        <v>713</v>
      </c>
      <c r="F129" s="52">
        <v>1</v>
      </c>
    </row>
    <row r="130" spans="1:6" ht="14.25" customHeight="1">
      <c r="A130" s="61" t="s">
        <v>20</v>
      </c>
      <c r="B130" s="61" t="s">
        <v>188</v>
      </c>
      <c r="C130" s="61" t="s">
        <v>190</v>
      </c>
      <c r="D130" s="61" t="s">
        <v>79</v>
      </c>
      <c r="E130" s="62" t="s">
        <v>706</v>
      </c>
      <c r="F130" s="61">
        <v>2</v>
      </c>
    </row>
    <row r="131" spans="1:6" ht="14.25" customHeight="1">
      <c r="A131" s="52" t="s">
        <v>20</v>
      </c>
      <c r="B131" s="52" t="s">
        <v>188</v>
      </c>
      <c r="C131" s="52" t="s">
        <v>191</v>
      </c>
      <c r="D131" s="52" t="s">
        <v>79</v>
      </c>
      <c r="E131" s="60" t="s">
        <v>706</v>
      </c>
      <c r="F131" s="52">
        <v>1</v>
      </c>
    </row>
    <row r="132" spans="1:6" ht="14.25" customHeight="1">
      <c r="A132" s="61" t="s">
        <v>20</v>
      </c>
      <c r="B132" s="61" t="s">
        <v>188</v>
      </c>
      <c r="C132" s="61" t="s">
        <v>191</v>
      </c>
      <c r="D132" s="61" t="s">
        <v>84</v>
      </c>
      <c r="E132" s="62" t="s">
        <v>713</v>
      </c>
      <c r="F132" s="61">
        <v>1</v>
      </c>
    </row>
    <row r="133" spans="1:6" ht="14.25" customHeight="1">
      <c r="A133" s="52" t="s">
        <v>20</v>
      </c>
      <c r="B133" s="52" t="s">
        <v>188</v>
      </c>
      <c r="C133" s="52" t="s">
        <v>192</v>
      </c>
      <c r="D133" s="52" t="s">
        <v>193</v>
      </c>
      <c r="E133" s="60" t="s">
        <v>717</v>
      </c>
      <c r="F133" s="52">
        <v>4</v>
      </c>
    </row>
    <row r="134" spans="1:6" ht="14.25" customHeight="1">
      <c r="A134" s="61" t="s">
        <v>20</v>
      </c>
      <c r="B134" s="61" t="s">
        <v>188</v>
      </c>
      <c r="C134" s="61" t="s">
        <v>192</v>
      </c>
      <c r="D134" s="61" t="s">
        <v>79</v>
      </c>
      <c r="E134" s="62" t="s">
        <v>706</v>
      </c>
      <c r="F134" s="61">
        <v>10</v>
      </c>
    </row>
    <row r="135" spans="1:6" ht="14.25" customHeight="1">
      <c r="A135" s="52" t="s">
        <v>20</v>
      </c>
      <c r="B135" s="52" t="s">
        <v>188</v>
      </c>
      <c r="C135" s="52" t="s">
        <v>192</v>
      </c>
      <c r="D135" s="52" t="s">
        <v>84</v>
      </c>
      <c r="E135" s="60" t="s">
        <v>713</v>
      </c>
      <c r="F135" s="52">
        <v>2</v>
      </c>
    </row>
    <row r="136" spans="1:6" ht="14.25" customHeight="1">
      <c r="A136" s="61" t="s">
        <v>20</v>
      </c>
      <c r="B136" s="61" t="s">
        <v>188</v>
      </c>
      <c r="C136" s="61" t="s">
        <v>192</v>
      </c>
      <c r="D136" s="61" t="s">
        <v>120</v>
      </c>
      <c r="E136" s="62" t="s">
        <v>711</v>
      </c>
      <c r="F136" s="61">
        <v>2</v>
      </c>
    </row>
    <row r="137" spans="1:6" ht="14.25" customHeight="1">
      <c r="A137" s="52" t="s">
        <v>20</v>
      </c>
      <c r="B137" s="52" t="s">
        <v>188</v>
      </c>
      <c r="C137" s="52" t="s">
        <v>192</v>
      </c>
      <c r="D137" s="52" t="s">
        <v>194</v>
      </c>
      <c r="E137" s="60" t="s">
        <v>718</v>
      </c>
      <c r="F137" s="52">
        <v>2</v>
      </c>
    </row>
    <row r="138" spans="1:6" ht="14.25" customHeight="1">
      <c r="A138" s="61" t="s">
        <v>20</v>
      </c>
      <c r="B138" s="61" t="s">
        <v>188</v>
      </c>
      <c r="C138" s="61" t="s">
        <v>192</v>
      </c>
      <c r="D138" s="61" t="s">
        <v>195</v>
      </c>
      <c r="E138" s="62" t="s">
        <v>719</v>
      </c>
      <c r="F138" s="61">
        <v>3</v>
      </c>
    </row>
    <row r="139" spans="1:6" ht="14.25" customHeight="1">
      <c r="A139" s="52" t="s">
        <v>20</v>
      </c>
      <c r="B139" s="52" t="s">
        <v>188</v>
      </c>
      <c r="C139" s="52" t="s">
        <v>192</v>
      </c>
      <c r="D139" s="52" t="s">
        <v>196</v>
      </c>
      <c r="E139" s="60" t="s">
        <v>720</v>
      </c>
      <c r="F139" s="52">
        <v>1</v>
      </c>
    </row>
    <row r="140" spans="1:6" ht="14.25" customHeight="1">
      <c r="A140" s="61" t="s">
        <v>20</v>
      </c>
      <c r="B140" s="61" t="s">
        <v>188</v>
      </c>
      <c r="C140" s="61" t="s">
        <v>197</v>
      </c>
      <c r="D140" s="61" t="s">
        <v>79</v>
      </c>
      <c r="E140" s="62" t="s">
        <v>706</v>
      </c>
      <c r="F140" s="61">
        <v>1</v>
      </c>
    </row>
    <row r="141" spans="1:6" ht="14.25" customHeight="1">
      <c r="A141" s="52" t="s">
        <v>20</v>
      </c>
      <c r="B141" s="52" t="s">
        <v>188</v>
      </c>
      <c r="C141" s="52" t="s">
        <v>197</v>
      </c>
      <c r="D141" s="52" t="s">
        <v>84</v>
      </c>
      <c r="E141" s="60" t="s">
        <v>713</v>
      </c>
      <c r="F141" s="52">
        <v>1</v>
      </c>
    </row>
    <row r="142" spans="1:6" ht="14.25" customHeight="1">
      <c r="A142" s="61" t="s">
        <v>20</v>
      </c>
      <c r="B142" s="61" t="s">
        <v>188</v>
      </c>
      <c r="C142" s="61" t="s">
        <v>198</v>
      </c>
      <c r="D142" s="61" t="s">
        <v>79</v>
      </c>
      <c r="E142" s="62" t="s">
        <v>706</v>
      </c>
      <c r="F142" s="61">
        <v>1</v>
      </c>
    </row>
    <row r="143" spans="1:6" ht="14.25" customHeight="1">
      <c r="A143" s="52" t="s">
        <v>20</v>
      </c>
      <c r="B143" s="52" t="s">
        <v>188</v>
      </c>
      <c r="C143" s="52" t="s">
        <v>198</v>
      </c>
      <c r="D143" s="52" t="s">
        <v>84</v>
      </c>
      <c r="E143" s="60" t="s">
        <v>713</v>
      </c>
      <c r="F143" s="52">
        <v>1</v>
      </c>
    </row>
    <row r="144" spans="1:6" ht="14.25" customHeight="1">
      <c r="A144" s="61" t="s">
        <v>20</v>
      </c>
      <c r="B144" s="61" t="s">
        <v>188</v>
      </c>
      <c r="C144" s="61" t="s">
        <v>199</v>
      </c>
      <c r="D144" s="61" t="s">
        <v>79</v>
      </c>
      <c r="E144" s="62" t="s">
        <v>706</v>
      </c>
      <c r="F144" s="61">
        <v>1</v>
      </c>
    </row>
    <row r="145" spans="1:6" ht="14.25" customHeight="1">
      <c r="A145" s="52" t="s">
        <v>20</v>
      </c>
      <c r="B145" s="52" t="s">
        <v>188</v>
      </c>
      <c r="C145" s="52" t="s">
        <v>199</v>
      </c>
      <c r="D145" s="52" t="s">
        <v>84</v>
      </c>
      <c r="E145" s="60" t="s">
        <v>713</v>
      </c>
      <c r="F145" s="52">
        <v>1</v>
      </c>
    </row>
    <row r="146" spans="1:6" ht="14.25" customHeight="1">
      <c r="A146" s="61" t="s">
        <v>20</v>
      </c>
      <c r="B146" s="61" t="s">
        <v>188</v>
      </c>
      <c r="C146" s="62" t="s">
        <v>200</v>
      </c>
      <c r="D146" s="61" t="s">
        <v>79</v>
      </c>
      <c r="E146" s="62" t="s">
        <v>706</v>
      </c>
      <c r="F146" s="61">
        <v>4</v>
      </c>
    </row>
    <row r="147" spans="1:6" ht="14.25" customHeight="1">
      <c r="A147" s="52" t="s">
        <v>20</v>
      </c>
      <c r="B147" s="52" t="s">
        <v>188</v>
      </c>
      <c r="C147" s="60" t="s">
        <v>200</v>
      </c>
      <c r="D147" s="52" t="s">
        <v>84</v>
      </c>
      <c r="E147" s="60" t="s">
        <v>713</v>
      </c>
      <c r="F147" s="52">
        <v>4</v>
      </c>
    </row>
    <row r="148" spans="1:6" ht="14.25" customHeight="1">
      <c r="A148" s="61" t="s">
        <v>20</v>
      </c>
      <c r="B148" s="61" t="s">
        <v>153</v>
      </c>
      <c r="C148" s="61" t="s">
        <v>154</v>
      </c>
      <c r="D148" s="61" t="s">
        <v>79</v>
      </c>
      <c r="E148" s="62" t="s">
        <v>706</v>
      </c>
      <c r="F148" s="61">
        <v>2</v>
      </c>
    </row>
    <row r="149" spans="1:6" ht="14.25" customHeight="1">
      <c r="A149" s="52" t="s">
        <v>20</v>
      </c>
      <c r="B149" s="52" t="s">
        <v>153</v>
      </c>
      <c r="C149" s="52" t="s">
        <v>154</v>
      </c>
      <c r="D149" s="52" t="s">
        <v>84</v>
      </c>
      <c r="E149" s="60" t="s">
        <v>713</v>
      </c>
      <c r="F149" s="52">
        <v>1</v>
      </c>
    </row>
    <row r="150" spans="1:6" ht="14.25" customHeight="1">
      <c r="A150" s="61" t="s">
        <v>20</v>
      </c>
      <c r="B150" s="61" t="s">
        <v>153</v>
      </c>
      <c r="C150" s="61" t="s">
        <v>154</v>
      </c>
      <c r="D150" s="61" t="s">
        <v>120</v>
      </c>
      <c r="E150" s="62" t="s">
        <v>711</v>
      </c>
      <c r="F150" s="61">
        <v>1</v>
      </c>
    </row>
    <row r="151" spans="1:6" ht="14.25" customHeight="1">
      <c r="A151" s="52" t="s">
        <v>20</v>
      </c>
      <c r="B151" s="52" t="s">
        <v>153</v>
      </c>
      <c r="C151" s="52" t="s">
        <v>155</v>
      </c>
      <c r="D151" s="52" t="s">
        <v>79</v>
      </c>
      <c r="E151" s="60" t="s">
        <v>706</v>
      </c>
      <c r="F151" s="52">
        <v>1</v>
      </c>
    </row>
    <row r="152" spans="1:6" ht="14.25" customHeight="1">
      <c r="A152" s="61" t="s">
        <v>20</v>
      </c>
      <c r="B152" s="61" t="s">
        <v>153</v>
      </c>
      <c r="C152" s="61" t="s">
        <v>155</v>
      </c>
      <c r="D152" s="61" t="s">
        <v>84</v>
      </c>
      <c r="E152" s="62" t="s">
        <v>713</v>
      </c>
      <c r="F152" s="61">
        <v>1</v>
      </c>
    </row>
    <row r="153" spans="1:6" ht="14.25" customHeight="1">
      <c r="A153" s="52" t="s">
        <v>20</v>
      </c>
      <c r="B153" s="52" t="s">
        <v>153</v>
      </c>
      <c r="C153" s="52" t="s">
        <v>155</v>
      </c>
      <c r="D153" s="52" t="s">
        <v>120</v>
      </c>
      <c r="E153" s="60" t="s">
        <v>711</v>
      </c>
      <c r="F153" s="52">
        <v>1</v>
      </c>
    </row>
    <row r="154" spans="1:6" ht="14.25" customHeight="1">
      <c r="A154" s="61" t="s">
        <v>20</v>
      </c>
      <c r="B154" s="61" t="s">
        <v>153</v>
      </c>
      <c r="C154" s="61" t="s">
        <v>156</v>
      </c>
      <c r="D154" s="61" t="s">
        <v>79</v>
      </c>
      <c r="E154" s="62" t="s">
        <v>706</v>
      </c>
      <c r="F154" s="61">
        <v>1</v>
      </c>
    </row>
    <row r="155" spans="1:6" ht="14.25" customHeight="1">
      <c r="A155" s="52" t="s">
        <v>20</v>
      </c>
      <c r="B155" s="52" t="s">
        <v>153</v>
      </c>
      <c r="C155" s="52" t="s">
        <v>157</v>
      </c>
      <c r="D155" s="52" t="s">
        <v>79</v>
      </c>
      <c r="E155" s="60" t="s">
        <v>706</v>
      </c>
      <c r="F155" s="52">
        <v>1</v>
      </c>
    </row>
    <row r="156" spans="1:6" ht="14.25" customHeight="1">
      <c r="A156" s="61" t="s">
        <v>20</v>
      </c>
      <c r="B156" s="61" t="s">
        <v>153</v>
      </c>
      <c r="C156" s="61" t="s">
        <v>157</v>
      </c>
      <c r="D156" s="61" t="s">
        <v>84</v>
      </c>
      <c r="E156" s="62" t="s">
        <v>713</v>
      </c>
      <c r="F156" s="61">
        <v>1</v>
      </c>
    </row>
    <row r="157" spans="1:6" ht="14.25" customHeight="1">
      <c r="A157" s="52" t="s">
        <v>20</v>
      </c>
      <c r="B157" s="52" t="s">
        <v>153</v>
      </c>
      <c r="C157" s="52" t="s">
        <v>158</v>
      </c>
      <c r="D157" s="52" t="s">
        <v>79</v>
      </c>
      <c r="E157" s="60" t="s">
        <v>706</v>
      </c>
      <c r="F157" s="52">
        <v>1</v>
      </c>
    </row>
    <row r="158" spans="1:6" ht="14.25" customHeight="1">
      <c r="A158" s="61" t="s">
        <v>20</v>
      </c>
      <c r="B158" s="61" t="s">
        <v>153</v>
      </c>
      <c r="C158" s="61" t="s">
        <v>158</v>
      </c>
      <c r="D158" s="61" t="s">
        <v>84</v>
      </c>
      <c r="E158" s="62" t="s">
        <v>713</v>
      </c>
      <c r="F158" s="61">
        <v>1</v>
      </c>
    </row>
    <row r="159" spans="1:6" ht="14.25" customHeight="1">
      <c r="A159" s="52" t="s">
        <v>20</v>
      </c>
      <c r="B159" s="52" t="s">
        <v>153</v>
      </c>
      <c r="C159" s="52" t="s">
        <v>158</v>
      </c>
      <c r="D159" s="52" t="s">
        <v>118</v>
      </c>
      <c r="E159" s="60" t="s">
        <v>714</v>
      </c>
      <c r="F159" s="52">
        <v>1</v>
      </c>
    </row>
    <row r="160" spans="1:6" ht="14.25" customHeight="1">
      <c r="A160" s="61" t="s">
        <v>20</v>
      </c>
      <c r="B160" s="61" t="s">
        <v>153</v>
      </c>
      <c r="C160" s="61" t="s">
        <v>159</v>
      </c>
      <c r="D160" s="61" t="s">
        <v>79</v>
      </c>
      <c r="E160" s="62" t="s">
        <v>706</v>
      </c>
      <c r="F160" s="61">
        <v>1</v>
      </c>
    </row>
    <row r="161" spans="1:6" ht="14.25" customHeight="1">
      <c r="A161" s="52" t="s">
        <v>20</v>
      </c>
      <c r="B161" s="52" t="s">
        <v>153</v>
      </c>
      <c r="C161" s="52" t="s">
        <v>159</v>
      </c>
      <c r="D161" s="52" t="s">
        <v>84</v>
      </c>
      <c r="E161" s="60" t="s">
        <v>713</v>
      </c>
      <c r="F161" s="52">
        <v>1</v>
      </c>
    </row>
    <row r="162" spans="1:6" ht="14.25" customHeight="1">
      <c r="A162" s="61" t="s">
        <v>20</v>
      </c>
      <c r="B162" s="61" t="s">
        <v>153</v>
      </c>
      <c r="C162" s="61" t="s">
        <v>159</v>
      </c>
      <c r="D162" s="61" t="s">
        <v>120</v>
      </c>
      <c r="E162" s="62" t="s">
        <v>711</v>
      </c>
      <c r="F162" s="61">
        <v>1</v>
      </c>
    </row>
    <row r="163" spans="1:6" ht="14.25" customHeight="1">
      <c r="A163" s="52" t="s">
        <v>20</v>
      </c>
      <c r="B163" s="52" t="s">
        <v>153</v>
      </c>
      <c r="C163" s="52" t="s">
        <v>160</v>
      </c>
      <c r="D163" s="52" t="s">
        <v>79</v>
      </c>
      <c r="E163" s="60" t="s">
        <v>706</v>
      </c>
      <c r="F163" s="52">
        <v>1</v>
      </c>
    </row>
    <row r="164" spans="1:6" ht="14.25" customHeight="1">
      <c r="A164" s="61" t="s">
        <v>20</v>
      </c>
      <c r="B164" s="61" t="s">
        <v>153</v>
      </c>
      <c r="C164" s="61" t="s">
        <v>161</v>
      </c>
      <c r="D164" s="61" t="s">
        <v>79</v>
      </c>
      <c r="E164" s="62" t="s">
        <v>706</v>
      </c>
      <c r="F164" s="61">
        <v>1</v>
      </c>
    </row>
    <row r="165" spans="1:6" ht="14.25" customHeight="1">
      <c r="A165" s="52" t="s">
        <v>20</v>
      </c>
      <c r="B165" s="52" t="s">
        <v>153</v>
      </c>
      <c r="C165" s="52" t="s">
        <v>162</v>
      </c>
      <c r="D165" s="52" t="s">
        <v>79</v>
      </c>
      <c r="E165" s="60" t="s">
        <v>706</v>
      </c>
      <c r="F165" s="52">
        <v>1</v>
      </c>
    </row>
    <row r="166" spans="1:6" ht="14.25" customHeight="1">
      <c r="A166" s="61" t="s">
        <v>20</v>
      </c>
      <c r="B166" s="61" t="s">
        <v>153</v>
      </c>
      <c r="C166" s="61" t="s">
        <v>162</v>
      </c>
      <c r="D166" s="61" t="s">
        <v>84</v>
      </c>
      <c r="E166" s="62" t="s">
        <v>713</v>
      </c>
      <c r="F166" s="61">
        <v>1</v>
      </c>
    </row>
    <row r="167" spans="1:6" ht="14.25" customHeight="1">
      <c r="A167" s="52" t="s">
        <v>20</v>
      </c>
      <c r="B167" s="52" t="s">
        <v>153</v>
      </c>
      <c r="C167" s="52" t="s">
        <v>162</v>
      </c>
      <c r="D167" s="52" t="s">
        <v>120</v>
      </c>
      <c r="E167" s="60" t="s">
        <v>711</v>
      </c>
      <c r="F167" s="52">
        <v>1</v>
      </c>
    </row>
    <row r="168" spans="1:6" ht="14.25" customHeight="1">
      <c r="A168" s="61" t="s">
        <v>20</v>
      </c>
      <c r="B168" s="61" t="s">
        <v>153</v>
      </c>
      <c r="C168" s="61" t="s">
        <v>163</v>
      </c>
      <c r="D168" s="61" t="s">
        <v>79</v>
      </c>
      <c r="E168" s="62" t="s">
        <v>706</v>
      </c>
      <c r="F168" s="61">
        <v>1</v>
      </c>
    </row>
    <row r="169" spans="1:6" ht="14.25" customHeight="1">
      <c r="A169" s="52" t="s">
        <v>20</v>
      </c>
      <c r="B169" s="52" t="s">
        <v>153</v>
      </c>
      <c r="C169" s="52" t="s">
        <v>163</v>
      </c>
      <c r="D169" s="52" t="s">
        <v>84</v>
      </c>
      <c r="E169" s="60" t="s">
        <v>713</v>
      </c>
      <c r="F169" s="52">
        <v>1</v>
      </c>
    </row>
    <row r="170" spans="1:6" ht="14.25" customHeight="1">
      <c r="A170" s="61" t="s">
        <v>20</v>
      </c>
      <c r="B170" s="61" t="s">
        <v>153</v>
      </c>
      <c r="C170" s="61" t="s">
        <v>164</v>
      </c>
      <c r="D170" s="61" t="s">
        <v>79</v>
      </c>
      <c r="E170" s="62" t="s">
        <v>706</v>
      </c>
      <c r="F170" s="61">
        <v>2</v>
      </c>
    </row>
    <row r="171" spans="1:6" ht="14.25" customHeight="1">
      <c r="A171" s="52" t="s">
        <v>20</v>
      </c>
      <c r="B171" s="52" t="s">
        <v>153</v>
      </c>
      <c r="C171" s="52" t="s">
        <v>164</v>
      </c>
      <c r="D171" s="52" t="s">
        <v>84</v>
      </c>
      <c r="E171" s="60" t="s">
        <v>713</v>
      </c>
      <c r="F171" s="52">
        <v>1</v>
      </c>
    </row>
    <row r="172" spans="1:6" ht="14.25" customHeight="1">
      <c r="A172" s="61" t="s">
        <v>20</v>
      </c>
      <c r="B172" s="61" t="s">
        <v>153</v>
      </c>
      <c r="C172" s="61" t="s">
        <v>166</v>
      </c>
      <c r="D172" s="61" t="s">
        <v>79</v>
      </c>
      <c r="E172" s="62" t="s">
        <v>706</v>
      </c>
      <c r="F172" s="61">
        <v>1</v>
      </c>
    </row>
    <row r="173" spans="1:6" ht="14.25" customHeight="1">
      <c r="A173" s="52" t="s">
        <v>20</v>
      </c>
      <c r="B173" s="52" t="s">
        <v>153</v>
      </c>
      <c r="C173" s="52" t="s">
        <v>166</v>
      </c>
      <c r="D173" s="52" t="s">
        <v>84</v>
      </c>
      <c r="E173" s="60" t="s">
        <v>713</v>
      </c>
      <c r="F173" s="52">
        <v>1</v>
      </c>
    </row>
    <row r="174" spans="1:6" ht="14.25" customHeight="1">
      <c r="A174" s="61" t="s">
        <v>20</v>
      </c>
      <c r="B174" s="61" t="s">
        <v>153</v>
      </c>
      <c r="C174" s="61" t="s">
        <v>167</v>
      </c>
      <c r="D174" s="61" t="s">
        <v>79</v>
      </c>
      <c r="E174" s="62" t="s">
        <v>706</v>
      </c>
      <c r="F174" s="61">
        <v>1</v>
      </c>
    </row>
    <row r="175" spans="1:6" ht="14.25" customHeight="1">
      <c r="A175" s="52" t="s">
        <v>20</v>
      </c>
      <c r="B175" s="52" t="s">
        <v>153</v>
      </c>
      <c r="C175" s="52" t="s">
        <v>167</v>
      </c>
      <c r="D175" s="52" t="s">
        <v>84</v>
      </c>
      <c r="E175" s="60" t="s">
        <v>713</v>
      </c>
      <c r="F175" s="52">
        <v>1</v>
      </c>
    </row>
    <row r="176" spans="1:6" ht="14.25" customHeight="1">
      <c r="A176" s="61" t="s">
        <v>20</v>
      </c>
      <c r="B176" s="61" t="s">
        <v>153</v>
      </c>
      <c r="C176" s="61" t="s">
        <v>168</v>
      </c>
      <c r="D176" s="61" t="s">
        <v>79</v>
      </c>
      <c r="E176" s="62" t="s">
        <v>706</v>
      </c>
      <c r="F176" s="61">
        <v>1</v>
      </c>
    </row>
    <row r="177" spans="1:6" ht="14.25" customHeight="1">
      <c r="A177" s="52" t="s">
        <v>20</v>
      </c>
      <c r="B177" s="52" t="s">
        <v>153</v>
      </c>
      <c r="C177" s="52" t="s">
        <v>168</v>
      </c>
      <c r="D177" s="52" t="s">
        <v>84</v>
      </c>
      <c r="E177" s="60" t="s">
        <v>713</v>
      </c>
      <c r="F177" s="52">
        <v>1</v>
      </c>
    </row>
    <row r="178" spans="1:6" ht="14.25" customHeight="1">
      <c r="A178" s="61" t="s">
        <v>20</v>
      </c>
      <c r="B178" s="61" t="s">
        <v>153</v>
      </c>
      <c r="C178" s="61" t="s">
        <v>169</v>
      </c>
      <c r="D178" s="61" t="s">
        <v>79</v>
      </c>
      <c r="E178" s="62" t="s">
        <v>706</v>
      </c>
      <c r="F178" s="61">
        <v>1</v>
      </c>
    </row>
    <row r="179" spans="1:6" ht="14.25" customHeight="1">
      <c r="A179" s="52" t="s">
        <v>20</v>
      </c>
      <c r="B179" s="52" t="s">
        <v>153</v>
      </c>
      <c r="C179" s="52" t="s">
        <v>169</v>
      </c>
      <c r="D179" s="52" t="s">
        <v>84</v>
      </c>
      <c r="E179" s="60" t="s">
        <v>713</v>
      </c>
      <c r="F179" s="52">
        <v>1</v>
      </c>
    </row>
    <row r="180" spans="1:6" ht="14.25" customHeight="1">
      <c r="A180" s="61" t="s">
        <v>20</v>
      </c>
      <c r="B180" s="61" t="s">
        <v>153</v>
      </c>
      <c r="C180" s="61" t="s">
        <v>170</v>
      </c>
      <c r="D180" s="61" t="s">
        <v>79</v>
      </c>
      <c r="E180" s="62" t="s">
        <v>706</v>
      </c>
      <c r="F180" s="61">
        <v>1</v>
      </c>
    </row>
    <row r="181" spans="1:6" ht="14.25" customHeight="1">
      <c r="A181" s="52" t="s">
        <v>20</v>
      </c>
      <c r="B181" s="52" t="s">
        <v>153</v>
      </c>
      <c r="C181" s="52" t="s">
        <v>170</v>
      </c>
      <c r="D181" s="52" t="s">
        <v>84</v>
      </c>
      <c r="E181" s="60" t="s">
        <v>713</v>
      </c>
      <c r="F181" s="52">
        <v>1</v>
      </c>
    </row>
    <row r="182" spans="1:6" ht="14.25" customHeight="1">
      <c r="A182" s="61" t="s">
        <v>20</v>
      </c>
      <c r="B182" s="61" t="s">
        <v>153</v>
      </c>
      <c r="C182" s="61" t="s">
        <v>171</v>
      </c>
      <c r="D182" s="61" t="s">
        <v>79</v>
      </c>
      <c r="E182" s="62" t="s">
        <v>706</v>
      </c>
      <c r="F182" s="61">
        <v>1</v>
      </c>
    </row>
    <row r="183" spans="1:6" ht="14.25" customHeight="1">
      <c r="A183" s="52" t="s">
        <v>20</v>
      </c>
      <c r="B183" s="52" t="s">
        <v>153</v>
      </c>
      <c r="C183" s="52" t="s">
        <v>171</v>
      </c>
      <c r="D183" s="52" t="s">
        <v>84</v>
      </c>
      <c r="E183" s="60" t="s">
        <v>713</v>
      </c>
      <c r="F183" s="52">
        <v>1</v>
      </c>
    </row>
    <row r="184" spans="1:6" ht="14.25" customHeight="1">
      <c r="A184" s="61" t="s">
        <v>20</v>
      </c>
      <c r="B184" s="61" t="s">
        <v>153</v>
      </c>
      <c r="C184" s="61" t="s">
        <v>172</v>
      </c>
      <c r="D184" s="61" t="s">
        <v>79</v>
      </c>
      <c r="E184" s="62" t="s">
        <v>706</v>
      </c>
      <c r="F184" s="61">
        <v>1</v>
      </c>
    </row>
    <row r="185" spans="1:6" ht="14.25" customHeight="1">
      <c r="A185" s="52" t="s">
        <v>20</v>
      </c>
      <c r="B185" s="52" t="s">
        <v>153</v>
      </c>
      <c r="C185" s="52" t="s">
        <v>173</v>
      </c>
      <c r="D185" s="52" t="s">
        <v>79</v>
      </c>
      <c r="E185" s="60" t="s">
        <v>706</v>
      </c>
      <c r="F185" s="52">
        <v>1</v>
      </c>
    </row>
    <row r="186" spans="1:6" ht="14.25" customHeight="1">
      <c r="A186" s="61" t="s">
        <v>20</v>
      </c>
      <c r="B186" s="61" t="s">
        <v>153</v>
      </c>
      <c r="C186" s="61" t="s">
        <v>173</v>
      </c>
      <c r="D186" s="61" t="s">
        <v>84</v>
      </c>
      <c r="E186" s="62" t="s">
        <v>713</v>
      </c>
      <c r="F186" s="61">
        <v>1</v>
      </c>
    </row>
    <row r="187" spans="1:6" ht="14.25" customHeight="1">
      <c r="A187" s="52" t="s">
        <v>20</v>
      </c>
      <c r="B187" s="52" t="s">
        <v>153</v>
      </c>
      <c r="C187" s="52" t="s">
        <v>174</v>
      </c>
      <c r="D187" s="52" t="s">
        <v>79</v>
      </c>
      <c r="E187" s="60" t="s">
        <v>706</v>
      </c>
      <c r="F187" s="52">
        <v>2</v>
      </c>
    </row>
    <row r="188" spans="1:6" ht="14.25" customHeight="1">
      <c r="A188" s="61" t="s">
        <v>20</v>
      </c>
      <c r="B188" s="61" t="s">
        <v>153</v>
      </c>
      <c r="C188" s="61" t="s">
        <v>174</v>
      </c>
      <c r="D188" s="61" t="s">
        <v>84</v>
      </c>
      <c r="E188" s="62" t="s">
        <v>713</v>
      </c>
      <c r="F188" s="61">
        <v>1</v>
      </c>
    </row>
    <row r="189" spans="1:6" ht="14.25" customHeight="1">
      <c r="A189" s="52" t="s">
        <v>20</v>
      </c>
      <c r="B189" s="52" t="s">
        <v>153</v>
      </c>
      <c r="C189" s="52" t="s">
        <v>174</v>
      </c>
      <c r="D189" s="52" t="s">
        <v>84</v>
      </c>
      <c r="E189" s="60" t="s">
        <v>713</v>
      </c>
      <c r="F189" s="52">
        <v>1</v>
      </c>
    </row>
    <row r="190" spans="1:6" ht="14.25" customHeight="1">
      <c r="A190" s="61" t="s">
        <v>20</v>
      </c>
      <c r="B190" s="61" t="s">
        <v>153</v>
      </c>
      <c r="C190" s="61" t="s">
        <v>175</v>
      </c>
      <c r="D190" s="61" t="s">
        <v>79</v>
      </c>
      <c r="E190" s="62" t="s">
        <v>706</v>
      </c>
      <c r="F190" s="61">
        <v>1</v>
      </c>
    </row>
    <row r="191" spans="1:6" ht="14.25" customHeight="1">
      <c r="A191" s="52" t="s">
        <v>20</v>
      </c>
      <c r="B191" s="52" t="s">
        <v>153</v>
      </c>
      <c r="C191" s="52" t="s">
        <v>175</v>
      </c>
      <c r="D191" s="52" t="s">
        <v>84</v>
      </c>
      <c r="E191" s="60" t="s">
        <v>713</v>
      </c>
      <c r="F191" s="52">
        <v>1</v>
      </c>
    </row>
    <row r="192" spans="1:6" ht="14.25" customHeight="1">
      <c r="A192" s="61" t="s">
        <v>20</v>
      </c>
      <c r="B192" s="61" t="s">
        <v>153</v>
      </c>
      <c r="C192" s="61" t="s">
        <v>175</v>
      </c>
      <c r="D192" s="61" t="s">
        <v>120</v>
      </c>
      <c r="E192" s="62" t="s">
        <v>711</v>
      </c>
      <c r="F192" s="61">
        <v>1</v>
      </c>
    </row>
    <row r="193" spans="1:6" ht="14.25" customHeight="1">
      <c r="A193" s="52" t="s">
        <v>20</v>
      </c>
      <c r="B193" s="52" t="s">
        <v>153</v>
      </c>
      <c r="C193" s="52" t="s">
        <v>176</v>
      </c>
      <c r="D193" s="52" t="s">
        <v>79</v>
      </c>
      <c r="E193" s="60" t="s">
        <v>706</v>
      </c>
      <c r="F193" s="52">
        <v>1</v>
      </c>
    </row>
    <row r="194" spans="1:6" ht="14.25" customHeight="1">
      <c r="A194" s="61" t="s">
        <v>20</v>
      </c>
      <c r="B194" s="61" t="s">
        <v>153</v>
      </c>
      <c r="C194" s="61" t="s">
        <v>176</v>
      </c>
      <c r="D194" s="61" t="s">
        <v>120</v>
      </c>
      <c r="E194" s="62" t="s">
        <v>711</v>
      </c>
      <c r="F194" s="61">
        <v>1</v>
      </c>
    </row>
    <row r="195" spans="1:6" ht="14.25" customHeight="1">
      <c r="A195" s="52" t="s">
        <v>20</v>
      </c>
      <c r="B195" s="52" t="s">
        <v>153</v>
      </c>
      <c r="C195" s="52" t="s">
        <v>177</v>
      </c>
      <c r="D195" s="52" t="s">
        <v>79</v>
      </c>
      <c r="E195" s="60" t="s">
        <v>706</v>
      </c>
      <c r="F195" s="52">
        <v>1</v>
      </c>
    </row>
    <row r="196" spans="1:6" ht="14.25" customHeight="1">
      <c r="A196" s="61" t="s">
        <v>20</v>
      </c>
      <c r="B196" s="61" t="s">
        <v>153</v>
      </c>
      <c r="C196" s="61" t="s">
        <v>177</v>
      </c>
      <c r="D196" s="61" t="s">
        <v>120</v>
      </c>
      <c r="E196" s="62" t="s">
        <v>711</v>
      </c>
      <c r="F196" s="61">
        <v>1</v>
      </c>
    </row>
    <row r="197" spans="1:6" ht="14.25" customHeight="1">
      <c r="A197" s="52" t="s">
        <v>20</v>
      </c>
      <c r="B197" s="52" t="s">
        <v>153</v>
      </c>
      <c r="C197" s="52" t="s">
        <v>178</v>
      </c>
      <c r="D197" s="52" t="s">
        <v>79</v>
      </c>
      <c r="E197" s="60" t="s">
        <v>706</v>
      </c>
      <c r="F197" s="52">
        <v>2</v>
      </c>
    </row>
    <row r="198" spans="1:6" ht="14.25" customHeight="1">
      <c r="A198" s="61" t="s">
        <v>20</v>
      </c>
      <c r="B198" s="61" t="s">
        <v>153</v>
      </c>
      <c r="C198" s="61" t="s">
        <v>178</v>
      </c>
      <c r="D198" s="61" t="s">
        <v>84</v>
      </c>
      <c r="E198" s="62" t="s">
        <v>713</v>
      </c>
      <c r="F198" s="61">
        <v>1</v>
      </c>
    </row>
    <row r="199" spans="1:6" ht="14.25" customHeight="1">
      <c r="A199" s="52" t="s">
        <v>20</v>
      </c>
      <c r="B199" s="52" t="s">
        <v>153</v>
      </c>
      <c r="C199" s="52" t="s">
        <v>179</v>
      </c>
      <c r="D199" s="52" t="s">
        <v>79</v>
      </c>
      <c r="E199" s="60" t="s">
        <v>706</v>
      </c>
      <c r="F199" s="52">
        <v>1</v>
      </c>
    </row>
    <row r="200" spans="1:6" ht="14.25" customHeight="1">
      <c r="A200" s="61" t="s">
        <v>20</v>
      </c>
      <c r="B200" s="61" t="s">
        <v>153</v>
      </c>
      <c r="C200" s="61" t="s">
        <v>179</v>
      </c>
      <c r="D200" s="61" t="s">
        <v>84</v>
      </c>
      <c r="E200" s="62" t="s">
        <v>713</v>
      </c>
      <c r="F200" s="61">
        <v>1</v>
      </c>
    </row>
    <row r="201" spans="1:6" ht="14.25" customHeight="1">
      <c r="A201" s="52" t="s">
        <v>20</v>
      </c>
      <c r="B201" s="52" t="s">
        <v>153</v>
      </c>
      <c r="C201" s="52" t="s">
        <v>180</v>
      </c>
      <c r="D201" s="52" t="s">
        <v>79</v>
      </c>
      <c r="E201" s="60" t="s">
        <v>706</v>
      </c>
      <c r="F201" s="52">
        <v>1</v>
      </c>
    </row>
    <row r="202" spans="1:6" ht="14.25" customHeight="1">
      <c r="A202" s="61" t="s">
        <v>20</v>
      </c>
      <c r="B202" s="61" t="s">
        <v>153</v>
      </c>
      <c r="C202" s="61" t="s">
        <v>180</v>
      </c>
      <c r="D202" s="61" t="s">
        <v>84</v>
      </c>
      <c r="E202" s="62" t="s">
        <v>713</v>
      </c>
      <c r="F202" s="61">
        <v>1</v>
      </c>
    </row>
    <row r="203" spans="1:6" ht="14.25" customHeight="1">
      <c r="A203" s="52" t="s">
        <v>20</v>
      </c>
      <c r="B203" s="52" t="s">
        <v>153</v>
      </c>
      <c r="C203" s="52" t="s">
        <v>180</v>
      </c>
      <c r="D203" s="52" t="s">
        <v>120</v>
      </c>
      <c r="E203" s="60" t="s">
        <v>711</v>
      </c>
      <c r="F203" s="52">
        <v>1</v>
      </c>
    </row>
    <row r="204" spans="1:6" ht="14.25" customHeight="1">
      <c r="A204" s="61" t="s">
        <v>20</v>
      </c>
      <c r="B204" s="61" t="s">
        <v>153</v>
      </c>
      <c r="C204" s="61" t="s">
        <v>181</v>
      </c>
      <c r="D204" s="61" t="s">
        <v>79</v>
      </c>
      <c r="E204" s="62" t="s">
        <v>706</v>
      </c>
      <c r="F204" s="61">
        <v>1</v>
      </c>
    </row>
    <row r="205" spans="1:6" ht="14.25" customHeight="1">
      <c r="A205" s="52" t="s">
        <v>20</v>
      </c>
      <c r="B205" s="52" t="s">
        <v>153</v>
      </c>
      <c r="C205" s="52" t="s">
        <v>181</v>
      </c>
      <c r="D205" s="52" t="s">
        <v>84</v>
      </c>
      <c r="E205" s="60" t="s">
        <v>713</v>
      </c>
      <c r="F205" s="52">
        <v>1</v>
      </c>
    </row>
    <row r="206" spans="1:6" ht="14.25" customHeight="1">
      <c r="A206" s="61" t="s">
        <v>20</v>
      </c>
      <c r="B206" s="61" t="s">
        <v>153</v>
      </c>
      <c r="C206" s="61" t="s">
        <v>181</v>
      </c>
      <c r="D206" s="61" t="s">
        <v>120</v>
      </c>
      <c r="E206" s="62" t="s">
        <v>711</v>
      </c>
      <c r="F206" s="61">
        <v>1</v>
      </c>
    </row>
    <row r="207" spans="1:6" ht="14.25" customHeight="1">
      <c r="A207" s="52" t="s">
        <v>20</v>
      </c>
      <c r="B207" s="52" t="s">
        <v>153</v>
      </c>
      <c r="C207" s="52" t="s">
        <v>182</v>
      </c>
      <c r="D207" s="52" t="s">
        <v>84</v>
      </c>
      <c r="E207" s="60" t="s">
        <v>713</v>
      </c>
      <c r="F207" s="52">
        <v>1</v>
      </c>
    </row>
    <row r="208" spans="1:6" ht="14.25" customHeight="1">
      <c r="A208" s="61" t="s">
        <v>20</v>
      </c>
      <c r="B208" s="61" t="s">
        <v>153</v>
      </c>
      <c r="C208" s="61" t="s">
        <v>183</v>
      </c>
      <c r="D208" s="61" t="s">
        <v>79</v>
      </c>
      <c r="E208" s="62" t="s">
        <v>706</v>
      </c>
      <c r="F208" s="61">
        <v>1</v>
      </c>
    </row>
    <row r="209" spans="1:6" ht="14.25" customHeight="1">
      <c r="A209" s="52" t="s">
        <v>20</v>
      </c>
      <c r="B209" s="52" t="s">
        <v>153</v>
      </c>
      <c r="C209" s="52" t="s">
        <v>183</v>
      </c>
      <c r="D209" s="52" t="s">
        <v>84</v>
      </c>
      <c r="E209" s="60" t="s">
        <v>713</v>
      </c>
      <c r="F209" s="52">
        <v>1</v>
      </c>
    </row>
    <row r="210" spans="1:6" ht="14.25" customHeight="1">
      <c r="A210" s="61" t="s">
        <v>20</v>
      </c>
      <c r="B210" s="61" t="s">
        <v>153</v>
      </c>
      <c r="C210" s="61" t="s">
        <v>184</v>
      </c>
      <c r="D210" s="61" t="s">
        <v>79</v>
      </c>
      <c r="E210" s="62" t="s">
        <v>706</v>
      </c>
      <c r="F210" s="61">
        <v>1</v>
      </c>
    </row>
    <row r="211" spans="1:6" ht="14.25" customHeight="1">
      <c r="A211" s="52" t="s">
        <v>20</v>
      </c>
      <c r="B211" s="52" t="s">
        <v>153</v>
      </c>
      <c r="C211" s="52" t="s">
        <v>185</v>
      </c>
      <c r="D211" s="52" t="s">
        <v>79</v>
      </c>
      <c r="E211" s="60" t="s">
        <v>706</v>
      </c>
      <c r="F211" s="52">
        <v>1</v>
      </c>
    </row>
    <row r="212" spans="1:6" ht="14.25" customHeight="1">
      <c r="A212" s="61" t="s">
        <v>20</v>
      </c>
      <c r="B212" s="61" t="s">
        <v>153</v>
      </c>
      <c r="C212" s="61" t="s">
        <v>186</v>
      </c>
      <c r="D212" s="61" t="s">
        <v>79</v>
      </c>
      <c r="E212" s="62" t="s">
        <v>706</v>
      </c>
      <c r="F212" s="61">
        <v>1</v>
      </c>
    </row>
    <row r="213" spans="1:6" ht="14.25" customHeight="1">
      <c r="A213" s="52" t="s">
        <v>20</v>
      </c>
      <c r="B213" s="52" t="s">
        <v>153</v>
      </c>
      <c r="C213" s="52" t="s">
        <v>186</v>
      </c>
      <c r="D213" s="52" t="s">
        <v>84</v>
      </c>
      <c r="E213" s="60" t="s">
        <v>713</v>
      </c>
      <c r="F213" s="52">
        <v>1</v>
      </c>
    </row>
    <row r="214" spans="1:6" ht="14.25" customHeight="1">
      <c r="A214" s="61" t="s">
        <v>20</v>
      </c>
      <c r="B214" s="61" t="s">
        <v>153</v>
      </c>
      <c r="C214" s="61" t="s">
        <v>187</v>
      </c>
      <c r="D214" s="61" t="s">
        <v>79</v>
      </c>
      <c r="E214" s="62" t="s">
        <v>706</v>
      </c>
      <c r="F214" s="61">
        <v>1</v>
      </c>
    </row>
    <row r="215" spans="1:6" ht="14.25" customHeight="1">
      <c r="A215" s="52" t="s">
        <v>20</v>
      </c>
      <c r="B215" s="52" t="s">
        <v>215</v>
      </c>
      <c r="C215" s="52" t="s">
        <v>216</v>
      </c>
      <c r="D215" s="52" t="s">
        <v>79</v>
      </c>
      <c r="E215" s="60" t="s">
        <v>706</v>
      </c>
      <c r="F215" s="52">
        <v>1</v>
      </c>
    </row>
    <row r="216" spans="1:6" ht="14.25" customHeight="1">
      <c r="A216" s="61" t="s">
        <v>20</v>
      </c>
      <c r="B216" s="61" t="s">
        <v>215</v>
      </c>
      <c r="C216" s="61" t="s">
        <v>216</v>
      </c>
      <c r="D216" s="61" t="s">
        <v>84</v>
      </c>
      <c r="E216" s="62" t="s">
        <v>713</v>
      </c>
      <c r="F216" s="61">
        <v>1</v>
      </c>
    </row>
    <row r="217" spans="1:6" ht="14.25" customHeight="1">
      <c r="A217" s="52" t="s">
        <v>20</v>
      </c>
      <c r="B217" s="52" t="s">
        <v>215</v>
      </c>
      <c r="C217" s="52" t="s">
        <v>216</v>
      </c>
      <c r="D217" s="52" t="s">
        <v>120</v>
      </c>
      <c r="E217" s="60" t="s">
        <v>711</v>
      </c>
      <c r="F217" s="52">
        <v>2</v>
      </c>
    </row>
    <row r="218" spans="1:6" ht="14.25" customHeight="1">
      <c r="A218" s="61" t="s">
        <v>20</v>
      </c>
      <c r="B218" s="61" t="s">
        <v>215</v>
      </c>
      <c r="C218" s="61" t="s">
        <v>218</v>
      </c>
      <c r="D218" s="61" t="s">
        <v>79</v>
      </c>
      <c r="E218" s="62" t="s">
        <v>706</v>
      </c>
      <c r="F218" s="61">
        <v>1</v>
      </c>
    </row>
    <row r="219" spans="1:6" ht="14.25" customHeight="1">
      <c r="A219" s="52" t="s">
        <v>20</v>
      </c>
      <c r="B219" s="52" t="s">
        <v>215</v>
      </c>
      <c r="C219" s="52" t="s">
        <v>218</v>
      </c>
      <c r="D219" s="52" t="s">
        <v>84</v>
      </c>
      <c r="E219" s="60" t="s">
        <v>713</v>
      </c>
      <c r="F219" s="52">
        <v>1</v>
      </c>
    </row>
    <row r="220" spans="1:6" ht="14.25" customHeight="1">
      <c r="A220" s="61" t="s">
        <v>20</v>
      </c>
      <c r="B220" s="61" t="s">
        <v>215</v>
      </c>
      <c r="C220" s="61" t="s">
        <v>218</v>
      </c>
      <c r="D220" s="61" t="s">
        <v>118</v>
      </c>
      <c r="E220" s="62" t="s">
        <v>714</v>
      </c>
      <c r="F220" s="61">
        <v>1</v>
      </c>
    </row>
    <row r="221" spans="1:6" ht="14.25" customHeight="1">
      <c r="A221" s="52" t="s">
        <v>20</v>
      </c>
      <c r="B221" s="52" t="s">
        <v>215</v>
      </c>
      <c r="C221" s="52" t="s">
        <v>219</v>
      </c>
      <c r="D221" s="52" t="s">
        <v>79</v>
      </c>
      <c r="E221" s="60" t="s">
        <v>706</v>
      </c>
      <c r="F221" s="52">
        <v>1</v>
      </c>
    </row>
    <row r="222" spans="1:6" ht="14.25" customHeight="1">
      <c r="A222" s="61" t="s">
        <v>20</v>
      </c>
      <c r="B222" s="61" t="s">
        <v>215</v>
      </c>
      <c r="C222" s="61" t="s">
        <v>219</v>
      </c>
      <c r="D222" s="61" t="s">
        <v>84</v>
      </c>
      <c r="E222" s="62" t="s">
        <v>713</v>
      </c>
      <c r="F222" s="61">
        <v>1</v>
      </c>
    </row>
    <row r="223" spans="1:6" ht="14.25" customHeight="1">
      <c r="A223" s="52" t="s">
        <v>20</v>
      </c>
      <c r="B223" s="52" t="s">
        <v>215</v>
      </c>
      <c r="C223" s="52" t="s">
        <v>219</v>
      </c>
      <c r="D223" s="52" t="s">
        <v>118</v>
      </c>
      <c r="E223" s="60" t="s">
        <v>714</v>
      </c>
      <c r="F223" s="52">
        <v>1</v>
      </c>
    </row>
    <row r="224" spans="1:6" ht="14.25" customHeight="1">
      <c r="A224" s="61" t="s">
        <v>20</v>
      </c>
      <c r="B224" s="61" t="s">
        <v>215</v>
      </c>
      <c r="C224" s="61" t="s">
        <v>220</v>
      </c>
      <c r="D224" s="61" t="s">
        <v>79</v>
      </c>
      <c r="E224" s="62" t="s">
        <v>706</v>
      </c>
      <c r="F224" s="61">
        <v>2</v>
      </c>
    </row>
    <row r="225" spans="1:6" ht="14.25" customHeight="1">
      <c r="A225" s="52" t="s">
        <v>20</v>
      </c>
      <c r="B225" s="52" t="s">
        <v>215</v>
      </c>
      <c r="C225" s="52" t="s">
        <v>220</v>
      </c>
      <c r="D225" s="52" t="s">
        <v>84</v>
      </c>
      <c r="E225" s="60" t="s">
        <v>713</v>
      </c>
      <c r="F225" s="52">
        <v>1</v>
      </c>
    </row>
    <row r="226" spans="1:6" ht="14.25" customHeight="1">
      <c r="A226" s="61" t="s">
        <v>20</v>
      </c>
      <c r="B226" s="61" t="s">
        <v>215</v>
      </c>
      <c r="C226" s="61" t="s">
        <v>221</v>
      </c>
      <c r="D226" s="61" t="s">
        <v>79</v>
      </c>
      <c r="E226" s="62" t="s">
        <v>706</v>
      </c>
      <c r="F226" s="61">
        <v>1</v>
      </c>
    </row>
    <row r="227" spans="1:6" ht="14.25" customHeight="1">
      <c r="A227" s="52" t="s">
        <v>20</v>
      </c>
      <c r="B227" s="52" t="s">
        <v>215</v>
      </c>
      <c r="C227" s="52" t="s">
        <v>221</v>
      </c>
      <c r="D227" s="52" t="s">
        <v>84</v>
      </c>
      <c r="E227" s="60" t="s">
        <v>713</v>
      </c>
      <c r="F227" s="52">
        <v>1</v>
      </c>
    </row>
    <row r="228" spans="1:6" ht="14.25" customHeight="1">
      <c r="A228" s="61" t="s">
        <v>20</v>
      </c>
      <c r="B228" s="61" t="s">
        <v>215</v>
      </c>
      <c r="C228" s="61" t="s">
        <v>222</v>
      </c>
      <c r="D228" s="61" t="s">
        <v>79</v>
      </c>
      <c r="E228" s="62" t="s">
        <v>706</v>
      </c>
      <c r="F228" s="61">
        <v>1</v>
      </c>
    </row>
    <row r="229" spans="1:6" ht="14.25" customHeight="1">
      <c r="A229" s="52" t="s">
        <v>20</v>
      </c>
      <c r="B229" s="52" t="s">
        <v>215</v>
      </c>
      <c r="C229" s="52" t="s">
        <v>222</v>
      </c>
      <c r="D229" s="52" t="s">
        <v>84</v>
      </c>
      <c r="E229" s="60" t="s">
        <v>713</v>
      </c>
      <c r="F229" s="52">
        <v>1</v>
      </c>
    </row>
    <row r="230" spans="1:6" ht="14.25" customHeight="1">
      <c r="A230" s="61" t="s">
        <v>20</v>
      </c>
      <c r="B230" s="61" t="s">
        <v>215</v>
      </c>
      <c r="C230" s="61" t="s">
        <v>223</v>
      </c>
      <c r="D230" s="61" t="s">
        <v>79</v>
      </c>
      <c r="E230" s="62" t="s">
        <v>706</v>
      </c>
      <c r="F230" s="61">
        <v>1</v>
      </c>
    </row>
    <row r="231" spans="1:6" ht="14.25" customHeight="1">
      <c r="A231" s="52" t="s">
        <v>20</v>
      </c>
      <c r="B231" s="52" t="s">
        <v>215</v>
      </c>
      <c r="C231" s="52" t="s">
        <v>223</v>
      </c>
      <c r="D231" s="52" t="s">
        <v>84</v>
      </c>
      <c r="E231" s="60" t="s">
        <v>713</v>
      </c>
      <c r="F231" s="52">
        <v>1</v>
      </c>
    </row>
    <row r="232" spans="1:6" ht="14.25" customHeight="1">
      <c r="A232" s="61" t="s">
        <v>20</v>
      </c>
      <c r="B232" s="61" t="s">
        <v>215</v>
      </c>
      <c r="C232" s="61" t="s">
        <v>224</v>
      </c>
      <c r="D232" s="61" t="s">
        <v>79</v>
      </c>
      <c r="E232" s="62" t="s">
        <v>706</v>
      </c>
      <c r="F232" s="61">
        <v>2</v>
      </c>
    </row>
    <row r="233" spans="1:6" ht="14.25" customHeight="1">
      <c r="A233" s="52" t="s">
        <v>20</v>
      </c>
      <c r="B233" s="52" t="s">
        <v>215</v>
      </c>
      <c r="C233" s="52" t="s">
        <v>224</v>
      </c>
      <c r="D233" s="52" t="s">
        <v>84</v>
      </c>
      <c r="E233" s="60" t="s">
        <v>713</v>
      </c>
      <c r="F233" s="52">
        <v>1</v>
      </c>
    </row>
    <row r="234" spans="1:6" ht="14.25" customHeight="1">
      <c r="A234" s="61" t="s">
        <v>20</v>
      </c>
      <c r="B234" s="61" t="s">
        <v>215</v>
      </c>
      <c r="C234" s="61" t="s">
        <v>224</v>
      </c>
      <c r="D234" s="61" t="s">
        <v>84</v>
      </c>
      <c r="E234" s="62" t="s">
        <v>713</v>
      </c>
      <c r="F234" s="61">
        <v>1</v>
      </c>
    </row>
    <row r="235" spans="1:6" ht="14.25" customHeight="1">
      <c r="A235" s="52" t="s">
        <v>20</v>
      </c>
      <c r="B235" s="52" t="s">
        <v>215</v>
      </c>
      <c r="C235" s="52" t="s">
        <v>224</v>
      </c>
      <c r="D235" s="52" t="s">
        <v>118</v>
      </c>
      <c r="E235" s="60" t="s">
        <v>714</v>
      </c>
      <c r="F235" s="52">
        <v>1</v>
      </c>
    </row>
    <row r="236" spans="1:6" ht="14.25" customHeight="1">
      <c r="A236" s="61" t="s">
        <v>20</v>
      </c>
      <c r="B236" s="61" t="s">
        <v>215</v>
      </c>
      <c r="C236" s="61" t="s">
        <v>225</v>
      </c>
      <c r="D236" s="61" t="s">
        <v>79</v>
      </c>
      <c r="E236" s="62" t="s">
        <v>706</v>
      </c>
      <c r="F236" s="61">
        <v>1</v>
      </c>
    </row>
    <row r="237" spans="1:6" ht="14.25" customHeight="1">
      <c r="A237" s="52" t="s">
        <v>20</v>
      </c>
      <c r="B237" s="52" t="s">
        <v>215</v>
      </c>
      <c r="C237" s="52" t="s">
        <v>225</v>
      </c>
      <c r="D237" s="52" t="s">
        <v>84</v>
      </c>
      <c r="E237" s="60" t="s">
        <v>713</v>
      </c>
      <c r="F237" s="52">
        <v>1</v>
      </c>
    </row>
    <row r="238" spans="1:6" ht="14.25" customHeight="1">
      <c r="A238" s="61" t="s">
        <v>20</v>
      </c>
      <c r="B238" s="61" t="s">
        <v>201</v>
      </c>
      <c r="C238" s="61" t="s">
        <v>202</v>
      </c>
      <c r="D238" s="61" t="s">
        <v>79</v>
      </c>
      <c r="E238" s="62" t="s">
        <v>706</v>
      </c>
      <c r="F238" s="61">
        <v>2</v>
      </c>
    </row>
    <row r="239" spans="1:6" ht="14.25" customHeight="1">
      <c r="A239" s="52" t="s">
        <v>20</v>
      </c>
      <c r="B239" s="52" t="s">
        <v>201</v>
      </c>
      <c r="C239" s="52" t="s">
        <v>202</v>
      </c>
      <c r="D239" s="52" t="s">
        <v>84</v>
      </c>
      <c r="E239" s="60" t="s">
        <v>713</v>
      </c>
      <c r="F239" s="52">
        <v>1</v>
      </c>
    </row>
    <row r="240" spans="1:6" ht="14.25" customHeight="1">
      <c r="A240" s="61" t="s">
        <v>20</v>
      </c>
      <c r="B240" s="61" t="s">
        <v>201</v>
      </c>
      <c r="C240" s="61" t="s">
        <v>202</v>
      </c>
      <c r="D240" s="61" t="s">
        <v>118</v>
      </c>
      <c r="E240" s="62" t="s">
        <v>714</v>
      </c>
      <c r="F240" s="61">
        <v>1</v>
      </c>
    </row>
    <row r="241" spans="1:6" ht="14.25" customHeight="1">
      <c r="A241" s="52" t="s">
        <v>20</v>
      </c>
      <c r="B241" s="52" t="s">
        <v>201</v>
      </c>
      <c r="C241" s="52" t="s">
        <v>203</v>
      </c>
      <c r="D241" s="52" t="s">
        <v>79</v>
      </c>
      <c r="E241" s="60" t="s">
        <v>706</v>
      </c>
      <c r="F241" s="52">
        <v>1</v>
      </c>
    </row>
    <row r="242" spans="1:6" ht="14.25" customHeight="1">
      <c r="A242" s="61" t="s">
        <v>20</v>
      </c>
      <c r="B242" s="61" t="s">
        <v>201</v>
      </c>
      <c r="C242" s="61" t="s">
        <v>203</v>
      </c>
      <c r="D242" s="61" t="s">
        <v>84</v>
      </c>
      <c r="E242" s="62" t="s">
        <v>713</v>
      </c>
      <c r="F242" s="61">
        <v>1</v>
      </c>
    </row>
    <row r="243" spans="1:6" ht="14.25" customHeight="1">
      <c r="A243" s="52" t="s">
        <v>20</v>
      </c>
      <c r="B243" s="52" t="s">
        <v>201</v>
      </c>
      <c r="C243" s="52" t="s">
        <v>203</v>
      </c>
      <c r="D243" s="52" t="s">
        <v>118</v>
      </c>
      <c r="E243" s="60" t="s">
        <v>714</v>
      </c>
      <c r="F243" s="52">
        <v>1</v>
      </c>
    </row>
    <row r="244" spans="1:6" ht="14.25" customHeight="1">
      <c r="A244" s="61" t="s">
        <v>20</v>
      </c>
      <c r="B244" s="61" t="s">
        <v>201</v>
      </c>
      <c r="C244" s="61" t="s">
        <v>204</v>
      </c>
      <c r="D244" s="61" t="s">
        <v>79</v>
      </c>
      <c r="E244" s="62" t="s">
        <v>706</v>
      </c>
      <c r="F244" s="61">
        <v>2</v>
      </c>
    </row>
    <row r="245" spans="1:6" ht="14.25" customHeight="1">
      <c r="A245" s="52" t="s">
        <v>20</v>
      </c>
      <c r="B245" s="52" t="s">
        <v>201</v>
      </c>
      <c r="C245" s="52" t="s">
        <v>204</v>
      </c>
      <c r="D245" s="52" t="s">
        <v>84</v>
      </c>
      <c r="E245" s="60" t="s">
        <v>713</v>
      </c>
      <c r="F245" s="52">
        <v>1</v>
      </c>
    </row>
    <row r="246" spans="1:6" ht="14.25" customHeight="1">
      <c r="A246" s="61" t="s">
        <v>20</v>
      </c>
      <c r="B246" s="61" t="s">
        <v>201</v>
      </c>
      <c r="C246" s="61" t="s">
        <v>204</v>
      </c>
      <c r="D246" s="61" t="s">
        <v>118</v>
      </c>
      <c r="E246" s="62" t="s">
        <v>714</v>
      </c>
      <c r="F246" s="61">
        <v>1</v>
      </c>
    </row>
    <row r="247" spans="1:6" ht="14.25" customHeight="1">
      <c r="A247" s="52" t="s">
        <v>20</v>
      </c>
      <c r="B247" s="52" t="s">
        <v>201</v>
      </c>
      <c r="C247" s="52" t="s">
        <v>205</v>
      </c>
      <c r="D247" s="52" t="s">
        <v>79</v>
      </c>
      <c r="E247" s="60" t="s">
        <v>706</v>
      </c>
      <c r="F247" s="52">
        <v>1</v>
      </c>
    </row>
    <row r="248" spans="1:6" ht="14.25" customHeight="1">
      <c r="A248" s="61" t="s">
        <v>20</v>
      </c>
      <c r="B248" s="61" t="s">
        <v>201</v>
      </c>
      <c r="C248" s="61" t="s">
        <v>205</v>
      </c>
      <c r="D248" s="61" t="s">
        <v>84</v>
      </c>
      <c r="E248" s="62" t="s">
        <v>713</v>
      </c>
      <c r="F248" s="61">
        <v>1</v>
      </c>
    </row>
    <row r="249" spans="1:6" ht="14.25" customHeight="1">
      <c r="A249" s="52" t="s">
        <v>20</v>
      </c>
      <c r="B249" s="52" t="s">
        <v>201</v>
      </c>
      <c r="C249" s="52" t="s">
        <v>205</v>
      </c>
      <c r="D249" s="52" t="s">
        <v>118</v>
      </c>
      <c r="E249" s="60" t="s">
        <v>714</v>
      </c>
      <c r="F249" s="52">
        <v>1</v>
      </c>
    </row>
    <row r="250" spans="1:6" ht="14.25" customHeight="1">
      <c r="A250" s="61" t="s">
        <v>20</v>
      </c>
      <c r="B250" s="61" t="s">
        <v>201</v>
      </c>
      <c r="C250" s="61" t="s">
        <v>206</v>
      </c>
      <c r="D250" s="61" t="s">
        <v>79</v>
      </c>
      <c r="E250" s="62" t="s">
        <v>706</v>
      </c>
      <c r="F250" s="61">
        <v>1</v>
      </c>
    </row>
    <row r="251" spans="1:6" ht="14.25" customHeight="1">
      <c r="A251" s="52" t="s">
        <v>20</v>
      </c>
      <c r="B251" s="52" t="s">
        <v>201</v>
      </c>
      <c r="C251" s="52" t="s">
        <v>206</v>
      </c>
      <c r="D251" s="52" t="s">
        <v>84</v>
      </c>
      <c r="E251" s="60" t="s">
        <v>713</v>
      </c>
      <c r="F251" s="52">
        <v>2</v>
      </c>
    </row>
    <row r="252" spans="1:6" ht="14.25" customHeight="1">
      <c r="A252" s="61" t="s">
        <v>20</v>
      </c>
      <c r="B252" s="61" t="s">
        <v>201</v>
      </c>
      <c r="C252" s="61" t="s">
        <v>206</v>
      </c>
      <c r="D252" s="61" t="s">
        <v>118</v>
      </c>
      <c r="E252" s="62" t="s">
        <v>714</v>
      </c>
      <c r="F252" s="61">
        <v>1</v>
      </c>
    </row>
    <row r="253" spans="1:6" ht="14.25" customHeight="1">
      <c r="A253" s="52" t="s">
        <v>20</v>
      </c>
      <c r="B253" s="52" t="s">
        <v>201</v>
      </c>
      <c r="C253" s="52" t="s">
        <v>207</v>
      </c>
      <c r="D253" s="52" t="s">
        <v>79</v>
      </c>
      <c r="E253" s="60" t="s">
        <v>706</v>
      </c>
      <c r="F253" s="52">
        <v>1</v>
      </c>
    </row>
    <row r="254" spans="1:6" ht="14.25" customHeight="1">
      <c r="A254" s="61" t="s">
        <v>20</v>
      </c>
      <c r="B254" s="61" t="s">
        <v>201</v>
      </c>
      <c r="C254" s="61" t="s">
        <v>207</v>
      </c>
      <c r="D254" s="61" t="s">
        <v>84</v>
      </c>
      <c r="E254" s="62" t="s">
        <v>713</v>
      </c>
      <c r="F254" s="61">
        <v>1</v>
      </c>
    </row>
    <row r="255" spans="1:6" ht="14.25" customHeight="1">
      <c r="A255" s="52" t="s">
        <v>20</v>
      </c>
      <c r="B255" s="52" t="s">
        <v>201</v>
      </c>
      <c r="C255" s="52" t="s">
        <v>208</v>
      </c>
      <c r="D255" s="52" t="s">
        <v>79</v>
      </c>
      <c r="E255" s="60" t="s">
        <v>706</v>
      </c>
      <c r="F255" s="52">
        <v>1</v>
      </c>
    </row>
    <row r="256" spans="1:6" ht="14.25" customHeight="1">
      <c r="A256" s="61" t="s">
        <v>20</v>
      </c>
      <c r="B256" s="61" t="s">
        <v>201</v>
      </c>
      <c r="C256" s="61" t="s">
        <v>208</v>
      </c>
      <c r="D256" s="61" t="s">
        <v>84</v>
      </c>
      <c r="E256" s="62" t="s">
        <v>713</v>
      </c>
      <c r="F256" s="61">
        <v>1</v>
      </c>
    </row>
    <row r="257" spans="1:6" ht="14.25" customHeight="1">
      <c r="A257" s="52" t="s">
        <v>20</v>
      </c>
      <c r="B257" s="52" t="s">
        <v>201</v>
      </c>
      <c r="C257" s="52" t="s">
        <v>209</v>
      </c>
      <c r="D257" s="52" t="s">
        <v>79</v>
      </c>
      <c r="E257" s="60" t="s">
        <v>706</v>
      </c>
      <c r="F257" s="52">
        <v>1</v>
      </c>
    </row>
    <row r="258" spans="1:6" ht="14.25" customHeight="1">
      <c r="A258" s="61" t="s">
        <v>20</v>
      </c>
      <c r="B258" s="61" t="s">
        <v>201</v>
      </c>
      <c r="C258" s="61" t="s">
        <v>209</v>
      </c>
      <c r="D258" s="61" t="s">
        <v>84</v>
      </c>
      <c r="E258" s="62" t="s">
        <v>713</v>
      </c>
      <c r="F258" s="61">
        <v>1</v>
      </c>
    </row>
    <row r="259" spans="1:6" ht="14.25" customHeight="1">
      <c r="A259" s="52" t="s">
        <v>20</v>
      </c>
      <c r="B259" s="52" t="s">
        <v>201</v>
      </c>
      <c r="C259" s="52" t="s">
        <v>210</v>
      </c>
      <c r="D259" s="52" t="s">
        <v>79</v>
      </c>
      <c r="E259" s="60" t="s">
        <v>706</v>
      </c>
      <c r="F259" s="52">
        <v>1</v>
      </c>
    </row>
    <row r="260" spans="1:6" ht="14.25" customHeight="1">
      <c r="A260" s="61" t="s">
        <v>20</v>
      </c>
      <c r="B260" s="61" t="s">
        <v>201</v>
      </c>
      <c r="C260" s="61" t="s">
        <v>210</v>
      </c>
      <c r="D260" s="61" t="s">
        <v>84</v>
      </c>
      <c r="E260" s="62" t="s">
        <v>713</v>
      </c>
      <c r="F260" s="61">
        <v>1</v>
      </c>
    </row>
    <row r="261" spans="1:6" ht="14.25" customHeight="1">
      <c r="A261" s="52" t="s">
        <v>20</v>
      </c>
      <c r="B261" s="52" t="s">
        <v>201</v>
      </c>
      <c r="C261" s="52" t="s">
        <v>211</v>
      </c>
      <c r="D261" s="52" t="s">
        <v>79</v>
      </c>
      <c r="E261" s="60" t="s">
        <v>706</v>
      </c>
      <c r="F261" s="52">
        <v>1</v>
      </c>
    </row>
    <row r="262" spans="1:6" ht="14.25" customHeight="1">
      <c r="A262" s="61" t="s">
        <v>20</v>
      </c>
      <c r="B262" s="61" t="s">
        <v>201</v>
      </c>
      <c r="C262" s="61" t="s">
        <v>211</v>
      </c>
      <c r="D262" s="61" t="s">
        <v>84</v>
      </c>
      <c r="E262" s="62" t="s">
        <v>713</v>
      </c>
      <c r="F262" s="61">
        <v>1</v>
      </c>
    </row>
    <row r="263" spans="1:6" ht="14.25" customHeight="1">
      <c r="A263" s="52" t="s">
        <v>20</v>
      </c>
      <c r="B263" s="52" t="s">
        <v>201</v>
      </c>
      <c r="C263" s="52" t="s">
        <v>212</v>
      </c>
      <c r="D263" s="52" t="s">
        <v>79</v>
      </c>
      <c r="E263" s="60" t="s">
        <v>706</v>
      </c>
      <c r="F263" s="52">
        <v>1</v>
      </c>
    </row>
    <row r="264" spans="1:6" ht="14.25" customHeight="1">
      <c r="A264" s="61" t="s">
        <v>20</v>
      </c>
      <c r="B264" s="61" t="s">
        <v>201</v>
      </c>
      <c r="C264" s="61" t="s">
        <v>212</v>
      </c>
      <c r="D264" s="61" t="s">
        <v>84</v>
      </c>
      <c r="E264" s="62" t="s">
        <v>713</v>
      </c>
      <c r="F264" s="61">
        <v>1</v>
      </c>
    </row>
    <row r="265" spans="1:6" ht="14.25" customHeight="1">
      <c r="A265" s="52" t="s">
        <v>20</v>
      </c>
      <c r="B265" s="52" t="s">
        <v>201</v>
      </c>
      <c r="C265" s="52" t="s">
        <v>213</v>
      </c>
      <c r="D265" s="52" t="s">
        <v>79</v>
      </c>
      <c r="E265" s="60" t="s">
        <v>706</v>
      </c>
      <c r="F265" s="52">
        <v>1</v>
      </c>
    </row>
    <row r="266" spans="1:6" ht="14.25" customHeight="1">
      <c r="A266" s="61" t="s">
        <v>20</v>
      </c>
      <c r="B266" s="61" t="s">
        <v>201</v>
      </c>
      <c r="C266" s="61" t="s">
        <v>213</v>
      </c>
      <c r="D266" s="61" t="s">
        <v>84</v>
      </c>
      <c r="E266" s="62" t="s">
        <v>713</v>
      </c>
      <c r="F266" s="61">
        <v>1</v>
      </c>
    </row>
    <row r="267" spans="1:6" ht="14.25" customHeight="1">
      <c r="A267" s="52" t="s">
        <v>20</v>
      </c>
      <c r="B267" s="52" t="s">
        <v>201</v>
      </c>
      <c r="C267" s="52" t="s">
        <v>213</v>
      </c>
      <c r="D267" s="52" t="s">
        <v>118</v>
      </c>
      <c r="E267" s="60" t="s">
        <v>714</v>
      </c>
      <c r="F267" s="52">
        <v>1</v>
      </c>
    </row>
    <row r="268" spans="1:6" ht="14.25" customHeight="1">
      <c r="A268" s="61" t="s">
        <v>20</v>
      </c>
      <c r="B268" s="61" t="s">
        <v>201</v>
      </c>
      <c r="C268" s="61" t="s">
        <v>214</v>
      </c>
      <c r="D268" s="61" t="s">
        <v>79</v>
      </c>
      <c r="E268" s="62" t="s">
        <v>706</v>
      </c>
      <c r="F268" s="61">
        <v>1</v>
      </c>
    </row>
    <row r="269" spans="1:6" ht="14.25" customHeight="1">
      <c r="A269" s="52" t="s">
        <v>20</v>
      </c>
      <c r="B269" s="52" t="s">
        <v>201</v>
      </c>
      <c r="C269" s="52" t="s">
        <v>214</v>
      </c>
      <c r="D269" s="52" t="s">
        <v>84</v>
      </c>
      <c r="E269" s="60" t="s">
        <v>713</v>
      </c>
      <c r="F269" s="52">
        <v>1</v>
      </c>
    </row>
    <row r="270" spans="1:6" ht="14.25" customHeight="1">
      <c r="A270" s="61" t="s">
        <v>20</v>
      </c>
      <c r="B270" s="61" t="s">
        <v>116</v>
      </c>
      <c r="C270" s="61" t="s">
        <v>117</v>
      </c>
      <c r="D270" s="61" t="s">
        <v>79</v>
      </c>
      <c r="E270" s="62" t="s">
        <v>706</v>
      </c>
      <c r="F270" s="61">
        <v>1</v>
      </c>
    </row>
    <row r="271" spans="1:6" ht="14.25" customHeight="1">
      <c r="A271" s="52" t="s">
        <v>20</v>
      </c>
      <c r="B271" s="52" t="s">
        <v>116</v>
      </c>
      <c r="C271" s="52" t="s">
        <v>117</v>
      </c>
      <c r="D271" s="52" t="s">
        <v>84</v>
      </c>
      <c r="E271" s="60" t="s">
        <v>713</v>
      </c>
      <c r="F271" s="52">
        <v>1</v>
      </c>
    </row>
    <row r="272" spans="1:6" ht="14.25" customHeight="1">
      <c r="A272" s="61" t="s">
        <v>20</v>
      </c>
      <c r="B272" s="61" t="s">
        <v>116</v>
      </c>
      <c r="C272" s="61" t="s">
        <v>117</v>
      </c>
      <c r="D272" s="61" t="s">
        <v>118</v>
      </c>
      <c r="E272" s="62" t="s">
        <v>714</v>
      </c>
      <c r="F272" s="61">
        <v>1</v>
      </c>
    </row>
    <row r="273" spans="1:6" ht="14.25" customHeight="1">
      <c r="A273" s="52" t="s">
        <v>20</v>
      </c>
      <c r="B273" s="52" t="s">
        <v>116</v>
      </c>
      <c r="C273" s="52" t="s">
        <v>119</v>
      </c>
      <c r="D273" s="52" t="s">
        <v>79</v>
      </c>
      <c r="E273" s="60" t="s">
        <v>706</v>
      </c>
      <c r="F273" s="52">
        <v>2</v>
      </c>
    </row>
    <row r="274" spans="1:6" ht="14.25" customHeight="1">
      <c r="A274" s="61" t="s">
        <v>20</v>
      </c>
      <c r="B274" s="61" t="s">
        <v>116</v>
      </c>
      <c r="C274" s="61" t="s">
        <v>119</v>
      </c>
      <c r="D274" s="61" t="s">
        <v>84</v>
      </c>
      <c r="E274" s="62" t="s">
        <v>713</v>
      </c>
      <c r="F274" s="61">
        <v>1</v>
      </c>
    </row>
    <row r="275" spans="1:6" ht="14.25" customHeight="1">
      <c r="A275" s="52" t="s">
        <v>20</v>
      </c>
      <c r="B275" s="52" t="s">
        <v>116</v>
      </c>
      <c r="C275" s="52" t="s">
        <v>119</v>
      </c>
      <c r="D275" s="52" t="s">
        <v>120</v>
      </c>
      <c r="E275" s="60" t="s">
        <v>711</v>
      </c>
      <c r="F275" s="52">
        <v>1</v>
      </c>
    </row>
    <row r="276" spans="1:6" ht="14.25" customHeight="1">
      <c r="A276" s="61" t="s">
        <v>20</v>
      </c>
      <c r="B276" s="61" t="s">
        <v>116</v>
      </c>
      <c r="C276" s="61" t="s">
        <v>121</v>
      </c>
      <c r="D276" s="61" t="s">
        <v>79</v>
      </c>
      <c r="E276" s="62" t="s">
        <v>706</v>
      </c>
      <c r="F276" s="61">
        <v>2</v>
      </c>
    </row>
    <row r="277" spans="1:6" ht="14.25" customHeight="1">
      <c r="A277" s="52" t="s">
        <v>20</v>
      </c>
      <c r="B277" s="52" t="s">
        <v>116</v>
      </c>
      <c r="C277" s="52" t="s">
        <v>121</v>
      </c>
      <c r="D277" s="52" t="s">
        <v>84</v>
      </c>
      <c r="E277" s="60" t="s">
        <v>713</v>
      </c>
      <c r="F277" s="52">
        <v>1</v>
      </c>
    </row>
    <row r="278" spans="1:6" ht="14.25" customHeight="1">
      <c r="A278" s="61" t="s">
        <v>20</v>
      </c>
      <c r="B278" s="61" t="s">
        <v>116</v>
      </c>
      <c r="C278" s="61" t="s">
        <v>121</v>
      </c>
      <c r="D278" s="61" t="s">
        <v>120</v>
      </c>
      <c r="E278" s="62" t="s">
        <v>711</v>
      </c>
      <c r="F278" s="61">
        <v>1</v>
      </c>
    </row>
    <row r="279" spans="1:6" ht="14.25" customHeight="1">
      <c r="A279" s="52" t="s">
        <v>20</v>
      </c>
      <c r="B279" s="52" t="s">
        <v>116</v>
      </c>
      <c r="C279" s="52" t="s">
        <v>122</v>
      </c>
      <c r="D279" s="52" t="s">
        <v>79</v>
      </c>
      <c r="E279" s="60" t="s">
        <v>706</v>
      </c>
      <c r="F279" s="52">
        <v>2</v>
      </c>
    </row>
    <row r="280" spans="1:6" ht="14.25" customHeight="1">
      <c r="A280" s="61" t="s">
        <v>20</v>
      </c>
      <c r="B280" s="61" t="s">
        <v>116</v>
      </c>
      <c r="C280" s="61" t="s">
        <v>122</v>
      </c>
      <c r="D280" s="61" t="s">
        <v>84</v>
      </c>
      <c r="E280" s="62" t="s">
        <v>713</v>
      </c>
      <c r="F280" s="61">
        <v>1</v>
      </c>
    </row>
    <row r="281" spans="1:6" ht="14.25" customHeight="1">
      <c r="A281" s="52" t="s">
        <v>20</v>
      </c>
      <c r="B281" s="52" t="s">
        <v>116</v>
      </c>
      <c r="C281" s="52" t="s">
        <v>122</v>
      </c>
      <c r="D281" s="52" t="s">
        <v>120</v>
      </c>
      <c r="E281" s="60" t="s">
        <v>711</v>
      </c>
      <c r="F281" s="52">
        <v>1</v>
      </c>
    </row>
    <row r="282" spans="1:6" ht="14.25" customHeight="1">
      <c r="A282" s="61" t="s">
        <v>20</v>
      </c>
      <c r="B282" s="61" t="s">
        <v>116</v>
      </c>
      <c r="C282" s="61" t="s">
        <v>123</v>
      </c>
      <c r="D282" s="61" t="s">
        <v>79</v>
      </c>
      <c r="E282" s="62" t="s">
        <v>706</v>
      </c>
      <c r="F282" s="61">
        <v>1</v>
      </c>
    </row>
    <row r="283" spans="1:6" ht="14.25" customHeight="1">
      <c r="A283" s="52" t="s">
        <v>20</v>
      </c>
      <c r="B283" s="52" t="s">
        <v>116</v>
      </c>
      <c r="C283" s="52" t="s">
        <v>123</v>
      </c>
      <c r="D283" s="52" t="s">
        <v>84</v>
      </c>
      <c r="E283" s="60" t="s">
        <v>713</v>
      </c>
      <c r="F283" s="52">
        <v>1</v>
      </c>
    </row>
    <row r="284" spans="1:6" ht="14.25" customHeight="1">
      <c r="A284" s="61" t="s">
        <v>20</v>
      </c>
      <c r="B284" s="61" t="s">
        <v>116</v>
      </c>
      <c r="C284" s="61" t="s">
        <v>123</v>
      </c>
      <c r="D284" s="61" t="s">
        <v>120</v>
      </c>
      <c r="E284" s="62" t="s">
        <v>711</v>
      </c>
      <c r="F284" s="61">
        <v>1</v>
      </c>
    </row>
    <row r="285" spans="1:6" ht="14.25" customHeight="1">
      <c r="A285" s="52" t="s">
        <v>20</v>
      </c>
      <c r="B285" s="52" t="s">
        <v>116</v>
      </c>
      <c r="C285" s="52" t="s">
        <v>124</v>
      </c>
      <c r="D285" s="52" t="s">
        <v>79</v>
      </c>
      <c r="E285" s="60" t="s">
        <v>706</v>
      </c>
      <c r="F285" s="52">
        <v>2</v>
      </c>
    </row>
    <row r="286" spans="1:6" ht="14.25" customHeight="1">
      <c r="A286" s="61" t="s">
        <v>20</v>
      </c>
      <c r="B286" s="61" t="s">
        <v>116</v>
      </c>
      <c r="C286" s="61" t="s">
        <v>124</v>
      </c>
      <c r="D286" s="61" t="s">
        <v>84</v>
      </c>
      <c r="E286" s="62" t="s">
        <v>713</v>
      </c>
      <c r="F286" s="61">
        <v>1</v>
      </c>
    </row>
    <row r="287" spans="1:6" ht="14.25" customHeight="1">
      <c r="A287" s="52" t="s">
        <v>20</v>
      </c>
      <c r="B287" s="52" t="s">
        <v>116</v>
      </c>
      <c r="C287" s="52" t="s">
        <v>124</v>
      </c>
      <c r="D287" s="52" t="s">
        <v>118</v>
      </c>
      <c r="E287" s="60" t="s">
        <v>714</v>
      </c>
      <c r="F287" s="52">
        <v>1</v>
      </c>
    </row>
    <row r="288" spans="1:6" ht="14.25" customHeight="1">
      <c r="A288" s="61" t="s">
        <v>20</v>
      </c>
      <c r="B288" s="61" t="s">
        <v>116</v>
      </c>
      <c r="C288" s="61" t="s">
        <v>20</v>
      </c>
      <c r="D288" s="61" t="s">
        <v>79</v>
      </c>
      <c r="E288" s="62" t="s">
        <v>706</v>
      </c>
      <c r="F288" s="61">
        <v>7</v>
      </c>
    </row>
    <row r="289" spans="1:6" ht="14.25" customHeight="1">
      <c r="A289" s="52" t="s">
        <v>20</v>
      </c>
      <c r="B289" s="52" t="s">
        <v>116</v>
      </c>
      <c r="C289" s="52" t="s">
        <v>20</v>
      </c>
      <c r="D289" s="52" t="s">
        <v>84</v>
      </c>
      <c r="E289" s="60" t="s">
        <v>713</v>
      </c>
      <c r="F289" s="52">
        <v>1</v>
      </c>
    </row>
    <row r="290" spans="1:6" ht="14.25" customHeight="1">
      <c r="A290" s="61" t="s">
        <v>20</v>
      </c>
      <c r="B290" s="61" t="s">
        <v>116</v>
      </c>
      <c r="C290" s="61" t="s">
        <v>20</v>
      </c>
      <c r="D290" s="61" t="s">
        <v>120</v>
      </c>
      <c r="E290" s="62" t="s">
        <v>711</v>
      </c>
      <c r="F290" s="61">
        <v>3</v>
      </c>
    </row>
    <row r="291" spans="1:6" ht="14.25" customHeight="1">
      <c r="A291" s="52" t="s">
        <v>20</v>
      </c>
      <c r="B291" s="52" t="s">
        <v>116</v>
      </c>
      <c r="C291" s="52" t="s">
        <v>20</v>
      </c>
      <c r="D291" s="52" t="s">
        <v>118</v>
      </c>
      <c r="E291" s="60" t="s">
        <v>714</v>
      </c>
      <c r="F291" s="52">
        <v>1</v>
      </c>
    </row>
    <row r="292" spans="1:6" ht="14.25" customHeight="1">
      <c r="A292" s="61" t="s">
        <v>20</v>
      </c>
      <c r="B292" s="61" t="s">
        <v>116</v>
      </c>
      <c r="C292" s="61" t="s">
        <v>20</v>
      </c>
      <c r="D292" s="61" t="s">
        <v>125</v>
      </c>
      <c r="E292" s="62" t="s">
        <v>721</v>
      </c>
      <c r="F292" s="61">
        <v>2</v>
      </c>
    </row>
    <row r="293" spans="1:6" ht="14.25" customHeight="1">
      <c r="A293" s="52" t="s">
        <v>20</v>
      </c>
      <c r="B293" s="52" t="s">
        <v>116</v>
      </c>
      <c r="C293" s="52" t="s">
        <v>20</v>
      </c>
      <c r="D293" s="52" t="s">
        <v>126</v>
      </c>
      <c r="E293" s="60" t="s">
        <v>708</v>
      </c>
      <c r="F293" s="52">
        <v>2</v>
      </c>
    </row>
    <row r="294" spans="1:6" ht="14.25" customHeight="1">
      <c r="A294" s="61" t="s">
        <v>20</v>
      </c>
      <c r="B294" s="61" t="s">
        <v>116</v>
      </c>
      <c r="C294" s="61" t="s">
        <v>20</v>
      </c>
      <c r="D294" s="61" t="s">
        <v>127</v>
      </c>
      <c r="E294" s="62" t="s">
        <v>722</v>
      </c>
      <c r="F294" s="61">
        <v>1</v>
      </c>
    </row>
    <row r="295" spans="1:6" ht="14.25" customHeight="1">
      <c r="A295" s="52" t="s">
        <v>20</v>
      </c>
      <c r="B295" s="52" t="s">
        <v>116</v>
      </c>
      <c r="C295" s="52" t="s">
        <v>20</v>
      </c>
      <c r="D295" s="52" t="s">
        <v>128</v>
      </c>
      <c r="E295" s="60" t="s">
        <v>723</v>
      </c>
      <c r="F295" s="52">
        <v>2</v>
      </c>
    </row>
    <row r="296" spans="1:6" ht="14.25" customHeight="1">
      <c r="A296" s="61" t="s">
        <v>20</v>
      </c>
      <c r="B296" s="61" t="s">
        <v>116</v>
      </c>
      <c r="C296" s="61" t="s">
        <v>20</v>
      </c>
      <c r="D296" s="61" t="s">
        <v>129</v>
      </c>
      <c r="E296" s="62" t="s">
        <v>709</v>
      </c>
      <c r="F296" s="61">
        <v>2</v>
      </c>
    </row>
    <row r="297" spans="1:6" ht="14.25" customHeight="1">
      <c r="A297" s="52" t="s">
        <v>20</v>
      </c>
      <c r="B297" s="52" t="s">
        <v>116</v>
      </c>
      <c r="C297" s="52" t="s">
        <v>131</v>
      </c>
      <c r="D297" s="52" t="s">
        <v>79</v>
      </c>
      <c r="E297" s="60" t="s">
        <v>706</v>
      </c>
      <c r="F297" s="52">
        <v>1</v>
      </c>
    </row>
    <row r="298" spans="1:6" ht="14.25" customHeight="1">
      <c r="A298" s="61" t="s">
        <v>20</v>
      </c>
      <c r="B298" s="61" t="s">
        <v>116</v>
      </c>
      <c r="C298" s="61" t="s">
        <v>131</v>
      </c>
      <c r="D298" s="61" t="s">
        <v>84</v>
      </c>
      <c r="E298" s="62" t="s">
        <v>713</v>
      </c>
      <c r="F298" s="61">
        <v>1</v>
      </c>
    </row>
    <row r="299" spans="1:6" ht="14.25" customHeight="1">
      <c r="A299" s="52" t="s">
        <v>20</v>
      </c>
      <c r="B299" s="52" t="s">
        <v>116</v>
      </c>
      <c r="C299" s="52" t="s">
        <v>131</v>
      </c>
      <c r="D299" s="52" t="s">
        <v>118</v>
      </c>
      <c r="E299" s="60" t="s">
        <v>714</v>
      </c>
      <c r="F299" s="52">
        <v>1</v>
      </c>
    </row>
    <row r="300" spans="1:6" ht="14.25" customHeight="1">
      <c r="A300" s="61" t="s">
        <v>20</v>
      </c>
      <c r="B300" s="61" t="s">
        <v>116</v>
      </c>
      <c r="C300" s="61" t="s">
        <v>132</v>
      </c>
      <c r="D300" s="61" t="s">
        <v>79</v>
      </c>
      <c r="E300" s="62" t="s">
        <v>706</v>
      </c>
      <c r="F300" s="61">
        <v>1</v>
      </c>
    </row>
    <row r="301" spans="1:6" ht="14.25" customHeight="1">
      <c r="A301" s="52" t="s">
        <v>20</v>
      </c>
      <c r="B301" s="52" t="s">
        <v>116</v>
      </c>
      <c r="C301" s="52" t="s">
        <v>132</v>
      </c>
      <c r="D301" s="52" t="s">
        <v>84</v>
      </c>
      <c r="E301" s="60" t="s">
        <v>713</v>
      </c>
      <c r="F301" s="52">
        <v>1</v>
      </c>
    </row>
    <row r="302" spans="1:6" ht="14.25" customHeight="1">
      <c r="A302" s="61" t="s">
        <v>20</v>
      </c>
      <c r="B302" s="61" t="s">
        <v>116</v>
      </c>
      <c r="C302" s="61" t="s">
        <v>132</v>
      </c>
      <c r="D302" s="61" t="s">
        <v>118</v>
      </c>
      <c r="E302" s="62" t="s">
        <v>714</v>
      </c>
      <c r="F302" s="61">
        <v>1</v>
      </c>
    </row>
    <row r="303" spans="1:6" ht="14.25" customHeight="1">
      <c r="A303" s="52" t="s">
        <v>20</v>
      </c>
      <c r="B303" s="52" t="s">
        <v>116</v>
      </c>
      <c r="C303" s="52" t="s">
        <v>23</v>
      </c>
      <c r="D303" s="52" t="s">
        <v>79</v>
      </c>
      <c r="E303" s="60" t="s">
        <v>706</v>
      </c>
      <c r="F303" s="52">
        <v>6</v>
      </c>
    </row>
    <row r="304" spans="1:6" ht="14.25" customHeight="1">
      <c r="A304" s="61" t="s">
        <v>20</v>
      </c>
      <c r="B304" s="61" t="s">
        <v>116</v>
      </c>
      <c r="C304" s="61" t="s">
        <v>23</v>
      </c>
      <c r="D304" s="61" t="s">
        <v>84</v>
      </c>
      <c r="E304" s="62" t="s">
        <v>713</v>
      </c>
      <c r="F304" s="61">
        <v>1</v>
      </c>
    </row>
    <row r="305" spans="1:6" ht="14.25" customHeight="1">
      <c r="A305" s="52" t="s">
        <v>20</v>
      </c>
      <c r="B305" s="52" t="s">
        <v>116</v>
      </c>
      <c r="C305" s="52" t="s">
        <v>23</v>
      </c>
      <c r="D305" s="52" t="s">
        <v>120</v>
      </c>
      <c r="E305" s="60" t="s">
        <v>711</v>
      </c>
      <c r="F305" s="52">
        <v>2</v>
      </c>
    </row>
    <row r="306" spans="1:6" ht="14.25" customHeight="1">
      <c r="A306" s="61" t="s">
        <v>20</v>
      </c>
      <c r="B306" s="61" t="s">
        <v>116</v>
      </c>
      <c r="C306" s="61" t="s">
        <v>23</v>
      </c>
      <c r="D306" s="61" t="s">
        <v>118</v>
      </c>
      <c r="E306" s="62" t="s">
        <v>714</v>
      </c>
      <c r="F306" s="61">
        <v>1</v>
      </c>
    </row>
    <row r="307" spans="1:6" ht="14.25" customHeight="1">
      <c r="A307" s="52" t="s">
        <v>20</v>
      </c>
      <c r="B307" s="52" t="s">
        <v>116</v>
      </c>
      <c r="C307" s="52" t="s">
        <v>23</v>
      </c>
      <c r="D307" s="52" t="s">
        <v>125</v>
      </c>
      <c r="E307" s="60" t="s">
        <v>721</v>
      </c>
      <c r="F307" s="52">
        <v>2</v>
      </c>
    </row>
    <row r="308" spans="1:6" ht="14.25" customHeight="1">
      <c r="A308" s="61" t="s">
        <v>20</v>
      </c>
      <c r="B308" s="61" t="s">
        <v>116</v>
      </c>
      <c r="C308" s="61" t="s">
        <v>23</v>
      </c>
      <c r="D308" s="61" t="s">
        <v>126</v>
      </c>
      <c r="E308" s="62" t="s">
        <v>708</v>
      </c>
      <c r="F308" s="61">
        <v>2</v>
      </c>
    </row>
    <row r="309" spans="1:6" ht="14.25" customHeight="1">
      <c r="A309" s="52" t="s">
        <v>20</v>
      </c>
      <c r="B309" s="52" t="s">
        <v>116</v>
      </c>
      <c r="C309" s="52" t="s">
        <v>23</v>
      </c>
      <c r="D309" s="52" t="s">
        <v>127</v>
      </c>
      <c r="E309" s="60" t="s">
        <v>722</v>
      </c>
      <c r="F309" s="52">
        <v>1</v>
      </c>
    </row>
    <row r="310" spans="1:6" ht="14.25" customHeight="1">
      <c r="A310" s="61" t="s">
        <v>20</v>
      </c>
      <c r="B310" s="61" t="s">
        <v>116</v>
      </c>
      <c r="C310" s="61" t="s">
        <v>23</v>
      </c>
      <c r="D310" s="61" t="s">
        <v>129</v>
      </c>
      <c r="E310" s="62" t="s">
        <v>709</v>
      </c>
      <c r="F310" s="61">
        <v>2</v>
      </c>
    </row>
    <row r="311" spans="1:6" ht="14.25" customHeight="1">
      <c r="A311" s="52" t="s">
        <v>20</v>
      </c>
      <c r="B311" s="52" t="s">
        <v>116</v>
      </c>
      <c r="C311" s="52" t="s">
        <v>134</v>
      </c>
      <c r="D311" s="52" t="s">
        <v>79</v>
      </c>
      <c r="E311" s="60" t="s">
        <v>706</v>
      </c>
      <c r="F311" s="52">
        <v>2</v>
      </c>
    </row>
    <row r="312" spans="1:6" ht="14.25" customHeight="1">
      <c r="A312" s="61" t="s">
        <v>20</v>
      </c>
      <c r="B312" s="61" t="s">
        <v>116</v>
      </c>
      <c r="C312" s="61" t="s">
        <v>134</v>
      </c>
      <c r="D312" s="61" t="s">
        <v>84</v>
      </c>
      <c r="E312" s="62" t="s">
        <v>713</v>
      </c>
      <c r="F312" s="61">
        <v>1</v>
      </c>
    </row>
    <row r="313" spans="1:6" ht="14.25" customHeight="1">
      <c r="A313" s="52" t="s">
        <v>20</v>
      </c>
      <c r="B313" s="52" t="s">
        <v>116</v>
      </c>
      <c r="C313" s="52" t="s">
        <v>135</v>
      </c>
      <c r="D313" s="52" t="s">
        <v>79</v>
      </c>
      <c r="E313" s="60" t="s">
        <v>706</v>
      </c>
      <c r="F313" s="52">
        <v>1</v>
      </c>
    </row>
    <row r="314" spans="1:6" ht="14.25" customHeight="1">
      <c r="A314" s="61" t="s">
        <v>20</v>
      </c>
      <c r="B314" s="61" t="s">
        <v>116</v>
      </c>
      <c r="C314" s="61" t="s">
        <v>135</v>
      </c>
      <c r="D314" s="61" t="s">
        <v>84</v>
      </c>
      <c r="E314" s="62" t="s">
        <v>713</v>
      </c>
      <c r="F314" s="61">
        <v>1</v>
      </c>
    </row>
    <row r="315" spans="1:6" ht="14.25" customHeight="1">
      <c r="A315" s="52" t="s">
        <v>20</v>
      </c>
      <c r="B315" s="52" t="s">
        <v>116</v>
      </c>
      <c r="C315" s="52" t="s">
        <v>136</v>
      </c>
      <c r="D315" s="52" t="s">
        <v>79</v>
      </c>
      <c r="E315" s="60" t="s">
        <v>706</v>
      </c>
      <c r="F315" s="52">
        <v>1</v>
      </c>
    </row>
    <row r="316" spans="1:6" ht="14.25" customHeight="1">
      <c r="A316" s="61" t="s">
        <v>20</v>
      </c>
      <c r="B316" s="61" t="s">
        <v>116</v>
      </c>
      <c r="C316" s="61" t="s">
        <v>136</v>
      </c>
      <c r="D316" s="61" t="s">
        <v>84</v>
      </c>
      <c r="E316" s="62" t="s">
        <v>713</v>
      </c>
      <c r="F316" s="61">
        <v>1</v>
      </c>
    </row>
    <row r="317" spans="1:6" ht="14.25" customHeight="1">
      <c r="A317" s="52" t="s">
        <v>20</v>
      </c>
      <c r="B317" s="52" t="s">
        <v>116</v>
      </c>
      <c r="C317" s="52" t="s">
        <v>137</v>
      </c>
      <c r="D317" s="52" t="s">
        <v>79</v>
      </c>
      <c r="E317" s="60" t="s">
        <v>706</v>
      </c>
      <c r="F317" s="52">
        <v>1</v>
      </c>
    </row>
    <row r="318" spans="1:6" ht="14.25" customHeight="1">
      <c r="A318" s="61" t="s">
        <v>20</v>
      </c>
      <c r="B318" s="61" t="s">
        <v>116</v>
      </c>
      <c r="C318" s="61" t="s">
        <v>137</v>
      </c>
      <c r="D318" s="61" t="s">
        <v>84</v>
      </c>
      <c r="E318" s="62" t="s">
        <v>713</v>
      </c>
      <c r="F318" s="61">
        <v>1</v>
      </c>
    </row>
    <row r="319" spans="1:6" ht="14.25" customHeight="1">
      <c r="A319" s="52" t="s">
        <v>20</v>
      </c>
      <c r="B319" s="52" t="s">
        <v>116</v>
      </c>
      <c r="C319" s="52" t="s">
        <v>138</v>
      </c>
      <c r="D319" s="52" t="s">
        <v>79</v>
      </c>
      <c r="E319" s="60" t="s">
        <v>706</v>
      </c>
      <c r="F319" s="52">
        <v>1</v>
      </c>
    </row>
    <row r="320" spans="1:6" ht="14.25" customHeight="1">
      <c r="A320" s="61" t="s">
        <v>20</v>
      </c>
      <c r="B320" s="61" t="s">
        <v>116</v>
      </c>
      <c r="C320" s="61" t="s">
        <v>138</v>
      </c>
      <c r="D320" s="61" t="s">
        <v>84</v>
      </c>
      <c r="E320" s="62" t="s">
        <v>713</v>
      </c>
      <c r="F320" s="61">
        <v>1</v>
      </c>
    </row>
    <row r="321" spans="1:6" ht="14.25" customHeight="1">
      <c r="A321" s="52" t="s">
        <v>20</v>
      </c>
      <c r="B321" s="52" t="s">
        <v>116</v>
      </c>
      <c r="C321" s="52" t="s">
        <v>139</v>
      </c>
      <c r="D321" s="52" t="s">
        <v>79</v>
      </c>
      <c r="E321" s="60" t="s">
        <v>706</v>
      </c>
      <c r="F321" s="52">
        <v>1</v>
      </c>
    </row>
    <row r="322" spans="1:6" ht="14.25" customHeight="1">
      <c r="A322" s="61" t="s">
        <v>20</v>
      </c>
      <c r="B322" s="61" t="s">
        <v>116</v>
      </c>
      <c r="C322" s="61" t="s">
        <v>139</v>
      </c>
      <c r="D322" s="61" t="s">
        <v>84</v>
      </c>
      <c r="E322" s="62" t="s">
        <v>713</v>
      </c>
      <c r="F322" s="61">
        <v>1</v>
      </c>
    </row>
    <row r="323" spans="1:6" ht="14.25" customHeight="1">
      <c r="A323" s="52" t="s">
        <v>20</v>
      </c>
      <c r="B323" s="52" t="s">
        <v>116</v>
      </c>
      <c r="C323" s="52" t="s">
        <v>140</v>
      </c>
      <c r="D323" s="52" t="s">
        <v>79</v>
      </c>
      <c r="E323" s="60" t="s">
        <v>706</v>
      </c>
      <c r="F323" s="52">
        <v>1</v>
      </c>
    </row>
    <row r="324" spans="1:6" ht="14.25" customHeight="1">
      <c r="A324" s="61" t="s">
        <v>20</v>
      </c>
      <c r="B324" s="61" t="s">
        <v>116</v>
      </c>
      <c r="C324" s="61" t="s">
        <v>140</v>
      </c>
      <c r="D324" s="61" t="s">
        <v>84</v>
      </c>
      <c r="E324" s="62" t="s">
        <v>713</v>
      </c>
      <c r="F324" s="61">
        <v>1</v>
      </c>
    </row>
    <row r="325" spans="1:6" ht="14.25" customHeight="1">
      <c r="A325" s="52" t="s">
        <v>20</v>
      </c>
      <c r="B325" s="52" t="s">
        <v>116</v>
      </c>
      <c r="C325" s="52" t="s">
        <v>141</v>
      </c>
      <c r="D325" s="52" t="s">
        <v>79</v>
      </c>
      <c r="E325" s="60" t="s">
        <v>706</v>
      </c>
      <c r="F325" s="52">
        <v>1</v>
      </c>
    </row>
    <row r="326" spans="1:6" ht="14.25" customHeight="1">
      <c r="A326" s="61" t="s">
        <v>20</v>
      </c>
      <c r="B326" s="61" t="s">
        <v>116</v>
      </c>
      <c r="C326" s="61" t="s">
        <v>141</v>
      </c>
      <c r="D326" s="61" t="s">
        <v>84</v>
      </c>
      <c r="E326" s="62" t="s">
        <v>713</v>
      </c>
      <c r="F326" s="61">
        <v>1</v>
      </c>
    </row>
    <row r="327" spans="1:6" ht="14.25" customHeight="1">
      <c r="A327" s="52" t="s">
        <v>20</v>
      </c>
      <c r="B327" s="52" t="s">
        <v>116</v>
      </c>
      <c r="C327" s="52" t="s">
        <v>142</v>
      </c>
      <c r="D327" s="52" t="s">
        <v>79</v>
      </c>
      <c r="E327" s="60" t="s">
        <v>706</v>
      </c>
      <c r="F327" s="52">
        <v>1</v>
      </c>
    </row>
    <row r="328" spans="1:6" ht="14.25" customHeight="1">
      <c r="A328" s="61" t="s">
        <v>20</v>
      </c>
      <c r="B328" s="61" t="s">
        <v>116</v>
      </c>
      <c r="C328" s="61" t="s">
        <v>142</v>
      </c>
      <c r="D328" s="61" t="s">
        <v>84</v>
      </c>
      <c r="E328" s="62" t="s">
        <v>713</v>
      </c>
      <c r="F328" s="61">
        <v>1</v>
      </c>
    </row>
    <row r="329" spans="1:6" ht="14.25" customHeight="1">
      <c r="A329" s="52" t="s">
        <v>20</v>
      </c>
      <c r="B329" s="52" t="s">
        <v>116</v>
      </c>
      <c r="C329" s="52" t="s">
        <v>143</v>
      </c>
      <c r="D329" s="52" t="s">
        <v>79</v>
      </c>
      <c r="E329" s="60" t="s">
        <v>706</v>
      </c>
      <c r="F329" s="52">
        <v>2</v>
      </c>
    </row>
    <row r="330" spans="1:6" ht="14.25" customHeight="1">
      <c r="A330" s="61" t="s">
        <v>20</v>
      </c>
      <c r="B330" s="61" t="s">
        <v>116</v>
      </c>
      <c r="C330" s="61" t="s">
        <v>143</v>
      </c>
      <c r="D330" s="61" t="s">
        <v>84</v>
      </c>
      <c r="E330" s="62" t="s">
        <v>713</v>
      </c>
      <c r="F330" s="61">
        <v>1</v>
      </c>
    </row>
    <row r="331" spans="1:6" ht="14.25" customHeight="1">
      <c r="A331" s="52" t="s">
        <v>20</v>
      </c>
      <c r="B331" s="52" t="s">
        <v>116</v>
      </c>
      <c r="C331" s="52" t="s">
        <v>144</v>
      </c>
      <c r="D331" s="52" t="s">
        <v>79</v>
      </c>
      <c r="E331" s="60" t="s">
        <v>706</v>
      </c>
      <c r="F331" s="52">
        <v>2</v>
      </c>
    </row>
    <row r="332" spans="1:6" ht="14.25" customHeight="1">
      <c r="A332" s="61" t="s">
        <v>20</v>
      </c>
      <c r="B332" s="61" t="s">
        <v>116</v>
      </c>
      <c r="C332" s="61" t="s">
        <v>144</v>
      </c>
      <c r="D332" s="61" t="s">
        <v>84</v>
      </c>
      <c r="E332" s="62" t="s">
        <v>713</v>
      </c>
      <c r="F332" s="61">
        <v>1</v>
      </c>
    </row>
    <row r="333" spans="1:6" ht="14.25" customHeight="1">
      <c r="A333" s="52" t="s">
        <v>20</v>
      </c>
      <c r="B333" s="52" t="s">
        <v>116</v>
      </c>
      <c r="C333" s="52" t="s">
        <v>144</v>
      </c>
      <c r="D333" s="52" t="s">
        <v>120</v>
      </c>
      <c r="E333" s="60" t="s">
        <v>711</v>
      </c>
      <c r="F333" s="52">
        <v>1</v>
      </c>
    </row>
    <row r="334" spans="1:6" ht="14.25" customHeight="1">
      <c r="A334" s="61" t="s">
        <v>20</v>
      </c>
      <c r="B334" s="61" t="s">
        <v>116</v>
      </c>
      <c r="C334" s="61" t="s">
        <v>145</v>
      </c>
      <c r="D334" s="61" t="s">
        <v>79</v>
      </c>
      <c r="E334" s="62" t="s">
        <v>706</v>
      </c>
      <c r="F334" s="61">
        <v>2</v>
      </c>
    </row>
    <row r="335" spans="1:6" ht="14.25" customHeight="1">
      <c r="A335" s="52" t="s">
        <v>20</v>
      </c>
      <c r="B335" s="52" t="s">
        <v>116</v>
      </c>
      <c r="C335" s="52" t="s">
        <v>145</v>
      </c>
      <c r="D335" s="52" t="s">
        <v>84</v>
      </c>
      <c r="E335" s="60" t="s">
        <v>713</v>
      </c>
      <c r="F335" s="52">
        <v>1</v>
      </c>
    </row>
    <row r="336" spans="1:6" ht="14.25" customHeight="1">
      <c r="A336" s="61" t="s">
        <v>20</v>
      </c>
      <c r="B336" s="61" t="s">
        <v>116</v>
      </c>
      <c r="C336" s="61" t="s">
        <v>145</v>
      </c>
      <c r="D336" s="61" t="s">
        <v>84</v>
      </c>
      <c r="E336" s="62" t="s">
        <v>713</v>
      </c>
      <c r="F336" s="61">
        <v>1</v>
      </c>
    </row>
    <row r="337" spans="1:6" ht="14.25" customHeight="1">
      <c r="A337" s="52" t="s">
        <v>20</v>
      </c>
      <c r="B337" s="52" t="s">
        <v>116</v>
      </c>
      <c r="C337" s="52" t="s">
        <v>145</v>
      </c>
      <c r="D337" s="52" t="s">
        <v>120</v>
      </c>
      <c r="E337" s="60" t="s">
        <v>711</v>
      </c>
      <c r="F337" s="52">
        <v>1</v>
      </c>
    </row>
    <row r="338" spans="1:6" ht="14.25" customHeight="1">
      <c r="A338" s="61" t="s">
        <v>20</v>
      </c>
      <c r="B338" s="61" t="s">
        <v>116</v>
      </c>
      <c r="C338" s="61" t="s">
        <v>146</v>
      </c>
      <c r="D338" s="61" t="s">
        <v>79</v>
      </c>
      <c r="E338" s="62" t="s">
        <v>706</v>
      </c>
      <c r="F338" s="61">
        <v>1</v>
      </c>
    </row>
    <row r="339" spans="1:6" ht="14.25" customHeight="1">
      <c r="A339" s="52" t="s">
        <v>20</v>
      </c>
      <c r="B339" s="52" t="s">
        <v>116</v>
      </c>
      <c r="C339" s="52" t="s">
        <v>146</v>
      </c>
      <c r="D339" s="52" t="s">
        <v>84</v>
      </c>
      <c r="E339" s="60" t="s">
        <v>713</v>
      </c>
      <c r="F339" s="52">
        <v>1</v>
      </c>
    </row>
    <row r="340" spans="1:6" ht="14.25" customHeight="1">
      <c r="A340" s="61" t="s">
        <v>20</v>
      </c>
      <c r="B340" s="61" t="s">
        <v>116</v>
      </c>
      <c r="C340" s="61" t="s">
        <v>147</v>
      </c>
      <c r="D340" s="61" t="s">
        <v>79</v>
      </c>
      <c r="E340" s="62" t="s">
        <v>706</v>
      </c>
      <c r="F340" s="61">
        <v>1</v>
      </c>
    </row>
    <row r="341" spans="1:6" ht="14.25" customHeight="1">
      <c r="A341" s="52" t="s">
        <v>20</v>
      </c>
      <c r="B341" s="52" t="s">
        <v>116</v>
      </c>
      <c r="C341" s="52" t="s">
        <v>147</v>
      </c>
      <c r="D341" s="52" t="s">
        <v>84</v>
      </c>
      <c r="E341" s="60" t="s">
        <v>713</v>
      </c>
      <c r="F341" s="52">
        <v>1</v>
      </c>
    </row>
    <row r="342" spans="1:6" ht="14.25" customHeight="1">
      <c r="A342" s="61" t="s">
        <v>20</v>
      </c>
      <c r="B342" s="61" t="s">
        <v>116</v>
      </c>
      <c r="C342" s="61" t="s">
        <v>148</v>
      </c>
      <c r="D342" s="61" t="s">
        <v>79</v>
      </c>
      <c r="E342" s="62" t="s">
        <v>706</v>
      </c>
      <c r="F342" s="61">
        <v>1</v>
      </c>
    </row>
    <row r="343" spans="1:6" ht="14.25" customHeight="1">
      <c r="A343" s="52" t="s">
        <v>20</v>
      </c>
      <c r="B343" s="52" t="s">
        <v>116</v>
      </c>
      <c r="C343" s="52" t="s">
        <v>149</v>
      </c>
      <c r="D343" s="52" t="s">
        <v>79</v>
      </c>
      <c r="E343" s="60" t="s">
        <v>706</v>
      </c>
      <c r="F343" s="52">
        <v>1</v>
      </c>
    </row>
    <row r="344" spans="1:6" ht="14.25" customHeight="1">
      <c r="A344" s="61" t="s">
        <v>20</v>
      </c>
      <c r="B344" s="61" t="s">
        <v>116</v>
      </c>
      <c r="C344" s="61" t="s">
        <v>150</v>
      </c>
      <c r="D344" s="61" t="s">
        <v>79</v>
      </c>
      <c r="E344" s="62" t="s">
        <v>706</v>
      </c>
      <c r="F344" s="61">
        <v>1</v>
      </c>
    </row>
    <row r="345" spans="1:6" ht="14.25" customHeight="1">
      <c r="A345" s="52" t="s">
        <v>20</v>
      </c>
      <c r="B345" s="52" t="s">
        <v>116</v>
      </c>
      <c r="C345" s="52" t="s">
        <v>151</v>
      </c>
      <c r="D345" s="52" t="s">
        <v>79</v>
      </c>
      <c r="E345" s="60" t="s">
        <v>706</v>
      </c>
      <c r="F345" s="52">
        <v>1</v>
      </c>
    </row>
    <row r="346" spans="1:6" ht="14.25" customHeight="1">
      <c r="A346" s="61" t="s">
        <v>20</v>
      </c>
      <c r="B346" s="61" t="s">
        <v>116</v>
      </c>
      <c r="C346" s="61" t="s">
        <v>152</v>
      </c>
      <c r="D346" s="61" t="s">
        <v>79</v>
      </c>
      <c r="E346" s="62" t="s">
        <v>706</v>
      </c>
      <c r="F346" s="61">
        <v>1</v>
      </c>
    </row>
    <row r="347" spans="1:6" ht="14.25" customHeight="1">
      <c r="A347" s="52" t="s">
        <v>20</v>
      </c>
      <c r="B347" s="52" t="s">
        <v>244</v>
      </c>
      <c r="C347" s="52" t="s">
        <v>244</v>
      </c>
      <c r="D347" s="52" t="s">
        <v>79</v>
      </c>
      <c r="E347" s="60" t="s">
        <v>706</v>
      </c>
      <c r="F347" s="52">
        <v>1</v>
      </c>
    </row>
    <row r="348" spans="1:6" ht="14.25" customHeight="1">
      <c r="A348" s="61" t="s">
        <v>20</v>
      </c>
      <c r="B348" s="61" t="s">
        <v>244</v>
      </c>
      <c r="C348" s="61" t="s">
        <v>244</v>
      </c>
      <c r="D348" s="61" t="s">
        <v>84</v>
      </c>
      <c r="E348" s="62" t="s">
        <v>713</v>
      </c>
      <c r="F348" s="61">
        <v>1</v>
      </c>
    </row>
    <row r="349" spans="1:6" ht="14.25" customHeight="1">
      <c r="A349" s="52" t="s">
        <v>20</v>
      </c>
      <c r="B349" s="52" t="s">
        <v>243</v>
      </c>
      <c r="C349" s="52" t="s">
        <v>243</v>
      </c>
      <c r="D349" s="52" t="s">
        <v>79</v>
      </c>
      <c r="E349" s="60" t="s">
        <v>706</v>
      </c>
      <c r="F349" s="52">
        <v>1</v>
      </c>
    </row>
    <row r="350" spans="1:6" ht="14.25" customHeight="1">
      <c r="A350" s="61" t="s">
        <v>20</v>
      </c>
      <c r="B350" s="61" t="s">
        <v>243</v>
      </c>
      <c r="C350" s="61" t="s">
        <v>243</v>
      </c>
      <c r="D350" s="61" t="s">
        <v>84</v>
      </c>
      <c r="E350" s="62" t="s">
        <v>713</v>
      </c>
      <c r="F350" s="61">
        <v>1</v>
      </c>
    </row>
    <row r="351" spans="1:6" ht="14.25" customHeight="1">
      <c r="A351" s="52" t="s">
        <v>20</v>
      </c>
      <c r="B351" s="52" t="s">
        <v>242</v>
      </c>
      <c r="C351" s="52" t="s">
        <v>242</v>
      </c>
      <c r="D351" s="52" t="s">
        <v>79</v>
      </c>
      <c r="E351" s="60" t="s">
        <v>706</v>
      </c>
      <c r="F351" s="52">
        <v>1</v>
      </c>
    </row>
    <row r="352" spans="1:6" ht="14.25" customHeight="1">
      <c r="A352" s="61" t="s">
        <v>20</v>
      </c>
      <c r="B352" s="61" t="s">
        <v>242</v>
      </c>
      <c r="C352" s="61" t="s">
        <v>242</v>
      </c>
      <c r="D352" s="61" t="s">
        <v>84</v>
      </c>
      <c r="E352" s="62" t="s">
        <v>713</v>
      </c>
      <c r="F352" s="61">
        <v>1</v>
      </c>
    </row>
    <row r="353" spans="1:6" ht="14.25" customHeight="1">
      <c r="A353" s="52" t="s">
        <v>20</v>
      </c>
      <c r="B353" s="52" t="s">
        <v>245</v>
      </c>
      <c r="C353" s="60" t="s">
        <v>246</v>
      </c>
      <c r="D353" s="52" t="s">
        <v>79</v>
      </c>
      <c r="E353" s="60" t="s">
        <v>706</v>
      </c>
      <c r="F353" s="52">
        <v>1</v>
      </c>
    </row>
    <row r="354" spans="1:6" ht="14.25" customHeight="1">
      <c r="A354" s="61" t="s">
        <v>20</v>
      </c>
      <c r="B354" s="62" t="s">
        <v>239</v>
      </c>
      <c r="C354" s="61" t="s">
        <v>73</v>
      </c>
      <c r="D354" s="61" t="s">
        <v>74</v>
      </c>
      <c r="E354" s="62" t="s">
        <v>707</v>
      </c>
      <c r="F354" s="61">
        <v>6</v>
      </c>
    </row>
    <row r="355" spans="1:6" ht="14.25" customHeight="1">
      <c r="A355" s="52" t="s">
        <v>20</v>
      </c>
      <c r="B355" s="60" t="s">
        <v>239</v>
      </c>
      <c r="C355" s="60" t="s">
        <v>235</v>
      </c>
      <c r="D355" s="52" t="s">
        <v>83</v>
      </c>
      <c r="E355" s="60" t="s">
        <v>712</v>
      </c>
      <c r="F355" s="52">
        <v>1</v>
      </c>
    </row>
    <row r="356" spans="1:6" ht="14.25" customHeight="1">
      <c r="A356" s="61" t="s">
        <v>20</v>
      </c>
      <c r="B356" s="62" t="s">
        <v>239</v>
      </c>
      <c r="C356" s="62" t="s">
        <v>235</v>
      </c>
      <c r="D356" s="61" t="s">
        <v>76</v>
      </c>
      <c r="E356" s="62" t="s">
        <v>710</v>
      </c>
      <c r="F356" s="61">
        <v>1</v>
      </c>
    </row>
    <row r="357" spans="1:6" ht="14.25" customHeight="1">
      <c r="A357" s="52" t="s">
        <v>20</v>
      </c>
      <c r="B357" s="60" t="s">
        <v>239</v>
      </c>
      <c r="C357" s="60" t="s">
        <v>235</v>
      </c>
      <c r="D357" s="52" t="s">
        <v>120</v>
      </c>
      <c r="E357" s="60" t="s">
        <v>711</v>
      </c>
      <c r="F357" s="52">
        <v>1</v>
      </c>
    </row>
    <row r="358" spans="1:6" ht="14.25" customHeight="1">
      <c r="A358" s="61" t="s">
        <v>20</v>
      </c>
      <c r="B358" s="62" t="s">
        <v>239</v>
      </c>
      <c r="C358" s="62" t="s">
        <v>235</v>
      </c>
      <c r="D358" s="61" t="s">
        <v>118</v>
      </c>
      <c r="E358" s="62" t="s">
        <v>714</v>
      </c>
      <c r="F358" s="61">
        <v>1</v>
      </c>
    </row>
    <row r="359" spans="1:6" ht="14.25" customHeight="1">
      <c r="A359" s="52" t="s">
        <v>20</v>
      </c>
      <c r="B359" s="60" t="s">
        <v>234</v>
      </c>
      <c r="C359" s="52" t="s">
        <v>73</v>
      </c>
      <c r="D359" s="52" t="s">
        <v>74</v>
      </c>
      <c r="E359" s="60" t="s">
        <v>707</v>
      </c>
      <c r="F359" s="52">
        <v>9</v>
      </c>
    </row>
    <row r="360" spans="1:6" ht="14.25" customHeight="1">
      <c r="A360" s="61" t="s">
        <v>20</v>
      </c>
      <c r="B360" s="62" t="s">
        <v>234</v>
      </c>
      <c r="C360" s="62" t="s">
        <v>235</v>
      </c>
      <c r="D360" s="61" t="s">
        <v>83</v>
      </c>
      <c r="E360" s="62" t="s">
        <v>712</v>
      </c>
      <c r="F360" s="61">
        <v>2</v>
      </c>
    </row>
    <row r="361" spans="1:6" ht="14.25" customHeight="1">
      <c r="A361" s="52" t="s">
        <v>20</v>
      </c>
      <c r="B361" s="60" t="s">
        <v>234</v>
      </c>
      <c r="C361" s="60" t="s">
        <v>235</v>
      </c>
      <c r="D361" s="52" t="s">
        <v>76</v>
      </c>
      <c r="E361" s="60" t="s">
        <v>710</v>
      </c>
      <c r="F361" s="52">
        <v>2</v>
      </c>
    </row>
    <row r="362" spans="1:6" ht="14.25" customHeight="1">
      <c r="A362" s="61" t="s">
        <v>20</v>
      </c>
      <c r="B362" s="62" t="s">
        <v>236</v>
      </c>
      <c r="C362" s="61" t="s">
        <v>73</v>
      </c>
      <c r="D362" s="61" t="s">
        <v>74</v>
      </c>
      <c r="E362" s="62" t="s">
        <v>707</v>
      </c>
      <c r="F362" s="61">
        <v>9</v>
      </c>
    </row>
    <row r="363" spans="1:6" ht="14.25" customHeight="1">
      <c r="A363" s="52" t="s">
        <v>20</v>
      </c>
      <c r="B363" s="60" t="s">
        <v>236</v>
      </c>
      <c r="C363" s="52" t="s">
        <v>237</v>
      </c>
      <c r="D363" s="52" t="s">
        <v>83</v>
      </c>
      <c r="E363" s="60" t="s">
        <v>712</v>
      </c>
      <c r="F363" s="52">
        <v>1</v>
      </c>
    </row>
    <row r="364" spans="1:6" ht="14.25" customHeight="1">
      <c r="A364" s="61" t="s">
        <v>20</v>
      </c>
      <c r="B364" s="62" t="s">
        <v>236</v>
      </c>
      <c r="C364" s="61" t="s">
        <v>237</v>
      </c>
      <c r="D364" s="61" t="s">
        <v>84</v>
      </c>
      <c r="E364" s="62" t="s">
        <v>713</v>
      </c>
      <c r="F364" s="61">
        <v>2</v>
      </c>
    </row>
    <row r="365" spans="1:6" ht="14.25" customHeight="1">
      <c r="A365" s="52" t="s">
        <v>20</v>
      </c>
      <c r="B365" s="60" t="s">
        <v>240</v>
      </c>
      <c r="C365" s="52" t="s">
        <v>73</v>
      </c>
      <c r="D365" s="52" t="s">
        <v>74</v>
      </c>
      <c r="E365" s="60" t="s">
        <v>707</v>
      </c>
      <c r="F365" s="52">
        <v>3</v>
      </c>
    </row>
    <row r="366" spans="1:6" ht="14.25" customHeight="1">
      <c r="A366" s="61" t="s">
        <v>20</v>
      </c>
      <c r="B366" s="62" t="s">
        <v>240</v>
      </c>
      <c r="C366" s="62" t="s">
        <v>241</v>
      </c>
      <c r="D366" s="61" t="s">
        <v>83</v>
      </c>
      <c r="E366" s="62" t="s">
        <v>712</v>
      </c>
      <c r="F366" s="61">
        <v>1</v>
      </c>
    </row>
    <row r="367" spans="1:6" ht="14.25" customHeight="1">
      <c r="A367" s="52" t="s">
        <v>20</v>
      </c>
      <c r="B367" s="60" t="s">
        <v>240</v>
      </c>
      <c r="C367" s="60" t="s">
        <v>241</v>
      </c>
      <c r="D367" s="52" t="s">
        <v>84</v>
      </c>
      <c r="E367" s="60" t="s">
        <v>713</v>
      </c>
      <c r="F367" s="52">
        <v>2</v>
      </c>
    </row>
    <row r="368" spans="1:6" ht="14.25" customHeight="1">
      <c r="A368" s="61" t="s">
        <v>20</v>
      </c>
      <c r="B368" s="62" t="s">
        <v>238</v>
      </c>
      <c r="C368" s="61" t="s">
        <v>73</v>
      </c>
      <c r="D368" s="61" t="s">
        <v>74</v>
      </c>
      <c r="E368" s="62" t="s">
        <v>707</v>
      </c>
      <c r="F368" s="61">
        <v>10</v>
      </c>
    </row>
    <row r="369" spans="1:6" ht="14.25" customHeight="1">
      <c r="A369" s="52" t="s">
        <v>20</v>
      </c>
      <c r="B369" s="60" t="s">
        <v>232</v>
      </c>
      <c r="C369" s="52" t="s">
        <v>73</v>
      </c>
      <c r="D369" s="52" t="s">
        <v>74</v>
      </c>
      <c r="E369" s="60" t="s">
        <v>707</v>
      </c>
      <c r="F369" s="52">
        <v>4</v>
      </c>
    </row>
    <row r="370" spans="1:6" ht="14.25" customHeight="1">
      <c r="A370" s="61" t="s">
        <v>20</v>
      </c>
      <c r="B370" s="62" t="s">
        <v>232</v>
      </c>
      <c r="C370" s="61" t="s">
        <v>233</v>
      </c>
      <c r="D370" s="61" t="s">
        <v>79</v>
      </c>
      <c r="E370" s="62" t="s">
        <v>706</v>
      </c>
      <c r="F370" s="61">
        <v>6</v>
      </c>
    </row>
    <row r="371" spans="1:6" ht="14.25" customHeight="1">
      <c r="A371" s="52" t="s">
        <v>20</v>
      </c>
      <c r="B371" s="60" t="s">
        <v>232</v>
      </c>
      <c r="C371" s="52" t="s">
        <v>233</v>
      </c>
      <c r="D371" s="52" t="s">
        <v>84</v>
      </c>
      <c r="E371" s="60" t="s">
        <v>713</v>
      </c>
      <c r="F371" s="52">
        <v>4</v>
      </c>
    </row>
    <row r="372" spans="1:6" ht="14.25" customHeight="1">
      <c r="A372" s="61" t="s">
        <v>20</v>
      </c>
      <c r="B372" s="62" t="s">
        <v>247</v>
      </c>
      <c r="C372" s="62" t="s">
        <v>248</v>
      </c>
      <c r="D372" s="61" t="s">
        <v>83</v>
      </c>
      <c r="E372" s="62" t="s">
        <v>712</v>
      </c>
      <c r="F372" s="61">
        <v>1</v>
      </c>
    </row>
    <row r="373" spans="1:6" ht="14.25" customHeight="1">
      <c r="A373" s="52" t="s">
        <v>20</v>
      </c>
      <c r="B373" s="60" t="s">
        <v>226</v>
      </c>
      <c r="C373" s="52" t="s">
        <v>73</v>
      </c>
      <c r="D373" s="52" t="s">
        <v>74</v>
      </c>
      <c r="E373" s="60" t="s">
        <v>707</v>
      </c>
      <c r="F373" s="52">
        <v>11</v>
      </c>
    </row>
    <row r="374" spans="1:6" ht="14.25" customHeight="1">
      <c r="A374" s="61" t="s">
        <v>20</v>
      </c>
      <c r="B374" s="62" t="s">
        <v>226</v>
      </c>
      <c r="C374" s="61" t="s">
        <v>227</v>
      </c>
      <c r="D374" s="61" t="s">
        <v>118</v>
      </c>
      <c r="E374" s="62" t="s">
        <v>714</v>
      </c>
      <c r="F374" s="61">
        <v>1</v>
      </c>
    </row>
    <row r="375" spans="1:6" ht="14.25" customHeight="1">
      <c r="A375" s="52" t="s">
        <v>20</v>
      </c>
      <c r="B375" s="60" t="s">
        <v>226</v>
      </c>
      <c r="C375" s="52" t="s">
        <v>228</v>
      </c>
      <c r="D375" s="52" t="s">
        <v>84</v>
      </c>
      <c r="E375" s="60" t="s">
        <v>713</v>
      </c>
      <c r="F375" s="52">
        <v>1</v>
      </c>
    </row>
    <row r="376" spans="1:6" ht="14.25" customHeight="1">
      <c r="A376" s="61" t="s">
        <v>20</v>
      </c>
      <c r="B376" s="62" t="s">
        <v>226</v>
      </c>
      <c r="C376" s="62" t="s">
        <v>229</v>
      </c>
      <c r="D376" s="61" t="s">
        <v>79</v>
      </c>
      <c r="E376" s="62" t="s">
        <v>706</v>
      </c>
      <c r="F376" s="61">
        <v>1</v>
      </c>
    </row>
    <row r="377" spans="1:6" ht="14.25" customHeight="1">
      <c r="A377" s="52" t="s">
        <v>20</v>
      </c>
      <c r="B377" s="60" t="s">
        <v>226</v>
      </c>
      <c r="C377" s="60" t="s">
        <v>229</v>
      </c>
      <c r="D377" s="52" t="s">
        <v>84</v>
      </c>
      <c r="E377" s="60" t="s">
        <v>713</v>
      </c>
      <c r="F377" s="52">
        <v>1</v>
      </c>
    </row>
    <row r="378" spans="1:6" ht="14.25" customHeight="1">
      <c r="A378" s="61" t="s">
        <v>20</v>
      </c>
      <c r="B378" s="62" t="s">
        <v>226</v>
      </c>
      <c r="C378" s="62" t="s">
        <v>230</v>
      </c>
      <c r="D378" s="61" t="s">
        <v>79</v>
      </c>
      <c r="E378" s="62" t="s">
        <v>706</v>
      </c>
      <c r="F378" s="61">
        <v>1</v>
      </c>
    </row>
    <row r="379" spans="1:6" ht="14.25" customHeight="1">
      <c r="A379" s="52" t="s">
        <v>20</v>
      </c>
      <c r="B379" s="60" t="s">
        <v>226</v>
      </c>
      <c r="C379" s="60" t="s">
        <v>231</v>
      </c>
      <c r="D379" s="52" t="s">
        <v>79</v>
      </c>
      <c r="E379" s="60" t="s">
        <v>706</v>
      </c>
      <c r="F379" s="52">
        <v>1</v>
      </c>
    </row>
    <row r="380" spans="1:6" ht="14.25" customHeight="1">
      <c r="A380" s="61" t="s">
        <v>20</v>
      </c>
      <c r="B380" s="62" t="s">
        <v>226</v>
      </c>
      <c r="C380" s="62" t="s">
        <v>231</v>
      </c>
      <c r="D380" s="61" t="s">
        <v>84</v>
      </c>
      <c r="E380" s="62" t="s">
        <v>713</v>
      </c>
      <c r="F380" s="61">
        <v>1</v>
      </c>
    </row>
    <row r="381" spans="1:6" ht="14.25" customHeight="1">
      <c r="A381" s="52" t="s">
        <v>20</v>
      </c>
      <c r="B381" s="60" t="s">
        <v>72</v>
      </c>
      <c r="C381" s="52" t="s">
        <v>73</v>
      </c>
      <c r="D381" s="52" t="s">
        <v>74</v>
      </c>
      <c r="E381" s="60" t="s">
        <v>707</v>
      </c>
      <c r="F381" s="52">
        <v>219</v>
      </c>
    </row>
    <row r="382" spans="1:6" ht="14.25" customHeight="1">
      <c r="A382" s="61" t="s">
        <v>20</v>
      </c>
      <c r="B382" s="62" t="s">
        <v>72</v>
      </c>
      <c r="C382" s="61" t="s">
        <v>75</v>
      </c>
      <c r="D382" s="61" t="s">
        <v>76</v>
      </c>
      <c r="E382" s="62" t="s">
        <v>710</v>
      </c>
      <c r="F382" s="61">
        <v>4</v>
      </c>
    </row>
    <row r="383" spans="1:6" ht="14.25" customHeight="1">
      <c r="A383" s="52" t="s">
        <v>20</v>
      </c>
      <c r="B383" s="60" t="s">
        <v>72</v>
      </c>
      <c r="C383" s="52" t="s">
        <v>78</v>
      </c>
      <c r="D383" s="52" t="s">
        <v>79</v>
      </c>
      <c r="E383" s="60" t="s">
        <v>706</v>
      </c>
      <c r="F383" s="52">
        <v>2</v>
      </c>
    </row>
    <row r="384" spans="1:6" ht="14.25" customHeight="1">
      <c r="A384" s="61" t="s">
        <v>20</v>
      </c>
      <c r="B384" s="62" t="s">
        <v>72</v>
      </c>
      <c r="C384" s="61" t="s">
        <v>80</v>
      </c>
      <c r="D384" s="61" t="s">
        <v>81</v>
      </c>
      <c r="E384" s="62" t="s">
        <v>724</v>
      </c>
      <c r="F384" s="61">
        <v>2</v>
      </c>
    </row>
    <row r="385" spans="1:6" ht="14.25" customHeight="1">
      <c r="A385" s="52" t="s">
        <v>20</v>
      </c>
      <c r="B385" s="60" t="s">
        <v>72</v>
      </c>
      <c r="C385" s="52" t="s">
        <v>82</v>
      </c>
      <c r="D385" s="52" t="s">
        <v>83</v>
      </c>
      <c r="E385" s="60" t="s">
        <v>712</v>
      </c>
      <c r="F385" s="52">
        <v>5</v>
      </c>
    </row>
    <row r="386" spans="1:6" ht="14.25" customHeight="1">
      <c r="A386" s="61" t="s">
        <v>20</v>
      </c>
      <c r="B386" s="62" t="s">
        <v>72</v>
      </c>
      <c r="C386" s="61" t="s">
        <v>82</v>
      </c>
      <c r="D386" s="61" t="s">
        <v>84</v>
      </c>
      <c r="E386" s="62" t="s">
        <v>713</v>
      </c>
      <c r="F386" s="61">
        <v>1</v>
      </c>
    </row>
    <row r="387" spans="1:6" ht="14.25" customHeight="1">
      <c r="A387" s="52" t="s">
        <v>20</v>
      </c>
      <c r="B387" s="60" t="s">
        <v>72</v>
      </c>
      <c r="C387" s="52" t="s">
        <v>85</v>
      </c>
      <c r="D387" s="52" t="s">
        <v>76</v>
      </c>
      <c r="E387" s="60" t="s">
        <v>710</v>
      </c>
      <c r="F387" s="52">
        <v>4</v>
      </c>
    </row>
    <row r="388" spans="1:6" ht="14.25" customHeight="1">
      <c r="A388" s="61" t="s">
        <v>20</v>
      </c>
      <c r="B388" s="62" t="s">
        <v>72</v>
      </c>
      <c r="C388" s="61" t="s">
        <v>86</v>
      </c>
      <c r="D388" s="61" t="s">
        <v>83</v>
      </c>
      <c r="E388" s="62" t="s">
        <v>712</v>
      </c>
      <c r="F388" s="61">
        <v>3</v>
      </c>
    </row>
    <row r="389" spans="1:6" ht="14.25" customHeight="1">
      <c r="A389" s="52" t="s">
        <v>20</v>
      </c>
      <c r="B389" s="60" t="s">
        <v>72</v>
      </c>
      <c r="C389" s="52" t="s">
        <v>86</v>
      </c>
      <c r="D389" s="52" t="s">
        <v>84</v>
      </c>
      <c r="E389" s="60" t="s">
        <v>713</v>
      </c>
      <c r="F389" s="52">
        <v>7</v>
      </c>
    </row>
    <row r="390" spans="1:6" ht="14.25" customHeight="1">
      <c r="A390" s="61" t="s">
        <v>20</v>
      </c>
      <c r="B390" s="62" t="s">
        <v>72</v>
      </c>
      <c r="C390" s="61" t="s">
        <v>87</v>
      </c>
      <c r="D390" s="61" t="s">
        <v>83</v>
      </c>
      <c r="E390" s="62" t="s">
        <v>712</v>
      </c>
      <c r="F390" s="61">
        <v>5</v>
      </c>
    </row>
    <row r="391" spans="1:6" ht="14.25" customHeight="1">
      <c r="A391" s="52" t="s">
        <v>20</v>
      </c>
      <c r="B391" s="60" t="s">
        <v>72</v>
      </c>
      <c r="C391" s="52" t="s">
        <v>87</v>
      </c>
      <c r="D391" s="52" t="s">
        <v>79</v>
      </c>
      <c r="E391" s="60" t="s">
        <v>706</v>
      </c>
      <c r="F391" s="52">
        <v>2</v>
      </c>
    </row>
    <row r="392" spans="1:6" ht="14.25" customHeight="1">
      <c r="A392" s="61" t="s">
        <v>20</v>
      </c>
      <c r="B392" s="62" t="s">
        <v>72</v>
      </c>
      <c r="C392" s="61" t="s">
        <v>87</v>
      </c>
      <c r="D392" s="61" t="s">
        <v>84</v>
      </c>
      <c r="E392" s="62" t="s">
        <v>713</v>
      </c>
      <c r="F392" s="61">
        <v>1</v>
      </c>
    </row>
    <row r="393" spans="1:6" ht="14.25" customHeight="1">
      <c r="A393" s="52" t="s">
        <v>20</v>
      </c>
      <c r="B393" s="60" t="s">
        <v>72</v>
      </c>
      <c r="C393" s="52" t="s">
        <v>89</v>
      </c>
      <c r="D393" s="52" t="s">
        <v>76</v>
      </c>
      <c r="E393" s="60" t="s">
        <v>710</v>
      </c>
      <c r="F393" s="52">
        <v>4</v>
      </c>
    </row>
    <row r="394" spans="1:6" ht="14.25" customHeight="1">
      <c r="A394" s="61" t="s">
        <v>20</v>
      </c>
      <c r="B394" s="62" t="s">
        <v>72</v>
      </c>
      <c r="C394" s="61" t="s">
        <v>90</v>
      </c>
      <c r="D394" s="61" t="s">
        <v>83</v>
      </c>
      <c r="E394" s="62" t="s">
        <v>712</v>
      </c>
      <c r="F394" s="61">
        <v>1</v>
      </c>
    </row>
    <row r="395" spans="1:6" ht="14.25" customHeight="1">
      <c r="A395" s="52" t="s">
        <v>20</v>
      </c>
      <c r="B395" s="60" t="s">
        <v>72</v>
      </c>
      <c r="C395" s="52" t="s">
        <v>90</v>
      </c>
      <c r="D395" s="52" t="s">
        <v>84</v>
      </c>
      <c r="E395" s="60" t="s">
        <v>713</v>
      </c>
      <c r="F395" s="52">
        <v>2</v>
      </c>
    </row>
    <row r="396" spans="1:6" ht="14.25" customHeight="1">
      <c r="A396" s="61" t="s">
        <v>20</v>
      </c>
      <c r="B396" s="62" t="s">
        <v>72</v>
      </c>
      <c r="C396" s="61" t="s">
        <v>91</v>
      </c>
      <c r="D396" s="61" t="s">
        <v>83</v>
      </c>
      <c r="E396" s="62" t="s">
        <v>712</v>
      </c>
      <c r="F396" s="61">
        <v>4</v>
      </c>
    </row>
    <row r="397" spans="1:6" ht="14.25" customHeight="1">
      <c r="A397" s="52" t="s">
        <v>20</v>
      </c>
      <c r="B397" s="60" t="s">
        <v>72</v>
      </c>
      <c r="C397" s="52" t="s">
        <v>91</v>
      </c>
      <c r="D397" s="52" t="s">
        <v>84</v>
      </c>
      <c r="E397" s="60" t="s">
        <v>713</v>
      </c>
      <c r="F397" s="52">
        <v>1</v>
      </c>
    </row>
    <row r="398" spans="1:6" ht="14.25" customHeight="1">
      <c r="A398" s="61" t="s">
        <v>20</v>
      </c>
      <c r="B398" s="62" t="s">
        <v>72</v>
      </c>
      <c r="C398" s="61" t="s">
        <v>92</v>
      </c>
      <c r="D398" s="61" t="s">
        <v>76</v>
      </c>
      <c r="E398" s="62" t="s">
        <v>710</v>
      </c>
      <c r="F398" s="61">
        <v>2</v>
      </c>
    </row>
    <row r="399" spans="1:6" ht="14.25" customHeight="1">
      <c r="A399" s="52" t="s">
        <v>20</v>
      </c>
      <c r="B399" s="60" t="s">
        <v>72</v>
      </c>
      <c r="C399" s="52" t="s">
        <v>93</v>
      </c>
      <c r="D399" s="52" t="s">
        <v>83</v>
      </c>
      <c r="E399" s="60" t="s">
        <v>712</v>
      </c>
      <c r="F399" s="52">
        <v>2</v>
      </c>
    </row>
    <row r="400" spans="1:6" ht="14.25" customHeight="1">
      <c r="A400" s="61" t="s">
        <v>20</v>
      </c>
      <c r="B400" s="62" t="s">
        <v>72</v>
      </c>
      <c r="C400" s="61" t="s">
        <v>93</v>
      </c>
      <c r="D400" s="61" t="s">
        <v>84</v>
      </c>
      <c r="E400" s="62" t="s">
        <v>713</v>
      </c>
      <c r="F400" s="61">
        <v>4</v>
      </c>
    </row>
    <row r="401" spans="1:6" ht="14.25" customHeight="1">
      <c r="A401" s="52" t="s">
        <v>20</v>
      </c>
      <c r="B401" s="60" t="s">
        <v>72</v>
      </c>
      <c r="C401" s="52" t="s">
        <v>94</v>
      </c>
      <c r="D401" s="52" t="s">
        <v>83</v>
      </c>
      <c r="E401" s="60" t="s">
        <v>712</v>
      </c>
      <c r="F401" s="52">
        <v>2</v>
      </c>
    </row>
    <row r="402" spans="1:6" ht="14.25" customHeight="1">
      <c r="A402" s="61" t="s">
        <v>20</v>
      </c>
      <c r="B402" s="62" t="s">
        <v>72</v>
      </c>
      <c r="C402" s="61" t="s">
        <v>94</v>
      </c>
      <c r="D402" s="61" t="s">
        <v>84</v>
      </c>
      <c r="E402" s="62" t="s">
        <v>713</v>
      </c>
      <c r="F402" s="61">
        <v>1</v>
      </c>
    </row>
    <row r="403" spans="1:6" ht="14.25" customHeight="1">
      <c r="A403" s="52" t="s">
        <v>20</v>
      </c>
      <c r="B403" s="60" t="s">
        <v>72</v>
      </c>
      <c r="C403" s="52" t="s">
        <v>95</v>
      </c>
      <c r="D403" s="52" t="s">
        <v>83</v>
      </c>
      <c r="E403" s="60" t="s">
        <v>712</v>
      </c>
      <c r="F403" s="52">
        <v>4</v>
      </c>
    </row>
    <row r="404" spans="1:6" ht="14.25" customHeight="1">
      <c r="A404" s="61" t="s">
        <v>20</v>
      </c>
      <c r="B404" s="62" t="s">
        <v>72</v>
      </c>
      <c r="C404" s="61" t="s">
        <v>95</v>
      </c>
      <c r="D404" s="61" t="s">
        <v>84</v>
      </c>
      <c r="E404" s="62" t="s">
        <v>713</v>
      </c>
      <c r="F404" s="61">
        <v>3</v>
      </c>
    </row>
    <row r="405" spans="1:6" ht="14.25" customHeight="1">
      <c r="A405" s="52" t="s">
        <v>20</v>
      </c>
      <c r="B405" s="60" t="s">
        <v>72</v>
      </c>
      <c r="C405" s="52" t="s">
        <v>96</v>
      </c>
      <c r="D405" s="52" t="s">
        <v>76</v>
      </c>
      <c r="E405" s="60" t="s">
        <v>710</v>
      </c>
      <c r="F405" s="52">
        <v>3</v>
      </c>
    </row>
    <row r="406" spans="1:6" ht="14.25" customHeight="1">
      <c r="A406" s="61" t="s">
        <v>20</v>
      </c>
      <c r="B406" s="62" t="s">
        <v>72</v>
      </c>
      <c r="C406" s="61" t="s">
        <v>97</v>
      </c>
      <c r="D406" s="61" t="s">
        <v>76</v>
      </c>
      <c r="E406" s="62" t="s">
        <v>710</v>
      </c>
      <c r="F406" s="61">
        <v>2</v>
      </c>
    </row>
    <row r="407" spans="1:6" ht="14.25" customHeight="1">
      <c r="A407" s="52" t="s">
        <v>20</v>
      </c>
      <c r="B407" s="60" t="s">
        <v>72</v>
      </c>
      <c r="C407" s="52" t="s">
        <v>98</v>
      </c>
      <c r="D407" s="52" t="s">
        <v>84</v>
      </c>
      <c r="E407" s="60" t="s">
        <v>713</v>
      </c>
      <c r="F407" s="52">
        <v>1</v>
      </c>
    </row>
    <row r="408" spans="1:6" ht="14.25" customHeight="1">
      <c r="A408" s="61" t="s">
        <v>20</v>
      </c>
      <c r="B408" s="62" t="s">
        <v>72</v>
      </c>
      <c r="C408" s="61" t="s">
        <v>99</v>
      </c>
      <c r="D408" s="61" t="s">
        <v>83</v>
      </c>
      <c r="E408" s="62" t="s">
        <v>712</v>
      </c>
      <c r="F408" s="61">
        <v>2</v>
      </c>
    </row>
    <row r="409" spans="1:6" ht="14.25" customHeight="1">
      <c r="A409" s="52" t="s">
        <v>20</v>
      </c>
      <c r="B409" s="60" t="s">
        <v>72</v>
      </c>
      <c r="C409" s="52" t="s">
        <v>99</v>
      </c>
      <c r="D409" s="52" t="s">
        <v>76</v>
      </c>
      <c r="E409" s="60" t="s">
        <v>710</v>
      </c>
      <c r="F409" s="52">
        <v>2</v>
      </c>
    </row>
    <row r="410" spans="1:6" ht="14.25" customHeight="1">
      <c r="A410" s="61" t="s">
        <v>20</v>
      </c>
      <c r="B410" s="62" t="s">
        <v>72</v>
      </c>
      <c r="C410" s="61" t="s">
        <v>100</v>
      </c>
      <c r="D410" s="61" t="s">
        <v>79</v>
      </c>
      <c r="E410" s="62" t="s">
        <v>706</v>
      </c>
      <c r="F410" s="61">
        <v>2</v>
      </c>
    </row>
    <row r="411" spans="1:6" ht="14.25" customHeight="1">
      <c r="A411" s="52" t="s">
        <v>20</v>
      </c>
      <c r="B411" s="60" t="s">
        <v>72</v>
      </c>
      <c r="C411" s="52" t="s">
        <v>100</v>
      </c>
      <c r="D411" s="52" t="s">
        <v>84</v>
      </c>
      <c r="E411" s="60" t="s">
        <v>713</v>
      </c>
      <c r="F411" s="52">
        <v>2</v>
      </c>
    </row>
    <row r="412" spans="1:6" ht="14.25" customHeight="1">
      <c r="A412" s="61" t="s">
        <v>20</v>
      </c>
      <c r="B412" s="62" t="s">
        <v>72</v>
      </c>
      <c r="C412" s="61" t="s">
        <v>101</v>
      </c>
      <c r="D412" s="61" t="s">
        <v>79</v>
      </c>
      <c r="E412" s="62" t="s">
        <v>706</v>
      </c>
      <c r="F412" s="61">
        <v>1</v>
      </c>
    </row>
    <row r="413" spans="1:6" ht="14.25" customHeight="1">
      <c r="A413" s="52" t="s">
        <v>20</v>
      </c>
      <c r="B413" s="60" t="s">
        <v>72</v>
      </c>
      <c r="C413" s="52" t="s">
        <v>237</v>
      </c>
      <c r="D413" s="52" t="s">
        <v>79</v>
      </c>
      <c r="E413" s="60" t="s">
        <v>706</v>
      </c>
      <c r="F413" s="52">
        <v>1</v>
      </c>
    </row>
    <row r="414" spans="1:6" ht="14.25" customHeight="1">
      <c r="A414" s="61" t="s">
        <v>20</v>
      </c>
      <c r="B414" s="62" t="s">
        <v>72</v>
      </c>
      <c r="C414" s="61" t="s">
        <v>237</v>
      </c>
      <c r="D414" s="61" t="s">
        <v>84</v>
      </c>
      <c r="E414" s="62" t="s">
        <v>713</v>
      </c>
      <c r="F414" s="61">
        <v>1</v>
      </c>
    </row>
    <row r="415" spans="1:6" ht="14.25" customHeight="1">
      <c r="A415" s="52" t="s">
        <v>20</v>
      </c>
      <c r="B415" s="60" t="s">
        <v>72</v>
      </c>
      <c r="C415" s="60" t="s">
        <v>106</v>
      </c>
      <c r="D415" s="52" t="s">
        <v>79</v>
      </c>
      <c r="E415" s="60" t="s">
        <v>706</v>
      </c>
      <c r="F415" s="52">
        <v>1</v>
      </c>
    </row>
    <row r="416" spans="1:6" ht="14.25" customHeight="1">
      <c r="A416" s="61" t="s">
        <v>20</v>
      </c>
      <c r="B416" s="62" t="s">
        <v>72</v>
      </c>
      <c r="C416" s="62" t="s">
        <v>106</v>
      </c>
      <c r="D416" s="61" t="s">
        <v>84</v>
      </c>
      <c r="E416" s="62" t="s">
        <v>713</v>
      </c>
      <c r="F416" s="61">
        <v>1</v>
      </c>
    </row>
    <row r="417" spans="1:6" ht="14.25" customHeight="1">
      <c r="A417" s="52" t="s">
        <v>20</v>
      </c>
      <c r="B417" s="60" t="s">
        <v>72</v>
      </c>
      <c r="C417" s="60" t="s">
        <v>108</v>
      </c>
      <c r="D417" s="52" t="s">
        <v>79</v>
      </c>
      <c r="E417" s="60" t="s">
        <v>706</v>
      </c>
      <c r="F417" s="52">
        <v>1</v>
      </c>
    </row>
    <row r="418" spans="1:6" ht="14.25" customHeight="1">
      <c r="A418" s="61" t="s">
        <v>20</v>
      </c>
      <c r="B418" s="62" t="s">
        <v>72</v>
      </c>
      <c r="C418" s="62" t="s">
        <v>108</v>
      </c>
      <c r="D418" s="61" t="s">
        <v>84</v>
      </c>
      <c r="E418" s="62" t="s">
        <v>713</v>
      </c>
      <c r="F418" s="61">
        <v>1</v>
      </c>
    </row>
    <row r="419" spans="1:6" ht="14.25" customHeight="1">
      <c r="A419" s="52" t="s">
        <v>20</v>
      </c>
      <c r="B419" s="60" t="s">
        <v>72</v>
      </c>
      <c r="C419" s="60" t="s">
        <v>110</v>
      </c>
      <c r="D419" s="52" t="s">
        <v>79</v>
      </c>
      <c r="E419" s="60" t="s">
        <v>706</v>
      </c>
      <c r="F419" s="52">
        <v>1</v>
      </c>
    </row>
    <row r="420" spans="1:6" ht="14.25" customHeight="1">
      <c r="A420" s="61" t="s">
        <v>20</v>
      </c>
      <c r="B420" s="62" t="s">
        <v>72</v>
      </c>
      <c r="C420" s="62" t="s">
        <v>110</v>
      </c>
      <c r="D420" s="61" t="s">
        <v>84</v>
      </c>
      <c r="E420" s="62" t="s">
        <v>713</v>
      </c>
      <c r="F420" s="61">
        <v>1</v>
      </c>
    </row>
    <row r="421" spans="1:6" ht="14.25" customHeight="1">
      <c r="A421" s="52" t="s">
        <v>20</v>
      </c>
      <c r="B421" s="60" t="s">
        <v>72</v>
      </c>
      <c r="C421" s="60" t="s">
        <v>113</v>
      </c>
      <c r="D421" s="52" t="s">
        <v>79</v>
      </c>
      <c r="E421" s="60" t="s">
        <v>706</v>
      </c>
      <c r="F421" s="52">
        <v>2</v>
      </c>
    </row>
    <row r="422" spans="1:6" ht="14.25" customHeight="1">
      <c r="A422" s="61" t="s">
        <v>20</v>
      </c>
      <c r="B422" s="62" t="s">
        <v>72</v>
      </c>
      <c r="C422" s="62" t="s">
        <v>113</v>
      </c>
      <c r="D422" s="61" t="s">
        <v>84</v>
      </c>
      <c r="E422" s="62" t="s">
        <v>713</v>
      </c>
      <c r="F422" s="61">
        <v>1</v>
      </c>
    </row>
    <row r="423" spans="1:6" ht="14.25" customHeight="1">
      <c r="A423" s="52" t="s">
        <v>20</v>
      </c>
      <c r="B423" s="60" t="s">
        <v>72</v>
      </c>
      <c r="C423" s="60" t="s">
        <v>115</v>
      </c>
      <c r="D423" s="52" t="s">
        <v>79</v>
      </c>
      <c r="E423" s="60" t="s">
        <v>706</v>
      </c>
      <c r="F423" s="52">
        <v>5</v>
      </c>
    </row>
    <row r="424" spans="1:6" ht="14.25" customHeight="1">
      <c r="A424" s="61" t="s">
        <v>20</v>
      </c>
      <c r="B424" s="62" t="s">
        <v>72</v>
      </c>
      <c r="C424" s="62" t="s">
        <v>115</v>
      </c>
      <c r="D424" s="61" t="s">
        <v>76</v>
      </c>
      <c r="E424" s="62" t="s">
        <v>710</v>
      </c>
      <c r="F424" s="61">
        <v>1</v>
      </c>
    </row>
    <row r="425" spans="1:6" ht="14.25" customHeight="1">
      <c r="A425" s="52" t="s">
        <v>20</v>
      </c>
      <c r="B425" s="60" t="s">
        <v>72</v>
      </c>
      <c r="C425" s="60" t="s">
        <v>115</v>
      </c>
      <c r="D425" s="52" t="s">
        <v>84</v>
      </c>
      <c r="E425" s="60" t="s">
        <v>713</v>
      </c>
      <c r="F425" s="52">
        <v>1</v>
      </c>
    </row>
    <row r="426" spans="1:6" ht="14.25" customHeight="1">
      <c r="A426" s="61" t="s">
        <v>20</v>
      </c>
      <c r="B426" s="62" t="s">
        <v>249</v>
      </c>
      <c r="C426" s="61" t="s">
        <v>237</v>
      </c>
      <c r="D426" s="61" t="s">
        <v>79</v>
      </c>
      <c r="E426" s="62" t="s">
        <v>706</v>
      </c>
      <c r="F426" s="61">
        <v>1</v>
      </c>
    </row>
    <row r="427" spans="1:6" ht="14.25" customHeight="1">
      <c r="A427" s="52" t="s">
        <v>23</v>
      </c>
      <c r="B427" s="52" t="s">
        <v>474</v>
      </c>
      <c r="C427" s="60" t="s">
        <v>475</v>
      </c>
      <c r="D427" s="52" t="s">
        <v>79</v>
      </c>
      <c r="E427" s="60" t="s">
        <v>706</v>
      </c>
      <c r="F427" s="52">
        <v>1</v>
      </c>
    </row>
    <row r="428" spans="1:6" ht="14.25" customHeight="1">
      <c r="A428" s="61" t="s">
        <v>23</v>
      </c>
      <c r="B428" s="61" t="s">
        <v>442</v>
      </c>
      <c r="C428" s="61" t="s">
        <v>443</v>
      </c>
      <c r="D428" s="61" t="s">
        <v>79</v>
      </c>
      <c r="E428" s="62" t="s">
        <v>706</v>
      </c>
      <c r="F428" s="61">
        <v>2</v>
      </c>
    </row>
    <row r="429" spans="1:6" ht="14.25" customHeight="1">
      <c r="A429" s="52" t="s">
        <v>23</v>
      </c>
      <c r="B429" s="52" t="s">
        <v>442</v>
      </c>
      <c r="C429" s="52" t="s">
        <v>443</v>
      </c>
      <c r="D429" s="52" t="s">
        <v>84</v>
      </c>
      <c r="E429" s="60" t="s">
        <v>713</v>
      </c>
      <c r="F429" s="52">
        <v>1</v>
      </c>
    </row>
    <row r="430" spans="1:6" ht="14.25" customHeight="1">
      <c r="A430" s="61" t="s">
        <v>23</v>
      </c>
      <c r="B430" s="61" t="s">
        <v>442</v>
      </c>
      <c r="C430" s="61" t="s">
        <v>443</v>
      </c>
      <c r="D430" s="61" t="s">
        <v>120</v>
      </c>
      <c r="E430" s="62" t="s">
        <v>711</v>
      </c>
      <c r="F430" s="61">
        <v>1</v>
      </c>
    </row>
    <row r="431" spans="1:6" ht="14.25" customHeight="1">
      <c r="A431" s="52" t="s">
        <v>23</v>
      </c>
      <c r="B431" s="52" t="s">
        <v>442</v>
      </c>
      <c r="C431" s="52" t="s">
        <v>444</v>
      </c>
      <c r="D431" s="52" t="s">
        <v>79</v>
      </c>
      <c r="E431" s="60" t="s">
        <v>706</v>
      </c>
      <c r="F431" s="52">
        <v>1</v>
      </c>
    </row>
    <row r="432" spans="1:6" ht="14.25" customHeight="1">
      <c r="A432" s="61" t="s">
        <v>23</v>
      </c>
      <c r="B432" s="61" t="s">
        <v>442</v>
      </c>
      <c r="C432" s="61" t="s">
        <v>444</v>
      </c>
      <c r="D432" s="61" t="s">
        <v>84</v>
      </c>
      <c r="E432" s="62" t="s">
        <v>713</v>
      </c>
      <c r="F432" s="61">
        <v>1</v>
      </c>
    </row>
    <row r="433" spans="1:6" ht="14.25" customHeight="1">
      <c r="A433" s="52" t="s">
        <v>23</v>
      </c>
      <c r="B433" s="52" t="s">
        <v>442</v>
      </c>
      <c r="C433" s="52" t="s">
        <v>444</v>
      </c>
      <c r="D433" s="52" t="s">
        <v>118</v>
      </c>
      <c r="E433" s="60" t="s">
        <v>714</v>
      </c>
      <c r="F433" s="52">
        <v>1</v>
      </c>
    </row>
    <row r="434" spans="1:6" ht="14.25" customHeight="1">
      <c r="A434" s="61" t="s">
        <v>23</v>
      </c>
      <c r="B434" s="61" t="s">
        <v>442</v>
      </c>
      <c r="C434" s="61" t="s">
        <v>445</v>
      </c>
      <c r="D434" s="61" t="s">
        <v>79</v>
      </c>
      <c r="E434" s="62" t="s">
        <v>706</v>
      </c>
      <c r="F434" s="61">
        <v>1</v>
      </c>
    </row>
    <row r="435" spans="1:6" ht="14.25" customHeight="1">
      <c r="A435" s="52" t="s">
        <v>23</v>
      </c>
      <c r="B435" s="52" t="s">
        <v>442</v>
      </c>
      <c r="C435" s="52" t="s">
        <v>445</v>
      </c>
      <c r="D435" s="52" t="s">
        <v>84</v>
      </c>
      <c r="E435" s="60" t="s">
        <v>713</v>
      </c>
      <c r="F435" s="52">
        <v>1</v>
      </c>
    </row>
    <row r="436" spans="1:6" ht="14.25" customHeight="1">
      <c r="A436" s="61" t="s">
        <v>23</v>
      </c>
      <c r="B436" s="61" t="s">
        <v>442</v>
      </c>
      <c r="C436" s="61" t="s">
        <v>445</v>
      </c>
      <c r="D436" s="61" t="s">
        <v>118</v>
      </c>
      <c r="E436" s="62" t="s">
        <v>714</v>
      </c>
      <c r="F436" s="61">
        <v>1</v>
      </c>
    </row>
    <row r="437" spans="1:6" ht="14.25" customHeight="1">
      <c r="A437" s="52" t="s">
        <v>23</v>
      </c>
      <c r="B437" s="52" t="s">
        <v>442</v>
      </c>
      <c r="C437" s="52" t="s">
        <v>446</v>
      </c>
      <c r="D437" s="52" t="s">
        <v>79</v>
      </c>
      <c r="E437" s="60" t="s">
        <v>706</v>
      </c>
      <c r="F437" s="52">
        <v>1</v>
      </c>
    </row>
    <row r="438" spans="1:6" ht="14.25" customHeight="1">
      <c r="A438" s="61" t="s">
        <v>23</v>
      </c>
      <c r="B438" s="61" t="s">
        <v>442</v>
      </c>
      <c r="C438" s="61" t="s">
        <v>446</v>
      </c>
      <c r="D438" s="61" t="s">
        <v>84</v>
      </c>
      <c r="E438" s="62" t="s">
        <v>713</v>
      </c>
      <c r="F438" s="61">
        <v>1</v>
      </c>
    </row>
    <row r="439" spans="1:6" ht="14.25" customHeight="1">
      <c r="A439" s="52" t="s">
        <v>23</v>
      </c>
      <c r="B439" s="52" t="s">
        <v>442</v>
      </c>
      <c r="C439" s="52" t="s">
        <v>446</v>
      </c>
      <c r="D439" s="52" t="s">
        <v>118</v>
      </c>
      <c r="E439" s="60" t="s">
        <v>714</v>
      </c>
      <c r="F439" s="52">
        <v>1</v>
      </c>
    </row>
    <row r="440" spans="1:6" ht="14.25" customHeight="1">
      <c r="A440" s="61" t="s">
        <v>23</v>
      </c>
      <c r="B440" s="61" t="s">
        <v>442</v>
      </c>
      <c r="C440" s="61" t="s">
        <v>447</v>
      </c>
      <c r="D440" s="61" t="s">
        <v>79</v>
      </c>
      <c r="E440" s="62" t="s">
        <v>706</v>
      </c>
      <c r="F440" s="61">
        <v>1</v>
      </c>
    </row>
    <row r="441" spans="1:6" ht="14.25" customHeight="1">
      <c r="A441" s="52" t="s">
        <v>23</v>
      </c>
      <c r="B441" s="52" t="s">
        <v>442</v>
      </c>
      <c r="C441" s="52" t="s">
        <v>447</v>
      </c>
      <c r="D441" s="52" t="s">
        <v>84</v>
      </c>
      <c r="E441" s="60" t="s">
        <v>713</v>
      </c>
      <c r="F441" s="52">
        <v>2</v>
      </c>
    </row>
    <row r="442" spans="1:6" ht="14.25" customHeight="1">
      <c r="A442" s="61" t="s">
        <v>23</v>
      </c>
      <c r="B442" s="61" t="s">
        <v>442</v>
      </c>
      <c r="C442" s="61" t="s">
        <v>447</v>
      </c>
      <c r="D442" s="61" t="s">
        <v>118</v>
      </c>
      <c r="E442" s="62" t="s">
        <v>714</v>
      </c>
      <c r="F442" s="61">
        <v>1</v>
      </c>
    </row>
    <row r="443" spans="1:6" ht="14.25" customHeight="1">
      <c r="A443" s="52" t="s">
        <v>23</v>
      </c>
      <c r="B443" s="52" t="s">
        <v>442</v>
      </c>
      <c r="C443" s="52" t="s">
        <v>448</v>
      </c>
      <c r="D443" s="52" t="s">
        <v>79</v>
      </c>
      <c r="E443" s="60" t="s">
        <v>706</v>
      </c>
      <c r="F443" s="52">
        <v>1</v>
      </c>
    </row>
    <row r="444" spans="1:6" ht="14.25" customHeight="1">
      <c r="A444" s="61" t="s">
        <v>23</v>
      </c>
      <c r="B444" s="61" t="s">
        <v>442</v>
      </c>
      <c r="C444" s="61" t="s">
        <v>448</v>
      </c>
      <c r="D444" s="61" t="s">
        <v>84</v>
      </c>
      <c r="E444" s="62" t="s">
        <v>713</v>
      </c>
      <c r="F444" s="61">
        <v>1</v>
      </c>
    </row>
    <row r="445" spans="1:6" ht="14.25" customHeight="1">
      <c r="A445" s="52" t="s">
        <v>23</v>
      </c>
      <c r="B445" s="52" t="s">
        <v>442</v>
      </c>
      <c r="C445" s="52" t="s">
        <v>449</v>
      </c>
      <c r="D445" s="52" t="s">
        <v>79</v>
      </c>
      <c r="E445" s="60" t="s">
        <v>706</v>
      </c>
      <c r="F445" s="52">
        <v>1</v>
      </c>
    </row>
    <row r="446" spans="1:6" ht="14.25" customHeight="1">
      <c r="A446" s="61" t="s">
        <v>23</v>
      </c>
      <c r="B446" s="61" t="s">
        <v>442</v>
      </c>
      <c r="C446" s="61" t="s">
        <v>449</v>
      </c>
      <c r="D446" s="61" t="s">
        <v>84</v>
      </c>
      <c r="E446" s="62" t="s">
        <v>713</v>
      </c>
      <c r="F446" s="61">
        <v>1</v>
      </c>
    </row>
    <row r="447" spans="1:6" ht="14.25" customHeight="1">
      <c r="A447" s="52" t="s">
        <v>23</v>
      </c>
      <c r="B447" s="52" t="s">
        <v>442</v>
      </c>
      <c r="C447" s="52" t="s">
        <v>450</v>
      </c>
      <c r="D447" s="52" t="s">
        <v>79</v>
      </c>
      <c r="E447" s="60" t="s">
        <v>706</v>
      </c>
      <c r="F447" s="52">
        <v>1</v>
      </c>
    </row>
    <row r="448" spans="1:6" ht="14.25" customHeight="1">
      <c r="A448" s="61" t="s">
        <v>23</v>
      </c>
      <c r="B448" s="61" t="s">
        <v>442</v>
      </c>
      <c r="C448" s="61" t="s">
        <v>450</v>
      </c>
      <c r="D448" s="61" t="s">
        <v>84</v>
      </c>
      <c r="E448" s="62" t="s">
        <v>713</v>
      </c>
      <c r="F448" s="61">
        <v>1</v>
      </c>
    </row>
    <row r="449" spans="1:6" ht="14.25" customHeight="1">
      <c r="A449" s="52" t="s">
        <v>23</v>
      </c>
      <c r="B449" s="52" t="s">
        <v>442</v>
      </c>
      <c r="C449" s="52" t="s">
        <v>451</v>
      </c>
      <c r="D449" s="52" t="s">
        <v>79</v>
      </c>
      <c r="E449" s="60" t="s">
        <v>706</v>
      </c>
      <c r="F449" s="52">
        <v>1</v>
      </c>
    </row>
    <row r="450" spans="1:6" ht="14.25" customHeight="1">
      <c r="A450" s="61" t="s">
        <v>23</v>
      </c>
      <c r="B450" s="61" t="s">
        <v>442</v>
      </c>
      <c r="C450" s="61" t="s">
        <v>451</v>
      </c>
      <c r="D450" s="61" t="s">
        <v>84</v>
      </c>
      <c r="E450" s="62" t="s">
        <v>713</v>
      </c>
      <c r="F450" s="61">
        <v>1</v>
      </c>
    </row>
    <row r="451" spans="1:6" ht="14.25" customHeight="1">
      <c r="A451" s="52" t="s">
        <v>23</v>
      </c>
      <c r="B451" s="52" t="s">
        <v>442</v>
      </c>
      <c r="C451" s="52" t="s">
        <v>452</v>
      </c>
      <c r="D451" s="52" t="s">
        <v>79</v>
      </c>
      <c r="E451" s="60" t="s">
        <v>706</v>
      </c>
      <c r="F451" s="52">
        <v>1</v>
      </c>
    </row>
    <row r="452" spans="1:6" ht="14.25" customHeight="1">
      <c r="A452" s="61" t="s">
        <v>23</v>
      </c>
      <c r="B452" s="61" t="s">
        <v>442</v>
      </c>
      <c r="C452" s="61" t="s">
        <v>452</v>
      </c>
      <c r="D452" s="61" t="s">
        <v>84</v>
      </c>
      <c r="E452" s="62" t="s">
        <v>713</v>
      </c>
      <c r="F452" s="61">
        <v>1</v>
      </c>
    </row>
    <row r="453" spans="1:6" ht="14.25" customHeight="1">
      <c r="A453" s="52" t="s">
        <v>23</v>
      </c>
      <c r="B453" s="52" t="s">
        <v>442</v>
      </c>
      <c r="C453" s="52" t="s">
        <v>453</v>
      </c>
      <c r="D453" s="52" t="s">
        <v>79</v>
      </c>
      <c r="E453" s="60" t="s">
        <v>706</v>
      </c>
      <c r="F453" s="52">
        <v>1</v>
      </c>
    </row>
    <row r="454" spans="1:6" ht="14.25" customHeight="1">
      <c r="A454" s="61" t="s">
        <v>23</v>
      </c>
      <c r="B454" s="61" t="s">
        <v>442</v>
      </c>
      <c r="C454" s="61" t="s">
        <v>453</v>
      </c>
      <c r="D454" s="61" t="s">
        <v>84</v>
      </c>
      <c r="E454" s="62" t="s">
        <v>713</v>
      </c>
      <c r="F454" s="61">
        <v>1</v>
      </c>
    </row>
    <row r="455" spans="1:6" ht="14.25" customHeight="1">
      <c r="A455" s="52" t="s">
        <v>23</v>
      </c>
      <c r="B455" s="52" t="s">
        <v>442</v>
      </c>
      <c r="C455" s="52" t="s">
        <v>454</v>
      </c>
      <c r="D455" s="52" t="s">
        <v>79</v>
      </c>
      <c r="E455" s="60" t="s">
        <v>706</v>
      </c>
      <c r="F455" s="52">
        <v>2</v>
      </c>
    </row>
    <row r="456" spans="1:6" ht="14.25" customHeight="1">
      <c r="A456" s="61" t="s">
        <v>23</v>
      </c>
      <c r="B456" s="61" t="s">
        <v>442</v>
      </c>
      <c r="C456" s="61" t="s">
        <v>454</v>
      </c>
      <c r="D456" s="61" t="s">
        <v>84</v>
      </c>
      <c r="E456" s="62" t="s">
        <v>713</v>
      </c>
      <c r="F456" s="61">
        <v>1</v>
      </c>
    </row>
    <row r="457" spans="1:6" ht="14.25" customHeight="1">
      <c r="A457" s="52" t="s">
        <v>23</v>
      </c>
      <c r="B457" s="52" t="s">
        <v>442</v>
      </c>
      <c r="C457" s="52" t="s">
        <v>454</v>
      </c>
      <c r="D457" s="52" t="s">
        <v>84</v>
      </c>
      <c r="E457" s="60" t="s">
        <v>713</v>
      </c>
      <c r="F457" s="52">
        <v>1</v>
      </c>
    </row>
    <row r="458" spans="1:6" ht="14.25" customHeight="1">
      <c r="A458" s="61" t="s">
        <v>23</v>
      </c>
      <c r="B458" s="61" t="s">
        <v>442</v>
      </c>
      <c r="C458" s="61" t="s">
        <v>454</v>
      </c>
      <c r="D458" s="61" t="s">
        <v>118</v>
      </c>
      <c r="E458" s="62" t="s">
        <v>714</v>
      </c>
      <c r="F458" s="61">
        <v>1</v>
      </c>
    </row>
    <row r="459" spans="1:6" ht="14.25" customHeight="1">
      <c r="A459" s="52" t="s">
        <v>23</v>
      </c>
      <c r="B459" s="52" t="s">
        <v>442</v>
      </c>
      <c r="C459" s="52" t="s">
        <v>455</v>
      </c>
      <c r="D459" s="52" t="s">
        <v>79</v>
      </c>
      <c r="E459" s="60" t="s">
        <v>706</v>
      </c>
      <c r="F459" s="52">
        <v>1</v>
      </c>
    </row>
    <row r="460" spans="1:6" ht="14.25" customHeight="1">
      <c r="A460" s="61" t="s">
        <v>23</v>
      </c>
      <c r="B460" s="61" t="s">
        <v>442</v>
      </c>
      <c r="C460" s="61" t="s">
        <v>455</v>
      </c>
      <c r="D460" s="61" t="s">
        <v>84</v>
      </c>
      <c r="E460" s="62" t="s">
        <v>713</v>
      </c>
      <c r="F460" s="61">
        <v>1</v>
      </c>
    </row>
    <row r="461" spans="1:6" ht="14.25" customHeight="1">
      <c r="A461" s="52" t="s">
        <v>23</v>
      </c>
      <c r="B461" s="52" t="s">
        <v>456</v>
      </c>
      <c r="C461" s="52" t="s">
        <v>457</v>
      </c>
      <c r="D461" s="52" t="s">
        <v>79</v>
      </c>
      <c r="E461" s="60" t="s">
        <v>706</v>
      </c>
      <c r="F461" s="52">
        <v>2</v>
      </c>
    </row>
    <row r="462" spans="1:6" ht="14.25" customHeight="1">
      <c r="A462" s="61" t="s">
        <v>23</v>
      </c>
      <c r="B462" s="61" t="s">
        <v>456</v>
      </c>
      <c r="C462" s="61" t="s">
        <v>457</v>
      </c>
      <c r="D462" s="61" t="s">
        <v>84</v>
      </c>
      <c r="E462" s="62" t="s">
        <v>713</v>
      </c>
      <c r="F462" s="61">
        <v>1</v>
      </c>
    </row>
    <row r="463" spans="1:6" ht="14.25" customHeight="1">
      <c r="A463" s="52" t="s">
        <v>23</v>
      </c>
      <c r="B463" s="52" t="s">
        <v>456</v>
      </c>
      <c r="C463" s="52" t="s">
        <v>457</v>
      </c>
      <c r="D463" s="52" t="s">
        <v>118</v>
      </c>
      <c r="E463" s="60" t="s">
        <v>714</v>
      </c>
      <c r="F463" s="52">
        <v>1</v>
      </c>
    </row>
    <row r="464" spans="1:6" ht="14.25" customHeight="1">
      <c r="A464" s="61" t="s">
        <v>23</v>
      </c>
      <c r="B464" s="61" t="s">
        <v>456</v>
      </c>
      <c r="C464" s="61" t="s">
        <v>458</v>
      </c>
      <c r="D464" s="61" t="s">
        <v>79</v>
      </c>
      <c r="E464" s="62" t="s">
        <v>706</v>
      </c>
      <c r="F464" s="61">
        <v>1</v>
      </c>
    </row>
    <row r="465" spans="1:6" ht="14.25" customHeight="1">
      <c r="A465" s="52" t="s">
        <v>23</v>
      </c>
      <c r="B465" s="52" t="s">
        <v>456</v>
      </c>
      <c r="C465" s="52" t="s">
        <v>458</v>
      </c>
      <c r="D465" s="52" t="s">
        <v>84</v>
      </c>
      <c r="E465" s="60" t="s">
        <v>713</v>
      </c>
      <c r="F465" s="52">
        <v>1</v>
      </c>
    </row>
    <row r="466" spans="1:6" ht="14.25" customHeight="1">
      <c r="A466" s="61" t="s">
        <v>23</v>
      </c>
      <c r="B466" s="61" t="s">
        <v>456</v>
      </c>
      <c r="C466" s="61" t="s">
        <v>458</v>
      </c>
      <c r="D466" s="61" t="s">
        <v>118</v>
      </c>
      <c r="E466" s="62" t="s">
        <v>714</v>
      </c>
      <c r="F466" s="61">
        <v>1</v>
      </c>
    </row>
    <row r="467" spans="1:6" ht="14.25" customHeight="1">
      <c r="A467" s="52" t="s">
        <v>23</v>
      </c>
      <c r="B467" s="52" t="s">
        <v>456</v>
      </c>
      <c r="C467" s="52" t="s">
        <v>459</v>
      </c>
      <c r="D467" s="52" t="s">
        <v>79</v>
      </c>
      <c r="E467" s="60" t="s">
        <v>706</v>
      </c>
      <c r="F467" s="52">
        <v>1</v>
      </c>
    </row>
    <row r="468" spans="1:6" ht="14.25" customHeight="1">
      <c r="A468" s="61" t="s">
        <v>23</v>
      </c>
      <c r="B468" s="61" t="s">
        <v>456</v>
      </c>
      <c r="C468" s="61" t="s">
        <v>459</v>
      </c>
      <c r="D468" s="61" t="s">
        <v>84</v>
      </c>
      <c r="E468" s="62" t="s">
        <v>713</v>
      </c>
      <c r="F468" s="61">
        <v>1</v>
      </c>
    </row>
    <row r="469" spans="1:6" ht="14.25" customHeight="1">
      <c r="A469" s="52" t="s">
        <v>23</v>
      </c>
      <c r="B469" s="52" t="s">
        <v>456</v>
      </c>
      <c r="C469" s="52" t="s">
        <v>459</v>
      </c>
      <c r="D469" s="52" t="s">
        <v>118</v>
      </c>
      <c r="E469" s="60" t="s">
        <v>714</v>
      </c>
      <c r="F469" s="52">
        <v>1</v>
      </c>
    </row>
    <row r="470" spans="1:6" ht="14.25" customHeight="1">
      <c r="A470" s="61" t="s">
        <v>23</v>
      </c>
      <c r="B470" s="61" t="s">
        <v>456</v>
      </c>
      <c r="C470" s="61" t="s">
        <v>460</v>
      </c>
      <c r="D470" s="61" t="s">
        <v>79</v>
      </c>
      <c r="E470" s="62" t="s">
        <v>706</v>
      </c>
      <c r="F470" s="61">
        <v>1</v>
      </c>
    </row>
    <row r="471" spans="1:6" ht="14.25" customHeight="1">
      <c r="A471" s="52" t="s">
        <v>23</v>
      </c>
      <c r="B471" s="52" t="s">
        <v>456</v>
      </c>
      <c r="C471" s="52" t="s">
        <v>460</v>
      </c>
      <c r="D471" s="52" t="s">
        <v>84</v>
      </c>
      <c r="E471" s="60" t="s">
        <v>713</v>
      </c>
      <c r="F471" s="52">
        <v>1</v>
      </c>
    </row>
    <row r="472" spans="1:6" ht="14.25" customHeight="1">
      <c r="A472" s="61" t="s">
        <v>23</v>
      </c>
      <c r="B472" s="61" t="s">
        <v>456</v>
      </c>
      <c r="C472" s="61" t="s">
        <v>461</v>
      </c>
      <c r="D472" s="61" t="s">
        <v>79</v>
      </c>
      <c r="E472" s="62" t="s">
        <v>706</v>
      </c>
      <c r="F472" s="61">
        <v>1</v>
      </c>
    </row>
    <row r="473" spans="1:6" ht="14.25" customHeight="1">
      <c r="A473" s="52" t="s">
        <v>23</v>
      </c>
      <c r="B473" s="52" t="s">
        <v>456</v>
      </c>
      <c r="C473" s="52" t="s">
        <v>461</v>
      </c>
      <c r="D473" s="52" t="s">
        <v>84</v>
      </c>
      <c r="E473" s="60" t="s">
        <v>713</v>
      </c>
      <c r="F473" s="52">
        <v>1</v>
      </c>
    </row>
    <row r="474" spans="1:6" ht="14.25" customHeight="1">
      <c r="A474" s="61" t="s">
        <v>23</v>
      </c>
      <c r="B474" s="61" t="s">
        <v>456</v>
      </c>
      <c r="C474" s="61" t="s">
        <v>462</v>
      </c>
      <c r="D474" s="61" t="s">
        <v>79</v>
      </c>
      <c r="E474" s="62" t="s">
        <v>706</v>
      </c>
      <c r="F474" s="61">
        <v>1</v>
      </c>
    </row>
    <row r="475" spans="1:6" ht="14.25" customHeight="1">
      <c r="A475" s="52" t="s">
        <v>23</v>
      </c>
      <c r="B475" s="52" t="s">
        <v>456</v>
      </c>
      <c r="C475" s="52" t="s">
        <v>462</v>
      </c>
      <c r="D475" s="52" t="s">
        <v>84</v>
      </c>
      <c r="E475" s="60" t="s">
        <v>713</v>
      </c>
      <c r="F475" s="52">
        <v>1</v>
      </c>
    </row>
    <row r="476" spans="1:6" ht="14.25" customHeight="1">
      <c r="A476" s="61" t="s">
        <v>23</v>
      </c>
      <c r="B476" s="61" t="s">
        <v>456</v>
      </c>
      <c r="C476" s="61" t="s">
        <v>463</v>
      </c>
      <c r="D476" s="61" t="s">
        <v>79</v>
      </c>
      <c r="E476" s="62" t="s">
        <v>706</v>
      </c>
      <c r="F476" s="61">
        <v>1</v>
      </c>
    </row>
    <row r="477" spans="1:6" ht="14.25" customHeight="1">
      <c r="A477" s="52" t="s">
        <v>23</v>
      </c>
      <c r="B477" s="52" t="s">
        <v>456</v>
      </c>
      <c r="C477" s="52" t="s">
        <v>463</v>
      </c>
      <c r="D477" s="52" t="s">
        <v>84</v>
      </c>
      <c r="E477" s="60" t="s">
        <v>713</v>
      </c>
      <c r="F477" s="52">
        <v>1</v>
      </c>
    </row>
    <row r="478" spans="1:6" ht="14.25" customHeight="1">
      <c r="A478" s="61" t="s">
        <v>23</v>
      </c>
      <c r="B478" s="61" t="s">
        <v>456</v>
      </c>
      <c r="C478" s="61" t="s">
        <v>464</v>
      </c>
      <c r="D478" s="61" t="s">
        <v>79</v>
      </c>
      <c r="E478" s="62" t="s">
        <v>706</v>
      </c>
      <c r="F478" s="61">
        <v>1</v>
      </c>
    </row>
    <row r="479" spans="1:6" ht="14.25" customHeight="1">
      <c r="A479" s="52" t="s">
        <v>23</v>
      </c>
      <c r="B479" s="52" t="s">
        <v>456</v>
      </c>
      <c r="C479" s="52" t="s">
        <v>464</v>
      </c>
      <c r="D479" s="52" t="s">
        <v>84</v>
      </c>
      <c r="E479" s="60" t="s">
        <v>713</v>
      </c>
      <c r="F479" s="52">
        <v>1</v>
      </c>
    </row>
    <row r="480" spans="1:6" ht="14.25" customHeight="1">
      <c r="A480" s="61" t="s">
        <v>23</v>
      </c>
      <c r="B480" s="61" t="s">
        <v>456</v>
      </c>
      <c r="C480" s="61" t="s">
        <v>464</v>
      </c>
      <c r="D480" s="61" t="s">
        <v>118</v>
      </c>
      <c r="E480" s="62" t="s">
        <v>714</v>
      </c>
      <c r="F480" s="61">
        <v>1</v>
      </c>
    </row>
    <row r="481" spans="1:6" ht="14.25" customHeight="1">
      <c r="A481" s="52" t="s">
        <v>23</v>
      </c>
      <c r="B481" s="52" t="s">
        <v>456</v>
      </c>
      <c r="C481" s="52" t="s">
        <v>465</v>
      </c>
      <c r="D481" s="52" t="s">
        <v>79</v>
      </c>
      <c r="E481" s="60" t="s">
        <v>706</v>
      </c>
      <c r="F481" s="52">
        <v>1</v>
      </c>
    </row>
    <row r="482" spans="1:6" ht="14.25" customHeight="1">
      <c r="A482" s="61" t="s">
        <v>23</v>
      </c>
      <c r="B482" s="61" t="s">
        <v>456</v>
      </c>
      <c r="C482" s="61" t="s">
        <v>465</v>
      </c>
      <c r="D482" s="61" t="s">
        <v>84</v>
      </c>
      <c r="E482" s="62" t="s">
        <v>713</v>
      </c>
      <c r="F482" s="61">
        <v>1</v>
      </c>
    </row>
    <row r="483" spans="1:6" ht="14.25" customHeight="1">
      <c r="A483" s="52" t="s">
        <v>23</v>
      </c>
      <c r="B483" s="52" t="s">
        <v>412</v>
      </c>
      <c r="C483" s="52" t="s">
        <v>413</v>
      </c>
      <c r="D483" s="52" t="s">
        <v>79</v>
      </c>
      <c r="E483" s="60" t="s">
        <v>706</v>
      </c>
      <c r="F483" s="52">
        <v>2</v>
      </c>
    </row>
    <row r="484" spans="1:6" ht="14.25" customHeight="1">
      <c r="A484" s="61" t="s">
        <v>23</v>
      </c>
      <c r="B484" s="61" t="s">
        <v>412</v>
      </c>
      <c r="C484" s="61" t="s">
        <v>413</v>
      </c>
      <c r="D484" s="61" t="s">
        <v>84</v>
      </c>
      <c r="E484" s="62" t="s">
        <v>713</v>
      </c>
      <c r="F484" s="61">
        <v>1</v>
      </c>
    </row>
    <row r="485" spans="1:6" ht="14.25" customHeight="1">
      <c r="A485" s="52" t="s">
        <v>23</v>
      </c>
      <c r="B485" s="52" t="s">
        <v>412</v>
      </c>
      <c r="C485" s="52" t="s">
        <v>413</v>
      </c>
      <c r="D485" s="52" t="s">
        <v>118</v>
      </c>
      <c r="E485" s="60" t="s">
        <v>714</v>
      </c>
      <c r="F485" s="52">
        <v>1</v>
      </c>
    </row>
    <row r="486" spans="1:6" ht="14.25" customHeight="1">
      <c r="A486" s="61" t="s">
        <v>23</v>
      </c>
      <c r="B486" s="61" t="s">
        <v>412</v>
      </c>
      <c r="C486" s="61" t="s">
        <v>414</v>
      </c>
      <c r="D486" s="61" t="s">
        <v>79</v>
      </c>
      <c r="E486" s="62" t="s">
        <v>706</v>
      </c>
      <c r="F486" s="61">
        <v>1</v>
      </c>
    </row>
    <row r="487" spans="1:6" ht="14.25" customHeight="1">
      <c r="A487" s="52" t="s">
        <v>23</v>
      </c>
      <c r="B487" s="52" t="s">
        <v>412</v>
      </c>
      <c r="C487" s="52" t="s">
        <v>414</v>
      </c>
      <c r="D487" s="52" t="s">
        <v>84</v>
      </c>
      <c r="E487" s="60" t="s">
        <v>713</v>
      </c>
      <c r="F487" s="52">
        <v>1</v>
      </c>
    </row>
    <row r="488" spans="1:6" ht="14.25" customHeight="1">
      <c r="A488" s="61" t="s">
        <v>23</v>
      </c>
      <c r="B488" s="61" t="s">
        <v>412</v>
      </c>
      <c r="C488" s="61" t="s">
        <v>414</v>
      </c>
      <c r="D488" s="61" t="s">
        <v>120</v>
      </c>
      <c r="E488" s="62" t="s">
        <v>711</v>
      </c>
      <c r="F488" s="61">
        <v>1</v>
      </c>
    </row>
    <row r="489" spans="1:6" ht="14.25" customHeight="1">
      <c r="A489" s="52" t="s">
        <v>23</v>
      </c>
      <c r="B489" s="52" t="s">
        <v>412</v>
      </c>
      <c r="C489" s="52" t="s">
        <v>415</v>
      </c>
      <c r="D489" s="52" t="s">
        <v>79</v>
      </c>
      <c r="E489" s="60" t="s">
        <v>706</v>
      </c>
      <c r="F489" s="52">
        <v>1</v>
      </c>
    </row>
    <row r="490" spans="1:6" ht="14.25" customHeight="1">
      <c r="A490" s="61" t="s">
        <v>23</v>
      </c>
      <c r="B490" s="61" t="s">
        <v>412</v>
      </c>
      <c r="C490" s="61" t="s">
        <v>416</v>
      </c>
      <c r="D490" s="61" t="s">
        <v>79</v>
      </c>
      <c r="E490" s="62" t="s">
        <v>706</v>
      </c>
      <c r="F490" s="61">
        <v>1</v>
      </c>
    </row>
    <row r="491" spans="1:6" ht="14.25" customHeight="1">
      <c r="A491" s="52" t="s">
        <v>23</v>
      </c>
      <c r="B491" s="52" t="s">
        <v>412</v>
      </c>
      <c r="C491" s="52" t="s">
        <v>416</v>
      </c>
      <c r="D491" s="52" t="s">
        <v>84</v>
      </c>
      <c r="E491" s="60" t="s">
        <v>713</v>
      </c>
      <c r="F491" s="52">
        <v>1</v>
      </c>
    </row>
    <row r="492" spans="1:6" ht="14.25" customHeight="1">
      <c r="A492" s="61" t="s">
        <v>23</v>
      </c>
      <c r="B492" s="61" t="s">
        <v>412</v>
      </c>
      <c r="C492" s="61" t="s">
        <v>417</v>
      </c>
      <c r="D492" s="61" t="s">
        <v>79</v>
      </c>
      <c r="E492" s="62" t="s">
        <v>706</v>
      </c>
      <c r="F492" s="61">
        <v>1</v>
      </c>
    </row>
    <row r="493" spans="1:6" ht="14.25" customHeight="1">
      <c r="A493" s="52" t="s">
        <v>23</v>
      </c>
      <c r="B493" s="52" t="s">
        <v>412</v>
      </c>
      <c r="C493" s="52" t="s">
        <v>417</v>
      </c>
      <c r="D493" s="52" t="s">
        <v>84</v>
      </c>
      <c r="E493" s="60" t="s">
        <v>713</v>
      </c>
      <c r="F493" s="52">
        <v>1</v>
      </c>
    </row>
    <row r="494" spans="1:6" ht="14.25" customHeight="1">
      <c r="A494" s="61" t="s">
        <v>23</v>
      </c>
      <c r="B494" s="61" t="s">
        <v>412</v>
      </c>
      <c r="C494" s="61" t="s">
        <v>417</v>
      </c>
      <c r="D494" s="61" t="s">
        <v>120</v>
      </c>
      <c r="E494" s="62" t="s">
        <v>711</v>
      </c>
      <c r="F494" s="61">
        <v>1</v>
      </c>
    </row>
    <row r="495" spans="1:6" ht="14.25" customHeight="1">
      <c r="A495" s="52" t="s">
        <v>23</v>
      </c>
      <c r="B495" s="52" t="s">
        <v>412</v>
      </c>
      <c r="C495" s="52" t="s">
        <v>418</v>
      </c>
      <c r="D495" s="52" t="s">
        <v>79</v>
      </c>
      <c r="E495" s="60" t="s">
        <v>706</v>
      </c>
      <c r="F495" s="52">
        <v>1</v>
      </c>
    </row>
    <row r="496" spans="1:6" ht="14.25" customHeight="1">
      <c r="A496" s="61" t="s">
        <v>23</v>
      </c>
      <c r="B496" s="61" t="s">
        <v>412</v>
      </c>
      <c r="C496" s="61" t="s">
        <v>418</v>
      </c>
      <c r="D496" s="61" t="s">
        <v>84</v>
      </c>
      <c r="E496" s="62" t="s">
        <v>713</v>
      </c>
      <c r="F496" s="61">
        <v>1</v>
      </c>
    </row>
    <row r="497" spans="1:6" ht="14.25" customHeight="1">
      <c r="A497" s="52" t="s">
        <v>23</v>
      </c>
      <c r="B497" s="52" t="s">
        <v>412</v>
      </c>
      <c r="C497" s="52" t="s">
        <v>418</v>
      </c>
      <c r="D497" s="52" t="s">
        <v>120</v>
      </c>
      <c r="E497" s="60" t="s">
        <v>711</v>
      </c>
      <c r="F497" s="52">
        <v>1</v>
      </c>
    </row>
    <row r="498" spans="1:6" ht="14.25" customHeight="1">
      <c r="A498" s="61" t="s">
        <v>23</v>
      </c>
      <c r="B498" s="61" t="s">
        <v>412</v>
      </c>
      <c r="C498" s="61" t="s">
        <v>419</v>
      </c>
      <c r="D498" s="61" t="s">
        <v>79</v>
      </c>
      <c r="E498" s="62" t="s">
        <v>706</v>
      </c>
      <c r="F498" s="61">
        <v>1</v>
      </c>
    </row>
    <row r="499" spans="1:6" ht="14.25" customHeight="1">
      <c r="A499" s="52" t="s">
        <v>23</v>
      </c>
      <c r="B499" s="52" t="s">
        <v>412</v>
      </c>
      <c r="C499" s="52" t="s">
        <v>420</v>
      </c>
      <c r="D499" s="52" t="s">
        <v>79</v>
      </c>
      <c r="E499" s="60" t="s">
        <v>706</v>
      </c>
      <c r="F499" s="52">
        <v>1</v>
      </c>
    </row>
    <row r="500" spans="1:6" ht="14.25" customHeight="1">
      <c r="A500" s="61" t="s">
        <v>23</v>
      </c>
      <c r="B500" s="61" t="s">
        <v>412</v>
      </c>
      <c r="C500" s="61" t="s">
        <v>420</v>
      </c>
      <c r="D500" s="61" t="s">
        <v>84</v>
      </c>
      <c r="E500" s="62" t="s">
        <v>713</v>
      </c>
      <c r="F500" s="61">
        <v>1</v>
      </c>
    </row>
    <row r="501" spans="1:6" ht="14.25" customHeight="1">
      <c r="A501" s="52" t="s">
        <v>23</v>
      </c>
      <c r="B501" s="52" t="s">
        <v>412</v>
      </c>
      <c r="C501" s="52" t="s">
        <v>421</v>
      </c>
      <c r="D501" s="52" t="s">
        <v>79</v>
      </c>
      <c r="E501" s="60" t="s">
        <v>706</v>
      </c>
      <c r="F501" s="52">
        <v>2</v>
      </c>
    </row>
    <row r="502" spans="1:6" ht="14.25" customHeight="1">
      <c r="A502" s="61" t="s">
        <v>23</v>
      </c>
      <c r="B502" s="61" t="s">
        <v>412</v>
      </c>
      <c r="C502" s="61" t="s">
        <v>421</v>
      </c>
      <c r="D502" s="61" t="s">
        <v>84</v>
      </c>
      <c r="E502" s="62" t="s">
        <v>713</v>
      </c>
      <c r="F502" s="61">
        <v>1</v>
      </c>
    </row>
    <row r="503" spans="1:6" ht="14.25" customHeight="1">
      <c r="A503" s="52" t="s">
        <v>23</v>
      </c>
      <c r="B503" s="52" t="s">
        <v>412</v>
      </c>
      <c r="C503" s="52" t="s">
        <v>421</v>
      </c>
      <c r="D503" s="52" t="s">
        <v>120</v>
      </c>
      <c r="E503" s="60" t="s">
        <v>711</v>
      </c>
      <c r="F503" s="52">
        <v>1</v>
      </c>
    </row>
    <row r="504" spans="1:6" ht="14.25" customHeight="1">
      <c r="A504" s="61" t="s">
        <v>23</v>
      </c>
      <c r="B504" s="61" t="s">
        <v>412</v>
      </c>
      <c r="C504" s="61" t="s">
        <v>422</v>
      </c>
      <c r="D504" s="61" t="s">
        <v>79</v>
      </c>
      <c r="E504" s="62" t="s">
        <v>706</v>
      </c>
      <c r="F504" s="61">
        <v>1</v>
      </c>
    </row>
    <row r="505" spans="1:6" ht="14.25" customHeight="1">
      <c r="A505" s="52" t="s">
        <v>23</v>
      </c>
      <c r="B505" s="52" t="s">
        <v>412</v>
      </c>
      <c r="C505" s="52" t="s">
        <v>422</v>
      </c>
      <c r="D505" s="52" t="s">
        <v>84</v>
      </c>
      <c r="E505" s="60" t="s">
        <v>713</v>
      </c>
      <c r="F505" s="52">
        <v>1</v>
      </c>
    </row>
    <row r="506" spans="1:6" ht="14.25" customHeight="1">
      <c r="A506" s="61" t="s">
        <v>23</v>
      </c>
      <c r="B506" s="61" t="s">
        <v>412</v>
      </c>
      <c r="C506" s="61" t="s">
        <v>423</v>
      </c>
      <c r="D506" s="61" t="s">
        <v>79</v>
      </c>
      <c r="E506" s="62" t="s">
        <v>706</v>
      </c>
      <c r="F506" s="61">
        <v>1</v>
      </c>
    </row>
    <row r="507" spans="1:6" ht="14.25" customHeight="1">
      <c r="A507" s="52" t="s">
        <v>23</v>
      </c>
      <c r="B507" s="52" t="s">
        <v>412</v>
      </c>
      <c r="C507" s="52" t="s">
        <v>423</v>
      </c>
      <c r="D507" s="52" t="s">
        <v>84</v>
      </c>
      <c r="E507" s="60" t="s">
        <v>713</v>
      </c>
      <c r="F507" s="52">
        <v>1</v>
      </c>
    </row>
    <row r="508" spans="1:6" ht="14.25" customHeight="1">
      <c r="A508" s="61" t="s">
        <v>23</v>
      </c>
      <c r="B508" s="61" t="s">
        <v>412</v>
      </c>
      <c r="C508" s="61" t="s">
        <v>424</v>
      </c>
      <c r="D508" s="61" t="s">
        <v>79</v>
      </c>
      <c r="E508" s="62" t="s">
        <v>706</v>
      </c>
      <c r="F508" s="61">
        <v>1</v>
      </c>
    </row>
    <row r="509" spans="1:6" ht="14.25" customHeight="1">
      <c r="A509" s="52" t="s">
        <v>23</v>
      </c>
      <c r="B509" s="52" t="s">
        <v>412</v>
      </c>
      <c r="C509" s="52" t="s">
        <v>424</v>
      </c>
      <c r="D509" s="52" t="s">
        <v>84</v>
      </c>
      <c r="E509" s="60" t="s">
        <v>713</v>
      </c>
      <c r="F509" s="52">
        <v>1</v>
      </c>
    </row>
    <row r="510" spans="1:6" ht="14.25" customHeight="1">
      <c r="A510" s="61" t="s">
        <v>23</v>
      </c>
      <c r="B510" s="61" t="s">
        <v>412</v>
      </c>
      <c r="C510" s="61" t="s">
        <v>425</v>
      </c>
      <c r="D510" s="61" t="s">
        <v>79</v>
      </c>
      <c r="E510" s="62" t="s">
        <v>706</v>
      </c>
      <c r="F510" s="61">
        <v>1</v>
      </c>
    </row>
    <row r="511" spans="1:6" ht="14.25" customHeight="1">
      <c r="A511" s="52" t="s">
        <v>23</v>
      </c>
      <c r="B511" s="52" t="s">
        <v>412</v>
      </c>
      <c r="C511" s="52" t="s">
        <v>425</v>
      </c>
      <c r="D511" s="52" t="s">
        <v>84</v>
      </c>
      <c r="E511" s="60" t="s">
        <v>713</v>
      </c>
      <c r="F511" s="52">
        <v>1</v>
      </c>
    </row>
    <row r="512" spans="1:6" ht="14.25" customHeight="1">
      <c r="A512" s="61" t="s">
        <v>23</v>
      </c>
      <c r="B512" s="61" t="s">
        <v>412</v>
      </c>
      <c r="C512" s="61" t="s">
        <v>426</v>
      </c>
      <c r="D512" s="61" t="s">
        <v>79</v>
      </c>
      <c r="E512" s="62" t="s">
        <v>706</v>
      </c>
      <c r="F512" s="61">
        <v>1</v>
      </c>
    </row>
    <row r="513" spans="1:6" ht="14.25" customHeight="1">
      <c r="A513" s="52" t="s">
        <v>23</v>
      </c>
      <c r="B513" s="52" t="s">
        <v>412</v>
      </c>
      <c r="C513" s="52" t="s">
        <v>426</v>
      </c>
      <c r="D513" s="52" t="s">
        <v>84</v>
      </c>
      <c r="E513" s="60" t="s">
        <v>713</v>
      </c>
      <c r="F513" s="52">
        <v>1</v>
      </c>
    </row>
    <row r="514" spans="1:6" ht="14.25" customHeight="1">
      <c r="A514" s="61" t="s">
        <v>23</v>
      </c>
      <c r="B514" s="61" t="s">
        <v>412</v>
      </c>
      <c r="C514" s="61" t="s">
        <v>427</v>
      </c>
      <c r="D514" s="61" t="s">
        <v>79</v>
      </c>
      <c r="E514" s="62" t="s">
        <v>706</v>
      </c>
      <c r="F514" s="61">
        <v>1</v>
      </c>
    </row>
    <row r="515" spans="1:6" ht="14.25" customHeight="1">
      <c r="A515" s="52" t="s">
        <v>23</v>
      </c>
      <c r="B515" s="52" t="s">
        <v>412</v>
      </c>
      <c r="C515" s="52" t="s">
        <v>427</v>
      </c>
      <c r="D515" s="52" t="s">
        <v>84</v>
      </c>
      <c r="E515" s="60" t="s">
        <v>713</v>
      </c>
      <c r="F515" s="52">
        <v>1</v>
      </c>
    </row>
    <row r="516" spans="1:6" ht="14.25" customHeight="1">
      <c r="A516" s="61" t="s">
        <v>23</v>
      </c>
      <c r="B516" s="61" t="s">
        <v>412</v>
      </c>
      <c r="C516" s="61" t="s">
        <v>428</v>
      </c>
      <c r="D516" s="61" t="s">
        <v>79</v>
      </c>
      <c r="E516" s="62" t="s">
        <v>706</v>
      </c>
      <c r="F516" s="61">
        <v>1</v>
      </c>
    </row>
    <row r="517" spans="1:6" ht="14.25" customHeight="1">
      <c r="A517" s="52" t="s">
        <v>23</v>
      </c>
      <c r="B517" s="52" t="s">
        <v>412</v>
      </c>
      <c r="C517" s="52" t="s">
        <v>429</v>
      </c>
      <c r="D517" s="52" t="s">
        <v>79</v>
      </c>
      <c r="E517" s="60" t="s">
        <v>706</v>
      </c>
      <c r="F517" s="52">
        <v>1</v>
      </c>
    </row>
    <row r="518" spans="1:6" ht="14.25" customHeight="1">
      <c r="A518" s="61" t="s">
        <v>23</v>
      </c>
      <c r="B518" s="61" t="s">
        <v>412</v>
      </c>
      <c r="C518" s="61" t="s">
        <v>430</v>
      </c>
      <c r="D518" s="61" t="s">
        <v>79</v>
      </c>
      <c r="E518" s="62" t="s">
        <v>706</v>
      </c>
      <c r="F518" s="61">
        <v>1</v>
      </c>
    </row>
    <row r="519" spans="1:6" ht="14.25" customHeight="1">
      <c r="A519" s="52" t="s">
        <v>23</v>
      </c>
      <c r="B519" s="52" t="s">
        <v>412</v>
      </c>
      <c r="C519" s="52" t="s">
        <v>431</v>
      </c>
      <c r="D519" s="52" t="s">
        <v>79</v>
      </c>
      <c r="E519" s="60" t="s">
        <v>706</v>
      </c>
      <c r="F519" s="52">
        <v>1</v>
      </c>
    </row>
    <row r="520" spans="1:6" ht="14.25" customHeight="1">
      <c r="A520" s="61" t="s">
        <v>23</v>
      </c>
      <c r="B520" s="61" t="s">
        <v>412</v>
      </c>
      <c r="C520" s="61" t="s">
        <v>431</v>
      </c>
      <c r="D520" s="61" t="s">
        <v>84</v>
      </c>
      <c r="E520" s="62" t="s">
        <v>713</v>
      </c>
      <c r="F520" s="61">
        <v>1</v>
      </c>
    </row>
    <row r="521" spans="1:6" ht="14.25" customHeight="1">
      <c r="A521" s="52" t="s">
        <v>23</v>
      </c>
      <c r="B521" s="52" t="s">
        <v>412</v>
      </c>
      <c r="C521" s="52" t="s">
        <v>432</v>
      </c>
      <c r="D521" s="52" t="s">
        <v>79</v>
      </c>
      <c r="E521" s="60" t="s">
        <v>706</v>
      </c>
      <c r="F521" s="52">
        <v>1</v>
      </c>
    </row>
    <row r="522" spans="1:6" ht="14.25" customHeight="1">
      <c r="A522" s="61" t="s">
        <v>23</v>
      </c>
      <c r="B522" s="61" t="s">
        <v>412</v>
      </c>
      <c r="C522" s="61" t="s">
        <v>432</v>
      </c>
      <c r="D522" s="61" t="s">
        <v>84</v>
      </c>
      <c r="E522" s="62" t="s">
        <v>713</v>
      </c>
      <c r="F522" s="61">
        <v>1</v>
      </c>
    </row>
    <row r="523" spans="1:6" ht="14.25" customHeight="1">
      <c r="A523" s="52" t="s">
        <v>23</v>
      </c>
      <c r="B523" s="52" t="s">
        <v>412</v>
      </c>
      <c r="C523" s="52" t="s">
        <v>432</v>
      </c>
      <c r="D523" s="52" t="s">
        <v>120</v>
      </c>
      <c r="E523" s="60" t="s">
        <v>711</v>
      </c>
      <c r="F523" s="52">
        <v>1</v>
      </c>
    </row>
    <row r="524" spans="1:6" ht="14.25" customHeight="1">
      <c r="A524" s="61" t="s">
        <v>23</v>
      </c>
      <c r="B524" s="61" t="s">
        <v>412</v>
      </c>
      <c r="C524" s="61" t="s">
        <v>433</v>
      </c>
      <c r="D524" s="61" t="s">
        <v>79</v>
      </c>
      <c r="E524" s="62" t="s">
        <v>706</v>
      </c>
      <c r="F524" s="61">
        <v>1</v>
      </c>
    </row>
    <row r="525" spans="1:6" ht="14.25" customHeight="1">
      <c r="A525" s="52" t="s">
        <v>23</v>
      </c>
      <c r="B525" s="52" t="s">
        <v>412</v>
      </c>
      <c r="C525" s="52" t="s">
        <v>433</v>
      </c>
      <c r="D525" s="52" t="s">
        <v>118</v>
      </c>
      <c r="E525" s="60" t="s">
        <v>714</v>
      </c>
      <c r="F525" s="52">
        <v>1</v>
      </c>
    </row>
    <row r="526" spans="1:6" ht="14.25" customHeight="1">
      <c r="A526" s="61" t="s">
        <v>23</v>
      </c>
      <c r="B526" s="61" t="s">
        <v>412</v>
      </c>
      <c r="C526" s="61" t="s">
        <v>434</v>
      </c>
      <c r="D526" s="61" t="s">
        <v>79</v>
      </c>
      <c r="E526" s="62" t="s">
        <v>706</v>
      </c>
      <c r="F526" s="61">
        <v>1</v>
      </c>
    </row>
    <row r="527" spans="1:6" ht="14.25" customHeight="1">
      <c r="A527" s="52" t="s">
        <v>23</v>
      </c>
      <c r="B527" s="52" t="s">
        <v>412</v>
      </c>
      <c r="C527" s="52" t="s">
        <v>434</v>
      </c>
      <c r="D527" s="52" t="s">
        <v>118</v>
      </c>
      <c r="E527" s="60" t="s">
        <v>714</v>
      </c>
      <c r="F527" s="52">
        <v>1</v>
      </c>
    </row>
    <row r="528" spans="1:6" ht="14.25" customHeight="1">
      <c r="A528" s="61" t="s">
        <v>23</v>
      </c>
      <c r="B528" s="61" t="s">
        <v>412</v>
      </c>
      <c r="C528" s="61" t="s">
        <v>435</v>
      </c>
      <c r="D528" s="61" t="s">
        <v>79</v>
      </c>
      <c r="E528" s="62" t="s">
        <v>706</v>
      </c>
      <c r="F528" s="61">
        <v>1</v>
      </c>
    </row>
    <row r="529" spans="1:6" ht="14.25" customHeight="1">
      <c r="A529" s="52" t="s">
        <v>23</v>
      </c>
      <c r="B529" s="52" t="s">
        <v>412</v>
      </c>
      <c r="C529" s="52" t="s">
        <v>435</v>
      </c>
      <c r="D529" s="52" t="s">
        <v>118</v>
      </c>
      <c r="E529" s="60" t="s">
        <v>714</v>
      </c>
      <c r="F529" s="52">
        <v>1</v>
      </c>
    </row>
    <row r="530" spans="1:6" ht="14.25" customHeight="1">
      <c r="A530" s="61" t="s">
        <v>23</v>
      </c>
      <c r="B530" s="61" t="s">
        <v>412</v>
      </c>
      <c r="C530" s="61" t="s">
        <v>436</v>
      </c>
      <c r="D530" s="61" t="s">
        <v>79</v>
      </c>
      <c r="E530" s="62" t="s">
        <v>706</v>
      </c>
      <c r="F530" s="61">
        <v>1</v>
      </c>
    </row>
    <row r="531" spans="1:6" ht="14.25" customHeight="1">
      <c r="A531" s="52" t="s">
        <v>23</v>
      </c>
      <c r="B531" s="52" t="s">
        <v>412</v>
      </c>
      <c r="C531" s="52" t="s">
        <v>436</v>
      </c>
      <c r="D531" s="52" t="s">
        <v>84</v>
      </c>
      <c r="E531" s="60" t="s">
        <v>713</v>
      </c>
      <c r="F531" s="52">
        <v>1</v>
      </c>
    </row>
    <row r="532" spans="1:6" ht="14.25" customHeight="1">
      <c r="A532" s="61" t="s">
        <v>23</v>
      </c>
      <c r="B532" s="61" t="s">
        <v>412</v>
      </c>
      <c r="C532" s="61" t="s">
        <v>436</v>
      </c>
      <c r="D532" s="61" t="s">
        <v>118</v>
      </c>
      <c r="E532" s="62" t="s">
        <v>714</v>
      </c>
      <c r="F532" s="61">
        <v>1</v>
      </c>
    </row>
    <row r="533" spans="1:6" ht="14.25" customHeight="1">
      <c r="A533" s="52" t="s">
        <v>23</v>
      </c>
      <c r="B533" s="52" t="s">
        <v>412</v>
      </c>
      <c r="C533" s="52" t="s">
        <v>437</v>
      </c>
      <c r="D533" s="52" t="s">
        <v>79</v>
      </c>
      <c r="E533" s="60" t="s">
        <v>706</v>
      </c>
      <c r="F533" s="52">
        <v>1</v>
      </c>
    </row>
    <row r="534" spans="1:6" ht="14.25" customHeight="1">
      <c r="A534" s="61" t="s">
        <v>23</v>
      </c>
      <c r="B534" s="61" t="s">
        <v>412</v>
      </c>
      <c r="C534" s="61" t="s">
        <v>437</v>
      </c>
      <c r="D534" s="61" t="s">
        <v>84</v>
      </c>
      <c r="E534" s="62" t="s">
        <v>713</v>
      </c>
      <c r="F534" s="61">
        <v>1</v>
      </c>
    </row>
    <row r="535" spans="1:6" ht="14.25" customHeight="1">
      <c r="A535" s="52" t="s">
        <v>23</v>
      </c>
      <c r="B535" s="52" t="s">
        <v>412</v>
      </c>
      <c r="C535" s="52" t="s">
        <v>438</v>
      </c>
      <c r="D535" s="52" t="s">
        <v>79</v>
      </c>
      <c r="E535" s="60" t="s">
        <v>706</v>
      </c>
      <c r="F535" s="52">
        <v>1</v>
      </c>
    </row>
    <row r="536" spans="1:6" ht="14.25" customHeight="1">
      <c r="A536" s="61" t="s">
        <v>23</v>
      </c>
      <c r="B536" s="61" t="s">
        <v>412</v>
      </c>
      <c r="C536" s="61" t="s">
        <v>439</v>
      </c>
      <c r="D536" s="61" t="s">
        <v>79</v>
      </c>
      <c r="E536" s="62" t="s">
        <v>706</v>
      </c>
      <c r="F536" s="61">
        <v>1</v>
      </c>
    </row>
    <row r="537" spans="1:6" ht="14.25" customHeight="1">
      <c r="A537" s="52" t="s">
        <v>23</v>
      </c>
      <c r="B537" s="52" t="s">
        <v>412</v>
      </c>
      <c r="C537" s="52" t="s">
        <v>440</v>
      </c>
      <c r="D537" s="52" t="s">
        <v>79</v>
      </c>
      <c r="E537" s="60" t="s">
        <v>706</v>
      </c>
      <c r="F537" s="52">
        <v>1</v>
      </c>
    </row>
    <row r="538" spans="1:6" ht="14.25" customHeight="1">
      <c r="A538" s="61" t="s">
        <v>23</v>
      </c>
      <c r="B538" s="61" t="s">
        <v>412</v>
      </c>
      <c r="C538" s="61" t="s">
        <v>441</v>
      </c>
      <c r="D538" s="61" t="s">
        <v>79</v>
      </c>
      <c r="E538" s="62" t="s">
        <v>706</v>
      </c>
      <c r="F538" s="61">
        <v>1</v>
      </c>
    </row>
    <row r="539" spans="1:6" ht="14.25" customHeight="1">
      <c r="A539" s="52" t="s">
        <v>23</v>
      </c>
      <c r="B539" s="52" t="s">
        <v>412</v>
      </c>
      <c r="C539" s="52" t="s">
        <v>441</v>
      </c>
      <c r="D539" s="52" t="s">
        <v>84</v>
      </c>
      <c r="E539" s="60" t="s">
        <v>713</v>
      </c>
      <c r="F539" s="52">
        <v>1</v>
      </c>
    </row>
    <row r="540" spans="1:6" ht="14.25" customHeight="1">
      <c r="A540" s="61" t="s">
        <v>23</v>
      </c>
      <c r="B540" s="61" t="s">
        <v>472</v>
      </c>
      <c r="C540" s="61" t="s">
        <v>472</v>
      </c>
      <c r="D540" s="61" t="s">
        <v>79</v>
      </c>
      <c r="E540" s="62" t="s">
        <v>706</v>
      </c>
      <c r="F540" s="61">
        <v>1</v>
      </c>
    </row>
    <row r="541" spans="1:6" ht="14.25" customHeight="1">
      <c r="A541" s="52" t="s">
        <v>23</v>
      </c>
      <c r="B541" s="52" t="s">
        <v>472</v>
      </c>
      <c r="C541" s="52" t="s">
        <v>472</v>
      </c>
      <c r="D541" s="52" t="s">
        <v>84</v>
      </c>
      <c r="E541" s="60" t="s">
        <v>713</v>
      </c>
      <c r="F541" s="52">
        <v>1</v>
      </c>
    </row>
    <row r="542" spans="1:6" ht="14.25" customHeight="1">
      <c r="A542" s="61" t="s">
        <v>23</v>
      </c>
      <c r="B542" s="62" t="s">
        <v>473</v>
      </c>
      <c r="C542" s="61" t="s">
        <v>471</v>
      </c>
      <c r="D542" s="61" t="s">
        <v>79</v>
      </c>
      <c r="E542" s="62" t="s">
        <v>706</v>
      </c>
      <c r="F542" s="61">
        <v>1</v>
      </c>
    </row>
    <row r="543" spans="1:6" ht="14.25" customHeight="1">
      <c r="A543" s="52" t="s">
        <v>23</v>
      </c>
      <c r="B543" s="60" t="s">
        <v>473</v>
      </c>
      <c r="C543" s="52" t="s">
        <v>471</v>
      </c>
      <c r="D543" s="52" t="s">
        <v>84</v>
      </c>
      <c r="E543" s="60" t="s">
        <v>713</v>
      </c>
      <c r="F543" s="52">
        <v>1</v>
      </c>
    </row>
    <row r="544" spans="1:6" ht="14.25" customHeight="1">
      <c r="A544" s="61" t="s">
        <v>23</v>
      </c>
      <c r="B544" s="62" t="s">
        <v>470</v>
      </c>
      <c r="C544" s="61" t="s">
        <v>471</v>
      </c>
      <c r="D544" s="61" t="s">
        <v>79</v>
      </c>
      <c r="E544" s="62" t="s">
        <v>706</v>
      </c>
      <c r="F544" s="61">
        <v>2</v>
      </c>
    </row>
    <row r="545" spans="1:6" ht="14.25" customHeight="1">
      <c r="A545" s="52" t="s">
        <v>23</v>
      </c>
      <c r="B545" s="60" t="s">
        <v>470</v>
      </c>
      <c r="C545" s="52" t="s">
        <v>471</v>
      </c>
      <c r="D545" s="52" t="s">
        <v>84</v>
      </c>
      <c r="E545" s="60" t="s">
        <v>713</v>
      </c>
      <c r="F545" s="52">
        <v>1</v>
      </c>
    </row>
    <row r="546" spans="1:6" ht="14.25" customHeight="1">
      <c r="A546" s="61" t="s">
        <v>23</v>
      </c>
      <c r="B546" s="62" t="s">
        <v>476</v>
      </c>
      <c r="C546" s="61" t="s">
        <v>477</v>
      </c>
      <c r="D546" s="61" t="s">
        <v>79</v>
      </c>
      <c r="E546" s="62" t="s">
        <v>706</v>
      </c>
      <c r="F546" s="61">
        <v>1</v>
      </c>
    </row>
    <row r="547" spans="1:6" ht="14.25" customHeight="1">
      <c r="A547" s="52" t="s">
        <v>23</v>
      </c>
      <c r="B547" s="60" t="s">
        <v>478</v>
      </c>
      <c r="C547" s="52" t="s">
        <v>479</v>
      </c>
      <c r="D547" s="52" t="s">
        <v>79</v>
      </c>
      <c r="E547" s="60" t="s">
        <v>706</v>
      </c>
      <c r="F547" s="52">
        <v>1</v>
      </c>
    </row>
    <row r="548" spans="1:6" ht="14.25" customHeight="1">
      <c r="A548" s="61" t="s">
        <v>23</v>
      </c>
      <c r="B548" s="62" t="s">
        <v>466</v>
      </c>
      <c r="C548" s="61" t="s">
        <v>73</v>
      </c>
      <c r="D548" s="61" t="s">
        <v>74</v>
      </c>
      <c r="E548" s="62" t="s">
        <v>707</v>
      </c>
      <c r="F548" s="61">
        <v>11</v>
      </c>
    </row>
    <row r="549" spans="1:6" ht="14.25" customHeight="1">
      <c r="A549" s="52" t="s">
        <v>23</v>
      </c>
      <c r="B549" s="60" t="s">
        <v>466</v>
      </c>
      <c r="C549" s="52" t="s">
        <v>227</v>
      </c>
      <c r="D549" s="52" t="s">
        <v>118</v>
      </c>
      <c r="E549" s="60" t="s">
        <v>714</v>
      </c>
      <c r="F549" s="52">
        <v>1</v>
      </c>
    </row>
    <row r="550" spans="1:6" ht="14.25" customHeight="1">
      <c r="A550" s="61" t="s">
        <v>23</v>
      </c>
      <c r="B550" s="62" t="s">
        <v>466</v>
      </c>
      <c r="C550" s="61" t="s">
        <v>467</v>
      </c>
      <c r="D550" s="61" t="s">
        <v>79</v>
      </c>
      <c r="E550" s="62" t="s">
        <v>706</v>
      </c>
      <c r="F550" s="61">
        <v>1</v>
      </c>
    </row>
    <row r="551" spans="1:6" ht="14.25" customHeight="1">
      <c r="A551" s="52" t="s">
        <v>23</v>
      </c>
      <c r="B551" s="60" t="s">
        <v>466</v>
      </c>
      <c r="C551" s="52" t="s">
        <v>468</v>
      </c>
      <c r="D551" s="52" t="s">
        <v>79</v>
      </c>
      <c r="E551" s="60" t="s">
        <v>706</v>
      </c>
      <c r="F551" s="52">
        <v>1</v>
      </c>
    </row>
    <row r="552" spans="1:6" ht="14.25" customHeight="1">
      <c r="A552" s="61" t="s">
        <v>23</v>
      </c>
      <c r="B552" s="62" t="s">
        <v>466</v>
      </c>
      <c r="C552" s="61" t="s">
        <v>468</v>
      </c>
      <c r="D552" s="61" t="s">
        <v>84</v>
      </c>
      <c r="E552" s="62" t="s">
        <v>713</v>
      </c>
      <c r="F552" s="61">
        <v>1</v>
      </c>
    </row>
    <row r="553" spans="1:6" ht="14.25" customHeight="1">
      <c r="A553" s="52" t="s">
        <v>23</v>
      </c>
      <c r="B553" s="60" t="s">
        <v>466</v>
      </c>
      <c r="C553" s="52" t="s">
        <v>469</v>
      </c>
      <c r="D553" s="52" t="s">
        <v>79</v>
      </c>
      <c r="E553" s="60" t="s">
        <v>706</v>
      </c>
      <c r="F553" s="52">
        <v>1</v>
      </c>
    </row>
    <row r="554" spans="1:6" ht="14.25" customHeight="1">
      <c r="A554" s="61" t="s">
        <v>23</v>
      </c>
      <c r="B554" s="62" t="s">
        <v>466</v>
      </c>
      <c r="C554" s="61" t="s">
        <v>469</v>
      </c>
      <c r="D554" s="61" t="s">
        <v>84</v>
      </c>
      <c r="E554" s="62" t="s">
        <v>713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530</v>
      </c>
      <c r="D555" s="52" t="s">
        <v>79</v>
      </c>
      <c r="E555" s="60" t="s">
        <v>706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562</v>
      </c>
      <c r="D556" s="61" t="s">
        <v>275</v>
      </c>
      <c r="E556" s="62" t="s">
        <v>716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562</v>
      </c>
      <c r="D557" s="52" t="s">
        <v>129</v>
      </c>
      <c r="E557" s="60" t="s">
        <v>709</v>
      </c>
      <c r="F557" s="52">
        <v>2</v>
      </c>
    </row>
    <row r="558" spans="1:6" ht="14.25" customHeight="1">
      <c r="A558" s="61" t="s">
        <v>26</v>
      </c>
      <c r="B558" s="61" t="s">
        <v>563</v>
      </c>
      <c r="C558" s="61" t="s">
        <v>564</v>
      </c>
      <c r="D558" s="61" t="s">
        <v>79</v>
      </c>
      <c r="E558" s="62" t="s">
        <v>706</v>
      </c>
      <c r="F558" s="61">
        <v>2</v>
      </c>
    </row>
    <row r="559" spans="1:6" ht="14.25" customHeight="1">
      <c r="A559" s="52" t="s">
        <v>24</v>
      </c>
      <c r="B559" s="52" t="s">
        <v>503</v>
      </c>
      <c r="C559" s="52" t="s">
        <v>496</v>
      </c>
      <c r="D559" s="52" t="s">
        <v>79</v>
      </c>
      <c r="E559" s="60" t="s">
        <v>706</v>
      </c>
      <c r="F559" s="52">
        <v>2</v>
      </c>
    </row>
    <row r="560" spans="1:6" ht="14.25" customHeight="1">
      <c r="A560" s="61" t="s">
        <v>24</v>
      </c>
      <c r="B560" s="61" t="s">
        <v>504</v>
      </c>
      <c r="C560" s="61" t="s">
        <v>505</v>
      </c>
      <c r="D560" s="61" t="s">
        <v>79</v>
      </c>
      <c r="E560" s="62" t="s">
        <v>706</v>
      </c>
      <c r="F560" s="61">
        <v>2</v>
      </c>
    </row>
    <row r="561" spans="1:6" ht="14.25" customHeight="1">
      <c r="A561" s="52" t="s">
        <v>24</v>
      </c>
      <c r="B561" s="52" t="s">
        <v>506</v>
      </c>
      <c r="C561" s="52" t="s">
        <v>507</v>
      </c>
      <c r="D561" s="52" t="s">
        <v>79</v>
      </c>
      <c r="E561" s="60" t="s">
        <v>706</v>
      </c>
      <c r="F561" s="52">
        <v>2</v>
      </c>
    </row>
    <row r="562" spans="1:6" ht="14.25" customHeight="1">
      <c r="A562" s="61" t="s">
        <v>24</v>
      </c>
      <c r="B562" s="61" t="s">
        <v>508</v>
      </c>
      <c r="C562" s="61" t="s">
        <v>308</v>
      </c>
      <c r="D562" s="61" t="s">
        <v>79</v>
      </c>
      <c r="E562" s="62" t="s">
        <v>706</v>
      </c>
      <c r="F562" s="61">
        <v>2</v>
      </c>
    </row>
    <row r="563" spans="1:6" ht="14.25" customHeight="1">
      <c r="A563" s="52" t="s">
        <v>24</v>
      </c>
      <c r="B563" s="52" t="s">
        <v>509</v>
      </c>
      <c r="C563" s="52" t="s">
        <v>510</v>
      </c>
      <c r="D563" s="52" t="s">
        <v>79</v>
      </c>
      <c r="E563" s="60" t="s">
        <v>706</v>
      </c>
      <c r="F563" s="52">
        <v>2</v>
      </c>
    </row>
    <row r="564" spans="1:6" ht="14.25" customHeight="1">
      <c r="A564" s="61" t="s">
        <v>24</v>
      </c>
      <c r="B564" s="61" t="s">
        <v>511</v>
      </c>
      <c r="C564" s="61" t="s">
        <v>467</v>
      </c>
      <c r="D564" s="61" t="s">
        <v>79</v>
      </c>
      <c r="E564" s="62" t="s">
        <v>706</v>
      </c>
      <c r="F564" s="61">
        <v>2</v>
      </c>
    </row>
    <row r="565" spans="1:6" ht="14.25" customHeight="1">
      <c r="A565" s="52" t="s">
        <v>24</v>
      </c>
      <c r="B565" s="52" t="s">
        <v>501</v>
      </c>
      <c r="C565" s="52" t="s">
        <v>73</v>
      </c>
      <c r="D565" s="52" t="s">
        <v>74</v>
      </c>
      <c r="E565" s="60" t="s">
        <v>707</v>
      </c>
      <c r="F565" s="52">
        <v>1</v>
      </c>
    </row>
    <row r="566" spans="1:6" ht="14.25" customHeight="1">
      <c r="A566" s="61" t="s">
        <v>24</v>
      </c>
      <c r="B566" s="61" t="s">
        <v>501</v>
      </c>
      <c r="C566" s="61" t="s">
        <v>496</v>
      </c>
      <c r="D566" s="61" t="s">
        <v>79</v>
      </c>
      <c r="E566" s="62" t="s">
        <v>706</v>
      </c>
      <c r="F566" s="61">
        <v>2</v>
      </c>
    </row>
    <row r="567" spans="1:6" ht="14.25" customHeight="1">
      <c r="A567" s="52" t="s">
        <v>24</v>
      </c>
      <c r="B567" s="52" t="s">
        <v>512</v>
      </c>
      <c r="C567" s="52" t="s">
        <v>513</v>
      </c>
      <c r="D567" s="52" t="s">
        <v>79</v>
      </c>
      <c r="E567" s="60" t="s">
        <v>706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73</v>
      </c>
      <c r="D568" s="61" t="s">
        <v>74</v>
      </c>
      <c r="E568" s="62" t="s">
        <v>707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480</v>
      </c>
      <c r="D569" s="52" t="s">
        <v>79</v>
      </c>
      <c r="E569" s="60" t="s">
        <v>706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481</v>
      </c>
      <c r="D570" s="61" t="s">
        <v>79</v>
      </c>
      <c r="E570" s="62" t="s">
        <v>706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482</v>
      </c>
      <c r="D571" s="52" t="s">
        <v>84</v>
      </c>
      <c r="E571" s="60" t="s">
        <v>713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483</v>
      </c>
      <c r="D572" s="61" t="s">
        <v>84</v>
      </c>
      <c r="E572" s="62" t="s">
        <v>713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484</v>
      </c>
      <c r="D573" s="52" t="s">
        <v>126</v>
      </c>
      <c r="E573" s="60" t="s">
        <v>708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485</v>
      </c>
      <c r="D574" s="61" t="s">
        <v>83</v>
      </c>
      <c r="E574" s="62" t="s">
        <v>712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485</v>
      </c>
      <c r="D575" s="52" t="s">
        <v>129</v>
      </c>
      <c r="E575" s="60" t="s">
        <v>709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486</v>
      </c>
      <c r="D576" s="61" t="s">
        <v>83</v>
      </c>
      <c r="E576" s="62" t="s">
        <v>712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487</v>
      </c>
      <c r="D577" s="52" t="s">
        <v>84</v>
      </c>
      <c r="E577" s="60" t="s">
        <v>713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488</v>
      </c>
      <c r="D578" s="61" t="s">
        <v>120</v>
      </c>
      <c r="E578" s="62" t="s">
        <v>711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489</v>
      </c>
      <c r="D579" s="52" t="s">
        <v>84</v>
      </c>
      <c r="E579" s="60" t="s">
        <v>713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490</v>
      </c>
      <c r="D580" s="61" t="s">
        <v>84</v>
      </c>
      <c r="E580" s="62" t="s">
        <v>713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491</v>
      </c>
      <c r="D581" s="52" t="s">
        <v>84</v>
      </c>
      <c r="E581" s="60" t="s">
        <v>713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492</v>
      </c>
      <c r="D582" s="61" t="s">
        <v>84</v>
      </c>
      <c r="E582" s="62" t="s">
        <v>713</v>
      </c>
      <c r="F582" s="61">
        <v>1</v>
      </c>
    </row>
    <row r="583" spans="1:6" ht="14.25" customHeight="1">
      <c r="A583" s="52" t="s">
        <v>24</v>
      </c>
      <c r="B583" s="52" t="s">
        <v>514</v>
      </c>
      <c r="C583" s="52" t="s">
        <v>515</v>
      </c>
      <c r="D583" s="52" t="s">
        <v>79</v>
      </c>
      <c r="E583" s="60" t="s">
        <v>706</v>
      </c>
      <c r="F583" s="52">
        <v>2</v>
      </c>
    </row>
    <row r="584" spans="1:6" ht="14.25" customHeight="1">
      <c r="A584" s="61" t="s">
        <v>24</v>
      </c>
      <c r="B584" s="61" t="s">
        <v>516</v>
      </c>
      <c r="C584" s="61" t="s">
        <v>517</v>
      </c>
      <c r="D584" s="61" t="s">
        <v>79</v>
      </c>
      <c r="E584" s="62" t="s">
        <v>706</v>
      </c>
      <c r="F584" s="61">
        <v>2</v>
      </c>
    </row>
    <row r="585" spans="1:6" ht="14.25" customHeight="1">
      <c r="A585" s="52" t="s">
        <v>24</v>
      </c>
      <c r="B585" s="52" t="s">
        <v>518</v>
      </c>
      <c r="C585" s="52" t="s">
        <v>519</v>
      </c>
      <c r="D585" s="52" t="s">
        <v>79</v>
      </c>
      <c r="E585" s="60" t="s">
        <v>706</v>
      </c>
      <c r="F585" s="52">
        <v>2</v>
      </c>
    </row>
    <row r="586" spans="1:6" ht="14.25" customHeight="1">
      <c r="A586" s="61" t="s">
        <v>24</v>
      </c>
      <c r="B586" s="61" t="s">
        <v>520</v>
      </c>
      <c r="C586" s="61" t="s">
        <v>521</v>
      </c>
      <c r="D586" s="61" t="s">
        <v>79</v>
      </c>
      <c r="E586" s="62" t="s">
        <v>706</v>
      </c>
      <c r="F586" s="61">
        <v>1</v>
      </c>
    </row>
    <row r="587" spans="1:6" ht="14.25" customHeight="1">
      <c r="A587" s="52" t="s">
        <v>24</v>
      </c>
      <c r="B587" s="52" t="s">
        <v>502</v>
      </c>
      <c r="C587" s="52" t="s">
        <v>73</v>
      </c>
      <c r="D587" s="52" t="s">
        <v>74</v>
      </c>
      <c r="E587" s="60" t="s">
        <v>707</v>
      </c>
      <c r="F587" s="52">
        <v>1</v>
      </c>
    </row>
    <row r="588" spans="1:6" ht="14.25" customHeight="1">
      <c r="A588" s="61" t="s">
        <v>24</v>
      </c>
      <c r="B588" s="61" t="s">
        <v>502</v>
      </c>
      <c r="C588" s="61" t="s">
        <v>496</v>
      </c>
      <c r="D588" s="61" t="s">
        <v>79</v>
      </c>
      <c r="E588" s="62" t="s">
        <v>706</v>
      </c>
      <c r="F588" s="61">
        <v>2</v>
      </c>
    </row>
    <row r="589" spans="1:6" ht="14.25" customHeight="1">
      <c r="A589" s="52" t="s">
        <v>24</v>
      </c>
      <c r="B589" s="60" t="s">
        <v>493</v>
      </c>
      <c r="C589" s="52" t="s">
        <v>73</v>
      </c>
      <c r="D589" s="52" t="s">
        <v>74</v>
      </c>
      <c r="E589" s="60" t="s">
        <v>707</v>
      </c>
      <c r="F589" s="52">
        <v>5</v>
      </c>
    </row>
    <row r="590" spans="1:6" ht="14.25" customHeight="1">
      <c r="A590" s="61" t="s">
        <v>24</v>
      </c>
      <c r="B590" s="62" t="s">
        <v>493</v>
      </c>
      <c r="C590" s="61" t="s">
        <v>494</v>
      </c>
      <c r="D590" s="61" t="s">
        <v>79</v>
      </c>
      <c r="E590" s="62" t="s">
        <v>706</v>
      </c>
      <c r="F590" s="61">
        <v>3</v>
      </c>
    </row>
    <row r="591" spans="1:6" ht="14.25" customHeight="1">
      <c r="A591" s="52" t="s">
        <v>24</v>
      </c>
      <c r="B591" s="60" t="s">
        <v>493</v>
      </c>
      <c r="C591" s="52" t="s">
        <v>495</v>
      </c>
      <c r="D591" s="52" t="s">
        <v>84</v>
      </c>
      <c r="E591" s="60" t="s">
        <v>713</v>
      </c>
      <c r="F591" s="52">
        <v>2</v>
      </c>
    </row>
    <row r="592" spans="1:6" ht="14.25" customHeight="1">
      <c r="A592" s="61" t="s">
        <v>24</v>
      </c>
      <c r="B592" s="62" t="s">
        <v>493</v>
      </c>
      <c r="C592" s="61" t="s">
        <v>496</v>
      </c>
      <c r="D592" s="61" t="s">
        <v>118</v>
      </c>
      <c r="E592" s="62" t="s">
        <v>714</v>
      </c>
      <c r="F592" s="61">
        <v>2</v>
      </c>
    </row>
    <row r="593" spans="1:6" ht="14.25" customHeight="1">
      <c r="A593" s="52" t="s">
        <v>24</v>
      </c>
      <c r="B593" s="60" t="s">
        <v>493</v>
      </c>
      <c r="C593" s="52" t="s">
        <v>480</v>
      </c>
      <c r="D593" s="52" t="s">
        <v>79</v>
      </c>
      <c r="E593" s="60" t="s">
        <v>706</v>
      </c>
      <c r="F593" s="52">
        <v>4</v>
      </c>
    </row>
    <row r="594" spans="1:6" ht="14.25" customHeight="1">
      <c r="A594" s="61" t="s">
        <v>24</v>
      </c>
      <c r="B594" s="62" t="s">
        <v>493</v>
      </c>
      <c r="C594" s="61" t="s">
        <v>497</v>
      </c>
      <c r="D594" s="61" t="s">
        <v>84</v>
      </c>
      <c r="E594" s="62" t="s">
        <v>713</v>
      </c>
      <c r="F594" s="61">
        <v>1</v>
      </c>
    </row>
    <row r="595" spans="1:6" ht="14.25" customHeight="1">
      <c r="A595" s="52" t="s">
        <v>24</v>
      </c>
      <c r="B595" s="60" t="s">
        <v>493</v>
      </c>
      <c r="C595" s="60" t="s">
        <v>498</v>
      </c>
      <c r="D595" s="52" t="s">
        <v>84</v>
      </c>
      <c r="E595" s="60" t="s">
        <v>713</v>
      </c>
      <c r="F595" s="52">
        <v>2</v>
      </c>
    </row>
    <row r="596" spans="1:6" ht="14.25" customHeight="1">
      <c r="A596" s="61" t="s">
        <v>24</v>
      </c>
      <c r="B596" s="62" t="s">
        <v>493</v>
      </c>
      <c r="C596" s="62" t="s">
        <v>499</v>
      </c>
      <c r="D596" s="61" t="s">
        <v>84</v>
      </c>
      <c r="E596" s="62" t="s">
        <v>713</v>
      </c>
      <c r="F596" s="61">
        <v>2</v>
      </c>
    </row>
    <row r="597" spans="1:6" ht="14.25" customHeight="1">
      <c r="A597" s="52" t="s">
        <v>24</v>
      </c>
      <c r="B597" s="60" t="s">
        <v>493</v>
      </c>
      <c r="C597" s="60" t="s">
        <v>500</v>
      </c>
      <c r="D597" s="52" t="s">
        <v>79</v>
      </c>
      <c r="E597" s="60" t="s">
        <v>706</v>
      </c>
      <c r="F597" s="52">
        <v>2</v>
      </c>
    </row>
    <row r="598" spans="1:6" ht="14.25" customHeight="1">
      <c r="A598" s="61" t="s">
        <v>22</v>
      </c>
      <c r="B598" s="61" t="s">
        <v>405</v>
      </c>
      <c r="C598" s="61" t="s">
        <v>406</v>
      </c>
      <c r="D598" s="61" t="s">
        <v>83</v>
      </c>
      <c r="E598" s="62" t="s">
        <v>712</v>
      </c>
      <c r="F598" s="61">
        <v>3</v>
      </c>
    </row>
    <row r="599" spans="1:6" ht="14.25" customHeight="1">
      <c r="A599" s="52" t="s">
        <v>22</v>
      </c>
      <c r="B599" s="52" t="s">
        <v>405</v>
      </c>
      <c r="C599" s="52" t="s">
        <v>406</v>
      </c>
      <c r="D599" s="52" t="s">
        <v>79</v>
      </c>
      <c r="E599" s="60" t="s">
        <v>706</v>
      </c>
      <c r="F599" s="52">
        <v>17</v>
      </c>
    </row>
    <row r="600" spans="1:6" ht="14.25" customHeight="1">
      <c r="A600" s="61" t="s">
        <v>22</v>
      </c>
      <c r="B600" s="61" t="s">
        <v>405</v>
      </c>
      <c r="C600" s="61" t="s">
        <v>406</v>
      </c>
      <c r="D600" s="61" t="s">
        <v>76</v>
      </c>
      <c r="E600" s="62" t="s">
        <v>710</v>
      </c>
      <c r="F600" s="61">
        <v>4</v>
      </c>
    </row>
    <row r="601" spans="1:6" ht="14.25" customHeight="1">
      <c r="A601" s="52" t="s">
        <v>22</v>
      </c>
      <c r="B601" s="52" t="s">
        <v>405</v>
      </c>
      <c r="C601" s="52" t="s">
        <v>406</v>
      </c>
      <c r="D601" s="52" t="s">
        <v>84</v>
      </c>
      <c r="E601" s="60" t="s">
        <v>713</v>
      </c>
      <c r="F601" s="52">
        <v>12</v>
      </c>
    </row>
    <row r="602" spans="1:6" ht="14.25" customHeight="1">
      <c r="A602" s="61" t="s">
        <v>22</v>
      </c>
      <c r="B602" s="61" t="s">
        <v>405</v>
      </c>
      <c r="C602" s="61" t="s">
        <v>406</v>
      </c>
      <c r="D602" s="61" t="s">
        <v>118</v>
      </c>
      <c r="E602" s="62" t="s">
        <v>714</v>
      </c>
      <c r="F602" s="61">
        <v>1</v>
      </c>
    </row>
    <row r="603" spans="1:6" ht="14.25" customHeight="1">
      <c r="A603" s="52" t="s">
        <v>22</v>
      </c>
      <c r="B603" s="52" t="s">
        <v>405</v>
      </c>
      <c r="C603" s="52" t="s">
        <v>407</v>
      </c>
      <c r="D603" s="52" t="s">
        <v>79</v>
      </c>
      <c r="E603" s="60" t="s">
        <v>706</v>
      </c>
      <c r="F603" s="52">
        <v>1</v>
      </c>
    </row>
    <row r="604" spans="1:6" ht="14.25" customHeight="1">
      <c r="A604" s="61" t="s">
        <v>22</v>
      </c>
      <c r="B604" s="61" t="s">
        <v>405</v>
      </c>
      <c r="C604" s="61" t="s">
        <v>407</v>
      </c>
      <c r="D604" s="61" t="s">
        <v>84</v>
      </c>
      <c r="E604" s="62" t="s">
        <v>713</v>
      </c>
      <c r="F604" s="61">
        <v>1</v>
      </c>
    </row>
    <row r="605" spans="1:6" ht="14.25" customHeight="1">
      <c r="A605" s="52" t="s">
        <v>22</v>
      </c>
      <c r="B605" s="52" t="s">
        <v>401</v>
      </c>
      <c r="C605" s="52" t="s">
        <v>402</v>
      </c>
      <c r="D605" s="52" t="s">
        <v>83</v>
      </c>
      <c r="E605" s="60" t="s">
        <v>712</v>
      </c>
      <c r="F605" s="52">
        <v>3</v>
      </c>
    </row>
    <row r="606" spans="1:6" ht="14.25" customHeight="1">
      <c r="A606" s="61" t="s">
        <v>22</v>
      </c>
      <c r="B606" s="61" t="s">
        <v>401</v>
      </c>
      <c r="C606" s="61" t="s">
        <v>402</v>
      </c>
      <c r="D606" s="61" t="s">
        <v>79</v>
      </c>
      <c r="E606" s="62" t="s">
        <v>706</v>
      </c>
      <c r="F606" s="61">
        <v>23</v>
      </c>
    </row>
    <row r="607" spans="1:6" ht="14.25" customHeight="1">
      <c r="A607" s="52" t="s">
        <v>22</v>
      </c>
      <c r="B607" s="52" t="s">
        <v>401</v>
      </c>
      <c r="C607" s="52" t="s">
        <v>402</v>
      </c>
      <c r="D607" s="52" t="s">
        <v>76</v>
      </c>
      <c r="E607" s="60" t="s">
        <v>710</v>
      </c>
      <c r="F607" s="52">
        <v>3</v>
      </c>
    </row>
    <row r="608" spans="1:6" ht="14.25" customHeight="1">
      <c r="A608" s="61" t="s">
        <v>22</v>
      </c>
      <c r="B608" s="61" t="s">
        <v>401</v>
      </c>
      <c r="C608" s="61" t="s">
        <v>402</v>
      </c>
      <c r="D608" s="61" t="s">
        <v>84</v>
      </c>
      <c r="E608" s="62" t="s">
        <v>713</v>
      </c>
      <c r="F608" s="61">
        <v>9</v>
      </c>
    </row>
    <row r="609" spans="1:6" ht="14.25" customHeight="1">
      <c r="A609" s="52" t="s">
        <v>22</v>
      </c>
      <c r="B609" s="52" t="s">
        <v>401</v>
      </c>
      <c r="C609" s="52" t="s">
        <v>402</v>
      </c>
      <c r="D609" s="52" t="s">
        <v>118</v>
      </c>
      <c r="E609" s="60" t="s">
        <v>714</v>
      </c>
      <c r="F609" s="52">
        <v>1</v>
      </c>
    </row>
    <row r="610" spans="1:6" ht="14.25" customHeight="1">
      <c r="A610" s="61" t="s">
        <v>22</v>
      </c>
      <c r="B610" s="61" t="s">
        <v>401</v>
      </c>
      <c r="C610" s="61" t="s">
        <v>403</v>
      </c>
      <c r="D610" s="61" t="s">
        <v>79</v>
      </c>
      <c r="E610" s="62" t="s">
        <v>706</v>
      </c>
      <c r="F610" s="61">
        <v>1</v>
      </c>
    </row>
    <row r="611" spans="1:6" ht="14.25" customHeight="1">
      <c r="A611" s="52" t="s">
        <v>22</v>
      </c>
      <c r="B611" s="52" t="s">
        <v>401</v>
      </c>
      <c r="C611" s="52" t="s">
        <v>403</v>
      </c>
      <c r="D611" s="52" t="s">
        <v>84</v>
      </c>
      <c r="E611" s="60" t="s">
        <v>713</v>
      </c>
      <c r="F611" s="52">
        <v>1</v>
      </c>
    </row>
    <row r="612" spans="1:6" ht="14.25" customHeight="1">
      <c r="A612" s="61" t="s">
        <v>22</v>
      </c>
      <c r="B612" s="61" t="s">
        <v>401</v>
      </c>
      <c r="C612" s="61" t="s">
        <v>404</v>
      </c>
      <c r="D612" s="61" t="s">
        <v>79</v>
      </c>
      <c r="E612" s="62" t="s">
        <v>706</v>
      </c>
      <c r="F612" s="61">
        <v>2</v>
      </c>
    </row>
    <row r="613" spans="1:6" ht="14.25" customHeight="1">
      <c r="A613" s="52" t="s">
        <v>22</v>
      </c>
      <c r="B613" s="52" t="s">
        <v>401</v>
      </c>
      <c r="C613" s="52" t="s">
        <v>404</v>
      </c>
      <c r="D613" s="52" t="s">
        <v>84</v>
      </c>
      <c r="E613" s="60" t="s">
        <v>713</v>
      </c>
      <c r="F613" s="52">
        <v>1</v>
      </c>
    </row>
    <row r="614" spans="1:6" ht="14.25" customHeight="1">
      <c r="A614" s="61" t="s">
        <v>22</v>
      </c>
      <c r="B614" s="61" t="s">
        <v>411</v>
      </c>
      <c r="C614" s="61" t="s">
        <v>22</v>
      </c>
      <c r="D614" s="61" t="s">
        <v>126</v>
      </c>
      <c r="E614" s="62" t="s">
        <v>708</v>
      </c>
      <c r="F614" s="61">
        <v>2</v>
      </c>
    </row>
    <row r="615" spans="1:6" ht="14.25" customHeight="1">
      <c r="A615" s="52" t="s">
        <v>22</v>
      </c>
      <c r="B615" s="52" t="s">
        <v>411</v>
      </c>
      <c r="C615" s="52" t="s">
        <v>22</v>
      </c>
      <c r="D615" s="52" t="s">
        <v>129</v>
      </c>
      <c r="E615" s="60" t="s">
        <v>709</v>
      </c>
      <c r="F615" s="52">
        <v>2</v>
      </c>
    </row>
    <row r="616" spans="1:6" ht="14.25" customHeight="1">
      <c r="A616" s="61" t="s">
        <v>22</v>
      </c>
      <c r="B616" s="62" t="s">
        <v>408</v>
      </c>
      <c r="C616" s="62" t="s">
        <v>409</v>
      </c>
      <c r="D616" s="61" t="s">
        <v>79</v>
      </c>
      <c r="E616" s="62" t="s">
        <v>706</v>
      </c>
      <c r="F616" s="61">
        <v>1</v>
      </c>
    </row>
    <row r="617" spans="1:6" ht="14.25" customHeight="1">
      <c r="A617" s="52" t="s">
        <v>22</v>
      </c>
      <c r="B617" s="60" t="s">
        <v>408</v>
      </c>
      <c r="C617" s="60" t="s">
        <v>409</v>
      </c>
      <c r="D617" s="52" t="s">
        <v>84</v>
      </c>
      <c r="E617" s="60" t="s">
        <v>713</v>
      </c>
      <c r="F617" s="52">
        <v>2</v>
      </c>
    </row>
    <row r="618" spans="1:6" ht="14.25" customHeight="1">
      <c r="A618" s="61" t="s">
        <v>22</v>
      </c>
      <c r="B618" s="62" t="s">
        <v>408</v>
      </c>
      <c r="C618" s="62" t="s">
        <v>410</v>
      </c>
      <c r="D618" s="61" t="s">
        <v>79</v>
      </c>
      <c r="E618" s="62" t="s">
        <v>706</v>
      </c>
      <c r="F618" s="61">
        <v>2</v>
      </c>
    </row>
    <row r="619" spans="1:6" ht="14.25" customHeight="1">
      <c r="A619" s="52" t="s">
        <v>22</v>
      </c>
      <c r="B619" s="60" t="s">
        <v>408</v>
      </c>
      <c r="C619" s="60" t="s">
        <v>410</v>
      </c>
      <c r="D619" s="52" t="s">
        <v>84</v>
      </c>
      <c r="E619" s="60" t="s">
        <v>713</v>
      </c>
      <c r="F619" s="52">
        <v>1</v>
      </c>
    </row>
    <row r="620" spans="1:6" ht="14.25" customHeight="1">
      <c r="A620" s="61" t="s">
        <v>22</v>
      </c>
      <c r="B620" s="62" t="s">
        <v>408</v>
      </c>
      <c r="C620" s="62" t="s">
        <v>410</v>
      </c>
      <c r="D620" s="61" t="s">
        <v>118</v>
      </c>
      <c r="E620" s="62" t="s">
        <v>714</v>
      </c>
      <c r="F620" s="61">
        <v>2</v>
      </c>
    </row>
    <row r="621" spans="1:6" ht="14.25" customHeight="1">
      <c r="A621" s="52" t="s">
        <v>22</v>
      </c>
      <c r="B621" s="60" t="s">
        <v>344</v>
      </c>
      <c r="C621" s="52" t="s">
        <v>73</v>
      </c>
      <c r="D621" s="52" t="s">
        <v>74</v>
      </c>
      <c r="E621" s="60" t="s">
        <v>707</v>
      </c>
      <c r="F621" s="52">
        <v>44</v>
      </c>
    </row>
    <row r="622" spans="1:6" ht="14.25" customHeight="1">
      <c r="A622" s="61" t="s">
        <v>22</v>
      </c>
      <c r="B622" s="62" t="s">
        <v>344</v>
      </c>
      <c r="C622" s="61" t="s">
        <v>345</v>
      </c>
      <c r="D622" s="61" t="s">
        <v>79</v>
      </c>
      <c r="E622" s="62" t="s">
        <v>706</v>
      </c>
      <c r="F622" s="61">
        <v>3</v>
      </c>
    </row>
    <row r="623" spans="1:6" ht="14.25" customHeight="1">
      <c r="A623" s="52" t="s">
        <v>22</v>
      </c>
      <c r="B623" s="60" t="s">
        <v>344</v>
      </c>
      <c r="C623" s="52" t="s">
        <v>345</v>
      </c>
      <c r="D623" s="52" t="s">
        <v>84</v>
      </c>
      <c r="E623" s="60" t="s">
        <v>713</v>
      </c>
      <c r="F623" s="52">
        <v>2</v>
      </c>
    </row>
    <row r="624" spans="1:6" ht="14.25" customHeight="1">
      <c r="A624" s="61" t="s">
        <v>22</v>
      </c>
      <c r="B624" s="62" t="s">
        <v>344</v>
      </c>
      <c r="C624" s="61" t="s">
        <v>346</v>
      </c>
      <c r="D624" s="61" t="s">
        <v>79</v>
      </c>
      <c r="E624" s="62" t="s">
        <v>706</v>
      </c>
      <c r="F624" s="61">
        <v>3</v>
      </c>
    </row>
    <row r="625" spans="1:6" ht="14.25" customHeight="1">
      <c r="A625" s="52" t="s">
        <v>22</v>
      </c>
      <c r="B625" s="60" t="s">
        <v>344</v>
      </c>
      <c r="C625" s="52" t="s">
        <v>346</v>
      </c>
      <c r="D625" s="52" t="s">
        <v>84</v>
      </c>
      <c r="E625" s="60" t="s">
        <v>713</v>
      </c>
      <c r="F625" s="52">
        <v>3</v>
      </c>
    </row>
    <row r="626" spans="1:6" ht="14.25" customHeight="1">
      <c r="A626" s="61" t="s">
        <v>22</v>
      </c>
      <c r="B626" s="62" t="s">
        <v>344</v>
      </c>
      <c r="C626" s="61" t="s">
        <v>347</v>
      </c>
      <c r="D626" s="61" t="s">
        <v>79</v>
      </c>
      <c r="E626" s="62" t="s">
        <v>706</v>
      </c>
      <c r="F626" s="61">
        <v>3</v>
      </c>
    </row>
    <row r="627" spans="1:6" ht="14.25" customHeight="1">
      <c r="A627" s="52" t="s">
        <v>22</v>
      </c>
      <c r="B627" s="60" t="s">
        <v>344</v>
      </c>
      <c r="C627" s="52" t="s">
        <v>347</v>
      </c>
      <c r="D627" s="52" t="s">
        <v>84</v>
      </c>
      <c r="E627" s="60" t="s">
        <v>713</v>
      </c>
      <c r="F627" s="52">
        <v>3</v>
      </c>
    </row>
    <row r="628" spans="1:6" ht="14.25" customHeight="1">
      <c r="A628" s="61" t="s">
        <v>22</v>
      </c>
      <c r="B628" s="62" t="s">
        <v>344</v>
      </c>
      <c r="C628" s="61" t="s">
        <v>348</v>
      </c>
      <c r="D628" s="61" t="s">
        <v>79</v>
      </c>
      <c r="E628" s="62" t="s">
        <v>706</v>
      </c>
      <c r="F628" s="61">
        <v>3</v>
      </c>
    </row>
    <row r="629" spans="1:6" ht="14.25" customHeight="1">
      <c r="A629" s="52" t="s">
        <v>22</v>
      </c>
      <c r="B629" s="60" t="s">
        <v>344</v>
      </c>
      <c r="C629" s="52" t="s">
        <v>348</v>
      </c>
      <c r="D629" s="52" t="s">
        <v>84</v>
      </c>
      <c r="E629" s="60" t="s">
        <v>713</v>
      </c>
      <c r="F629" s="52">
        <v>3</v>
      </c>
    </row>
    <row r="630" spans="1:6" ht="14.25" customHeight="1">
      <c r="A630" s="61" t="s">
        <v>22</v>
      </c>
      <c r="B630" s="62" t="s">
        <v>344</v>
      </c>
      <c r="C630" s="61" t="s">
        <v>349</v>
      </c>
      <c r="D630" s="61" t="s">
        <v>79</v>
      </c>
      <c r="E630" s="62" t="s">
        <v>706</v>
      </c>
      <c r="F630" s="61">
        <v>3</v>
      </c>
    </row>
    <row r="631" spans="1:6" ht="14.25" customHeight="1">
      <c r="A631" s="52" t="s">
        <v>22</v>
      </c>
      <c r="B631" s="60" t="s">
        <v>344</v>
      </c>
      <c r="C631" s="52" t="s">
        <v>349</v>
      </c>
      <c r="D631" s="52" t="s">
        <v>84</v>
      </c>
      <c r="E631" s="60" t="s">
        <v>713</v>
      </c>
      <c r="F631" s="52">
        <v>3</v>
      </c>
    </row>
    <row r="632" spans="1:6" ht="14.25" customHeight="1">
      <c r="A632" s="61" t="s">
        <v>22</v>
      </c>
      <c r="B632" s="62" t="s">
        <v>344</v>
      </c>
      <c r="C632" s="61" t="s">
        <v>350</v>
      </c>
      <c r="D632" s="61" t="s">
        <v>79</v>
      </c>
      <c r="E632" s="62" t="s">
        <v>706</v>
      </c>
      <c r="F632" s="61">
        <v>3</v>
      </c>
    </row>
    <row r="633" spans="1:6" ht="14.25" customHeight="1">
      <c r="A633" s="52" t="s">
        <v>22</v>
      </c>
      <c r="B633" s="60" t="s">
        <v>344</v>
      </c>
      <c r="C633" s="52" t="s">
        <v>350</v>
      </c>
      <c r="D633" s="52" t="s">
        <v>84</v>
      </c>
      <c r="E633" s="60" t="s">
        <v>713</v>
      </c>
      <c r="F633" s="52">
        <v>3</v>
      </c>
    </row>
    <row r="634" spans="1:6" ht="14.25" customHeight="1">
      <c r="A634" s="61" t="s">
        <v>22</v>
      </c>
      <c r="B634" s="62" t="s">
        <v>344</v>
      </c>
      <c r="C634" s="61" t="s">
        <v>351</v>
      </c>
      <c r="D634" s="61" t="s">
        <v>79</v>
      </c>
      <c r="E634" s="62" t="s">
        <v>706</v>
      </c>
      <c r="F634" s="61">
        <v>3</v>
      </c>
    </row>
    <row r="635" spans="1:6" ht="14.25" customHeight="1">
      <c r="A635" s="52" t="s">
        <v>22</v>
      </c>
      <c r="B635" s="60" t="s">
        <v>344</v>
      </c>
      <c r="C635" s="52" t="s">
        <v>351</v>
      </c>
      <c r="D635" s="52" t="s">
        <v>84</v>
      </c>
      <c r="E635" s="60" t="s">
        <v>713</v>
      </c>
      <c r="F635" s="52">
        <v>3</v>
      </c>
    </row>
    <row r="636" spans="1:6" ht="14.25" customHeight="1">
      <c r="A636" s="61" t="s">
        <v>22</v>
      </c>
      <c r="B636" s="62" t="s">
        <v>344</v>
      </c>
      <c r="C636" s="61" t="s">
        <v>352</v>
      </c>
      <c r="D636" s="61" t="s">
        <v>79</v>
      </c>
      <c r="E636" s="62" t="s">
        <v>706</v>
      </c>
      <c r="F636" s="61">
        <v>3</v>
      </c>
    </row>
    <row r="637" spans="1:6" ht="14.25" customHeight="1">
      <c r="A637" s="52" t="s">
        <v>22</v>
      </c>
      <c r="B637" s="60" t="s">
        <v>344</v>
      </c>
      <c r="C637" s="52" t="s">
        <v>352</v>
      </c>
      <c r="D637" s="52" t="s">
        <v>84</v>
      </c>
      <c r="E637" s="60" t="s">
        <v>713</v>
      </c>
      <c r="F637" s="52">
        <v>3</v>
      </c>
    </row>
    <row r="638" spans="1:6" ht="14.25" customHeight="1">
      <c r="A638" s="61" t="s">
        <v>22</v>
      </c>
      <c r="B638" s="62" t="s">
        <v>344</v>
      </c>
      <c r="C638" s="61" t="s">
        <v>353</v>
      </c>
      <c r="D638" s="61" t="s">
        <v>79</v>
      </c>
      <c r="E638" s="62" t="s">
        <v>706</v>
      </c>
      <c r="F638" s="61">
        <v>3</v>
      </c>
    </row>
    <row r="639" spans="1:6" ht="14.25" customHeight="1">
      <c r="A639" s="52" t="s">
        <v>22</v>
      </c>
      <c r="B639" s="60" t="s">
        <v>344</v>
      </c>
      <c r="C639" s="52" t="s">
        <v>353</v>
      </c>
      <c r="D639" s="52" t="s">
        <v>84</v>
      </c>
      <c r="E639" s="60" t="s">
        <v>713</v>
      </c>
      <c r="F639" s="52">
        <v>3</v>
      </c>
    </row>
    <row r="640" spans="1:6" ht="14.25" customHeight="1">
      <c r="A640" s="61" t="s">
        <v>22</v>
      </c>
      <c r="B640" s="62" t="s">
        <v>344</v>
      </c>
      <c r="C640" s="61" t="s">
        <v>354</v>
      </c>
      <c r="D640" s="61" t="s">
        <v>79</v>
      </c>
      <c r="E640" s="62" t="s">
        <v>706</v>
      </c>
      <c r="F640" s="61">
        <v>3</v>
      </c>
    </row>
    <row r="641" spans="1:6" ht="14.25" customHeight="1">
      <c r="A641" s="52" t="s">
        <v>22</v>
      </c>
      <c r="B641" s="60" t="s">
        <v>344</v>
      </c>
      <c r="C641" s="52" t="s">
        <v>354</v>
      </c>
      <c r="D641" s="52" t="s">
        <v>84</v>
      </c>
      <c r="E641" s="60" t="s">
        <v>713</v>
      </c>
      <c r="F641" s="52">
        <v>3</v>
      </c>
    </row>
    <row r="642" spans="1:6" ht="14.25" customHeight="1">
      <c r="A642" s="61" t="s">
        <v>22</v>
      </c>
      <c r="B642" s="62" t="s">
        <v>344</v>
      </c>
      <c r="C642" s="61" t="s">
        <v>355</v>
      </c>
      <c r="D642" s="61" t="s">
        <v>79</v>
      </c>
      <c r="E642" s="62" t="s">
        <v>706</v>
      </c>
      <c r="F642" s="61">
        <v>1</v>
      </c>
    </row>
    <row r="643" spans="1:6" ht="14.25" customHeight="1">
      <c r="A643" s="52" t="s">
        <v>22</v>
      </c>
      <c r="B643" s="60" t="s">
        <v>344</v>
      </c>
      <c r="C643" s="52" t="s">
        <v>355</v>
      </c>
      <c r="D643" s="52" t="s">
        <v>84</v>
      </c>
      <c r="E643" s="60" t="s">
        <v>713</v>
      </c>
      <c r="F643" s="52">
        <v>1</v>
      </c>
    </row>
    <row r="644" spans="1:6" ht="14.25" customHeight="1">
      <c r="A644" s="61" t="s">
        <v>22</v>
      </c>
      <c r="B644" s="62" t="s">
        <v>344</v>
      </c>
      <c r="C644" s="61" t="s">
        <v>356</v>
      </c>
      <c r="D644" s="61" t="s">
        <v>79</v>
      </c>
      <c r="E644" s="62" t="s">
        <v>706</v>
      </c>
      <c r="F644" s="61">
        <v>1</v>
      </c>
    </row>
    <row r="645" spans="1:6" ht="14.25" customHeight="1">
      <c r="A645" s="52" t="s">
        <v>22</v>
      </c>
      <c r="B645" s="60" t="s">
        <v>344</v>
      </c>
      <c r="C645" s="52" t="s">
        <v>356</v>
      </c>
      <c r="D645" s="52" t="s">
        <v>84</v>
      </c>
      <c r="E645" s="60" t="s">
        <v>713</v>
      </c>
      <c r="F645" s="52">
        <v>1</v>
      </c>
    </row>
    <row r="646" spans="1:6" ht="14.25" customHeight="1">
      <c r="A646" s="61" t="s">
        <v>22</v>
      </c>
      <c r="B646" s="62" t="s">
        <v>344</v>
      </c>
      <c r="C646" s="61" t="s">
        <v>356</v>
      </c>
      <c r="D646" s="61" t="s">
        <v>118</v>
      </c>
      <c r="E646" s="62" t="s">
        <v>714</v>
      </c>
      <c r="F646" s="61">
        <v>1</v>
      </c>
    </row>
    <row r="647" spans="1:6" ht="14.25" customHeight="1">
      <c r="A647" s="52" t="s">
        <v>22</v>
      </c>
      <c r="B647" s="60" t="s">
        <v>344</v>
      </c>
      <c r="C647" s="52" t="s">
        <v>357</v>
      </c>
      <c r="D647" s="52" t="s">
        <v>79</v>
      </c>
      <c r="E647" s="60" t="s">
        <v>706</v>
      </c>
      <c r="F647" s="52">
        <v>2</v>
      </c>
    </row>
    <row r="648" spans="1:6" ht="14.25" customHeight="1">
      <c r="A648" s="61" t="s">
        <v>22</v>
      </c>
      <c r="B648" s="62" t="s">
        <v>344</v>
      </c>
      <c r="C648" s="61" t="s">
        <v>357</v>
      </c>
      <c r="D648" s="61" t="s">
        <v>79</v>
      </c>
      <c r="E648" s="62" t="s">
        <v>706</v>
      </c>
      <c r="F648" s="61">
        <v>1</v>
      </c>
    </row>
    <row r="649" spans="1:6" ht="14.25" customHeight="1">
      <c r="A649" s="52" t="s">
        <v>22</v>
      </c>
      <c r="B649" s="60" t="s">
        <v>344</v>
      </c>
      <c r="C649" s="52" t="s">
        <v>357</v>
      </c>
      <c r="D649" s="52" t="s">
        <v>84</v>
      </c>
      <c r="E649" s="60" t="s">
        <v>713</v>
      </c>
      <c r="F649" s="52">
        <v>1</v>
      </c>
    </row>
    <row r="650" spans="1:6" ht="14.25" customHeight="1">
      <c r="A650" s="61" t="s">
        <v>22</v>
      </c>
      <c r="B650" s="62" t="s">
        <v>344</v>
      </c>
      <c r="C650" s="61" t="s">
        <v>357</v>
      </c>
      <c r="D650" s="61" t="s">
        <v>120</v>
      </c>
      <c r="E650" s="62" t="s">
        <v>711</v>
      </c>
      <c r="F650" s="61">
        <v>1</v>
      </c>
    </row>
    <row r="651" spans="1:6" ht="14.25" customHeight="1">
      <c r="A651" s="52" t="s">
        <v>22</v>
      </c>
      <c r="B651" s="60" t="s">
        <v>344</v>
      </c>
      <c r="C651" s="52" t="s">
        <v>357</v>
      </c>
      <c r="D651" s="52" t="s">
        <v>118</v>
      </c>
      <c r="E651" s="60" t="s">
        <v>714</v>
      </c>
      <c r="F651" s="52">
        <v>1</v>
      </c>
    </row>
    <row r="652" spans="1:6" ht="14.25" customHeight="1">
      <c r="A652" s="61" t="s">
        <v>22</v>
      </c>
      <c r="B652" s="62" t="s">
        <v>344</v>
      </c>
      <c r="C652" s="61" t="s">
        <v>358</v>
      </c>
      <c r="D652" s="61" t="s">
        <v>79</v>
      </c>
      <c r="E652" s="62" t="s">
        <v>706</v>
      </c>
      <c r="F652" s="61">
        <v>1</v>
      </c>
    </row>
    <row r="653" spans="1:6" ht="14.25" customHeight="1">
      <c r="A653" s="52" t="s">
        <v>22</v>
      </c>
      <c r="B653" s="60" t="s">
        <v>344</v>
      </c>
      <c r="C653" s="52" t="s">
        <v>358</v>
      </c>
      <c r="D653" s="52" t="s">
        <v>84</v>
      </c>
      <c r="E653" s="60" t="s">
        <v>713</v>
      </c>
      <c r="F653" s="52">
        <v>1</v>
      </c>
    </row>
    <row r="654" spans="1:6" ht="14.25" customHeight="1">
      <c r="A654" s="61" t="s">
        <v>22</v>
      </c>
      <c r="B654" s="62" t="s">
        <v>344</v>
      </c>
      <c r="C654" s="61" t="s">
        <v>358</v>
      </c>
      <c r="D654" s="61" t="s">
        <v>120</v>
      </c>
      <c r="E654" s="62" t="s">
        <v>711</v>
      </c>
      <c r="F654" s="61">
        <v>1</v>
      </c>
    </row>
    <row r="655" spans="1:6" ht="14.25" customHeight="1">
      <c r="A655" s="52" t="s">
        <v>22</v>
      </c>
      <c r="B655" s="60" t="s">
        <v>344</v>
      </c>
      <c r="C655" s="52" t="s">
        <v>358</v>
      </c>
      <c r="D655" s="52" t="s">
        <v>118</v>
      </c>
      <c r="E655" s="60" t="s">
        <v>714</v>
      </c>
      <c r="F655" s="52">
        <v>1</v>
      </c>
    </row>
    <row r="656" spans="1:6" ht="14.25" customHeight="1">
      <c r="A656" s="61" t="s">
        <v>22</v>
      </c>
      <c r="B656" s="62" t="s">
        <v>344</v>
      </c>
      <c r="C656" s="61" t="s">
        <v>359</v>
      </c>
      <c r="D656" s="61" t="s">
        <v>79</v>
      </c>
      <c r="E656" s="62" t="s">
        <v>706</v>
      </c>
      <c r="F656" s="61">
        <v>1</v>
      </c>
    </row>
    <row r="657" spans="1:6" ht="14.25" customHeight="1">
      <c r="A657" s="52" t="s">
        <v>22</v>
      </c>
      <c r="B657" s="60" t="s">
        <v>344</v>
      </c>
      <c r="C657" s="52" t="s">
        <v>359</v>
      </c>
      <c r="D657" s="52" t="s">
        <v>84</v>
      </c>
      <c r="E657" s="60" t="s">
        <v>713</v>
      </c>
      <c r="F657" s="52">
        <v>1</v>
      </c>
    </row>
    <row r="658" spans="1:6" ht="14.25" customHeight="1">
      <c r="A658" s="61" t="s">
        <v>22</v>
      </c>
      <c r="B658" s="62" t="s">
        <v>344</v>
      </c>
      <c r="C658" s="61" t="s">
        <v>359</v>
      </c>
      <c r="D658" s="61" t="s">
        <v>120</v>
      </c>
      <c r="E658" s="62" t="s">
        <v>711</v>
      </c>
      <c r="F658" s="61">
        <v>1</v>
      </c>
    </row>
    <row r="659" spans="1:6" ht="14.25" customHeight="1">
      <c r="A659" s="52" t="s">
        <v>22</v>
      </c>
      <c r="B659" s="60" t="s">
        <v>344</v>
      </c>
      <c r="C659" s="52" t="s">
        <v>360</v>
      </c>
      <c r="D659" s="52" t="s">
        <v>79</v>
      </c>
      <c r="E659" s="60" t="s">
        <v>706</v>
      </c>
      <c r="F659" s="52">
        <v>1</v>
      </c>
    </row>
    <row r="660" spans="1:6" ht="14.25" customHeight="1">
      <c r="A660" s="61" t="s">
        <v>22</v>
      </c>
      <c r="B660" s="62" t="s">
        <v>344</v>
      </c>
      <c r="C660" s="61" t="s">
        <v>360</v>
      </c>
      <c r="D660" s="61" t="s">
        <v>84</v>
      </c>
      <c r="E660" s="62" t="s">
        <v>713</v>
      </c>
      <c r="F660" s="61">
        <v>1</v>
      </c>
    </row>
    <row r="661" spans="1:6" ht="14.25" customHeight="1">
      <c r="A661" s="52" t="s">
        <v>22</v>
      </c>
      <c r="B661" s="60" t="s">
        <v>344</v>
      </c>
      <c r="C661" s="52" t="s">
        <v>361</v>
      </c>
      <c r="D661" s="52" t="s">
        <v>79</v>
      </c>
      <c r="E661" s="60" t="s">
        <v>706</v>
      </c>
      <c r="F661" s="52">
        <v>1</v>
      </c>
    </row>
    <row r="662" spans="1:6" ht="14.25" customHeight="1">
      <c r="A662" s="61" t="s">
        <v>22</v>
      </c>
      <c r="B662" s="62" t="s">
        <v>344</v>
      </c>
      <c r="C662" s="61" t="s">
        <v>361</v>
      </c>
      <c r="D662" s="61" t="s">
        <v>84</v>
      </c>
      <c r="E662" s="62" t="s">
        <v>713</v>
      </c>
      <c r="F662" s="61">
        <v>1</v>
      </c>
    </row>
    <row r="663" spans="1:6" ht="14.25" customHeight="1">
      <c r="A663" s="52" t="s">
        <v>22</v>
      </c>
      <c r="B663" s="60" t="s">
        <v>344</v>
      </c>
      <c r="C663" s="52" t="s">
        <v>361</v>
      </c>
      <c r="D663" s="52" t="s">
        <v>120</v>
      </c>
      <c r="E663" s="60" t="s">
        <v>711</v>
      </c>
      <c r="F663" s="52">
        <v>1</v>
      </c>
    </row>
    <row r="664" spans="1:6" ht="14.25" customHeight="1">
      <c r="A664" s="61" t="s">
        <v>22</v>
      </c>
      <c r="B664" s="62" t="s">
        <v>344</v>
      </c>
      <c r="C664" s="61" t="s">
        <v>362</v>
      </c>
      <c r="D664" s="61" t="s">
        <v>79</v>
      </c>
      <c r="E664" s="62" t="s">
        <v>706</v>
      </c>
      <c r="F664" s="61">
        <v>4</v>
      </c>
    </row>
    <row r="665" spans="1:6" ht="14.25" customHeight="1">
      <c r="A665" s="52" t="s">
        <v>22</v>
      </c>
      <c r="B665" s="60" t="s">
        <v>344</v>
      </c>
      <c r="C665" s="52" t="s">
        <v>362</v>
      </c>
      <c r="D665" s="52" t="s">
        <v>84</v>
      </c>
      <c r="E665" s="60" t="s">
        <v>713</v>
      </c>
      <c r="F665" s="52">
        <v>3</v>
      </c>
    </row>
    <row r="666" spans="1:6" ht="14.25" customHeight="1">
      <c r="A666" s="61" t="s">
        <v>22</v>
      </c>
      <c r="B666" s="62" t="s">
        <v>344</v>
      </c>
      <c r="C666" s="61" t="s">
        <v>362</v>
      </c>
      <c r="D666" s="61" t="s">
        <v>120</v>
      </c>
      <c r="E666" s="62" t="s">
        <v>711</v>
      </c>
      <c r="F666" s="61">
        <v>2</v>
      </c>
    </row>
    <row r="667" spans="1:6" ht="14.25" customHeight="1">
      <c r="A667" s="52" t="s">
        <v>22</v>
      </c>
      <c r="B667" s="60" t="s">
        <v>344</v>
      </c>
      <c r="C667" s="52" t="s">
        <v>363</v>
      </c>
      <c r="D667" s="52" t="s">
        <v>79</v>
      </c>
      <c r="E667" s="60" t="s">
        <v>706</v>
      </c>
      <c r="F667" s="52">
        <v>3</v>
      </c>
    </row>
    <row r="668" spans="1:6" ht="14.25" customHeight="1">
      <c r="A668" s="61" t="s">
        <v>22</v>
      </c>
      <c r="B668" s="62" t="s">
        <v>344</v>
      </c>
      <c r="C668" s="61" t="s">
        <v>363</v>
      </c>
      <c r="D668" s="61" t="s">
        <v>84</v>
      </c>
      <c r="E668" s="62" t="s">
        <v>713</v>
      </c>
      <c r="F668" s="61">
        <v>1</v>
      </c>
    </row>
    <row r="669" spans="1:6" ht="14.25" customHeight="1">
      <c r="A669" s="52" t="s">
        <v>22</v>
      </c>
      <c r="B669" s="60" t="s">
        <v>344</v>
      </c>
      <c r="C669" s="52" t="s">
        <v>363</v>
      </c>
      <c r="D669" s="52" t="s">
        <v>120</v>
      </c>
      <c r="E669" s="60" t="s">
        <v>711</v>
      </c>
      <c r="F669" s="52">
        <v>1</v>
      </c>
    </row>
    <row r="670" spans="1:6" ht="14.25" customHeight="1">
      <c r="A670" s="61" t="s">
        <v>22</v>
      </c>
      <c r="B670" s="62" t="s">
        <v>344</v>
      </c>
      <c r="C670" s="61" t="s">
        <v>363</v>
      </c>
      <c r="D670" s="61" t="s">
        <v>118</v>
      </c>
      <c r="E670" s="62" t="s">
        <v>714</v>
      </c>
      <c r="F670" s="61">
        <v>1</v>
      </c>
    </row>
    <row r="671" spans="1:6" ht="14.25" customHeight="1">
      <c r="A671" s="52" t="s">
        <v>22</v>
      </c>
      <c r="B671" s="60" t="s">
        <v>344</v>
      </c>
      <c r="C671" s="52" t="s">
        <v>364</v>
      </c>
      <c r="D671" s="52" t="s">
        <v>79</v>
      </c>
      <c r="E671" s="60" t="s">
        <v>706</v>
      </c>
      <c r="F671" s="52">
        <v>2</v>
      </c>
    </row>
    <row r="672" spans="1:6" ht="14.25" customHeight="1">
      <c r="A672" s="61" t="s">
        <v>22</v>
      </c>
      <c r="B672" s="62" t="s">
        <v>344</v>
      </c>
      <c r="C672" s="61" t="s">
        <v>364</v>
      </c>
      <c r="D672" s="61" t="s">
        <v>79</v>
      </c>
      <c r="E672" s="62" t="s">
        <v>706</v>
      </c>
      <c r="F672" s="61">
        <v>1</v>
      </c>
    </row>
    <row r="673" spans="1:6" ht="14.25" customHeight="1">
      <c r="A673" s="52" t="s">
        <v>22</v>
      </c>
      <c r="B673" s="60" t="s">
        <v>344</v>
      </c>
      <c r="C673" s="52" t="s">
        <v>364</v>
      </c>
      <c r="D673" s="52" t="s">
        <v>84</v>
      </c>
      <c r="E673" s="60" t="s">
        <v>713</v>
      </c>
      <c r="F673" s="52">
        <v>2</v>
      </c>
    </row>
    <row r="674" spans="1:6" ht="14.25" customHeight="1">
      <c r="A674" s="61" t="s">
        <v>22</v>
      </c>
      <c r="B674" s="62" t="s">
        <v>344</v>
      </c>
      <c r="C674" s="61" t="s">
        <v>364</v>
      </c>
      <c r="D674" s="61" t="s">
        <v>120</v>
      </c>
      <c r="E674" s="62" t="s">
        <v>711</v>
      </c>
      <c r="F674" s="61">
        <v>1</v>
      </c>
    </row>
    <row r="675" spans="1:6" ht="14.25" customHeight="1">
      <c r="A675" s="52" t="s">
        <v>22</v>
      </c>
      <c r="B675" s="60" t="s">
        <v>344</v>
      </c>
      <c r="C675" s="52" t="s">
        <v>365</v>
      </c>
      <c r="D675" s="52" t="s">
        <v>79</v>
      </c>
      <c r="E675" s="60" t="s">
        <v>706</v>
      </c>
      <c r="F675" s="52">
        <v>1</v>
      </c>
    </row>
    <row r="676" spans="1:6" ht="14.25" customHeight="1">
      <c r="A676" s="61" t="s">
        <v>22</v>
      </c>
      <c r="B676" s="62" t="s">
        <v>344</v>
      </c>
      <c r="C676" s="61" t="s">
        <v>365</v>
      </c>
      <c r="D676" s="61" t="s">
        <v>79</v>
      </c>
      <c r="E676" s="62" t="s">
        <v>706</v>
      </c>
      <c r="F676" s="61">
        <v>1</v>
      </c>
    </row>
    <row r="677" spans="1:6" ht="14.25" customHeight="1">
      <c r="A677" s="52" t="s">
        <v>22</v>
      </c>
      <c r="B677" s="60" t="s">
        <v>344</v>
      </c>
      <c r="C677" s="52" t="s">
        <v>365</v>
      </c>
      <c r="D677" s="52" t="s">
        <v>84</v>
      </c>
      <c r="E677" s="60" t="s">
        <v>713</v>
      </c>
      <c r="F677" s="52">
        <v>1</v>
      </c>
    </row>
    <row r="678" spans="1:6" ht="14.25" customHeight="1">
      <c r="A678" s="61" t="s">
        <v>22</v>
      </c>
      <c r="B678" s="62" t="s">
        <v>344</v>
      </c>
      <c r="C678" s="61" t="s">
        <v>365</v>
      </c>
      <c r="D678" s="61" t="s">
        <v>120</v>
      </c>
      <c r="E678" s="62" t="s">
        <v>711</v>
      </c>
      <c r="F678" s="61">
        <v>1</v>
      </c>
    </row>
    <row r="679" spans="1:6" ht="14.25" customHeight="1">
      <c r="A679" s="52" t="s">
        <v>22</v>
      </c>
      <c r="B679" s="60" t="s">
        <v>344</v>
      </c>
      <c r="C679" s="52" t="s">
        <v>366</v>
      </c>
      <c r="D679" s="52" t="s">
        <v>79</v>
      </c>
      <c r="E679" s="60" t="s">
        <v>706</v>
      </c>
      <c r="F679" s="52">
        <v>1</v>
      </c>
    </row>
    <row r="680" spans="1:6" ht="14.25" customHeight="1">
      <c r="A680" s="61" t="s">
        <v>22</v>
      </c>
      <c r="B680" s="62" t="s">
        <v>344</v>
      </c>
      <c r="C680" s="61" t="s">
        <v>366</v>
      </c>
      <c r="D680" s="61" t="s">
        <v>84</v>
      </c>
      <c r="E680" s="62" t="s">
        <v>713</v>
      </c>
      <c r="F680" s="61">
        <v>1</v>
      </c>
    </row>
    <row r="681" spans="1:6" ht="14.25" customHeight="1">
      <c r="A681" s="52" t="s">
        <v>22</v>
      </c>
      <c r="B681" s="60" t="s">
        <v>344</v>
      </c>
      <c r="C681" s="52" t="s">
        <v>366</v>
      </c>
      <c r="D681" s="52" t="s">
        <v>118</v>
      </c>
      <c r="E681" s="60" t="s">
        <v>714</v>
      </c>
      <c r="F681" s="52">
        <v>1</v>
      </c>
    </row>
    <row r="682" spans="1:6" ht="14.25" customHeight="1">
      <c r="A682" s="61" t="s">
        <v>22</v>
      </c>
      <c r="B682" s="62" t="s">
        <v>344</v>
      </c>
      <c r="C682" s="61" t="s">
        <v>367</v>
      </c>
      <c r="D682" s="61" t="s">
        <v>79</v>
      </c>
      <c r="E682" s="62" t="s">
        <v>706</v>
      </c>
      <c r="F682" s="61">
        <v>1</v>
      </c>
    </row>
    <row r="683" spans="1:6" ht="14.25" customHeight="1">
      <c r="A683" s="52" t="s">
        <v>22</v>
      </c>
      <c r="B683" s="60" t="s">
        <v>344</v>
      </c>
      <c r="C683" s="52" t="s">
        <v>367</v>
      </c>
      <c r="D683" s="52" t="s">
        <v>84</v>
      </c>
      <c r="E683" s="60" t="s">
        <v>713</v>
      </c>
      <c r="F683" s="52">
        <v>1</v>
      </c>
    </row>
    <row r="684" spans="1:6" ht="14.25" customHeight="1">
      <c r="A684" s="61" t="s">
        <v>22</v>
      </c>
      <c r="B684" s="62" t="s">
        <v>344</v>
      </c>
      <c r="C684" s="61" t="s">
        <v>368</v>
      </c>
      <c r="D684" s="61" t="s">
        <v>79</v>
      </c>
      <c r="E684" s="62" t="s">
        <v>706</v>
      </c>
      <c r="F684" s="61">
        <v>1</v>
      </c>
    </row>
    <row r="685" spans="1:6" ht="14.25" customHeight="1">
      <c r="A685" s="52" t="s">
        <v>22</v>
      </c>
      <c r="B685" s="60" t="s">
        <v>344</v>
      </c>
      <c r="C685" s="52" t="s">
        <v>368</v>
      </c>
      <c r="D685" s="52" t="s">
        <v>84</v>
      </c>
      <c r="E685" s="60" t="s">
        <v>713</v>
      </c>
      <c r="F685" s="52">
        <v>1</v>
      </c>
    </row>
    <row r="686" spans="1:6" ht="14.25" customHeight="1">
      <c r="A686" s="61" t="s">
        <v>22</v>
      </c>
      <c r="B686" s="62" t="s">
        <v>344</v>
      </c>
      <c r="C686" s="61" t="s">
        <v>369</v>
      </c>
      <c r="D686" s="61" t="s">
        <v>79</v>
      </c>
      <c r="E686" s="62" t="s">
        <v>706</v>
      </c>
      <c r="F686" s="61">
        <v>1</v>
      </c>
    </row>
    <row r="687" spans="1:6" ht="14.25" customHeight="1">
      <c r="A687" s="52" t="s">
        <v>22</v>
      </c>
      <c r="B687" s="60" t="s">
        <v>344</v>
      </c>
      <c r="C687" s="52" t="s">
        <v>369</v>
      </c>
      <c r="D687" s="52" t="s">
        <v>84</v>
      </c>
      <c r="E687" s="60" t="s">
        <v>713</v>
      </c>
      <c r="F687" s="52">
        <v>1</v>
      </c>
    </row>
    <row r="688" spans="1:6" ht="14.25" customHeight="1">
      <c r="A688" s="61" t="s">
        <v>22</v>
      </c>
      <c r="B688" s="62" t="s">
        <v>344</v>
      </c>
      <c r="C688" s="61" t="s">
        <v>370</v>
      </c>
      <c r="D688" s="61" t="s">
        <v>79</v>
      </c>
      <c r="E688" s="62" t="s">
        <v>706</v>
      </c>
      <c r="F688" s="61">
        <v>1</v>
      </c>
    </row>
    <row r="689" spans="1:6" ht="14.25" customHeight="1">
      <c r="A689" s="52" t="s">
        <v>22</v>
      </c>
      <c r="B689" s="60" t="s">
        <v>344</v>
      </c>
      <c r="C689" s="52" t="s">
        <v>370</v>
      </c>
      <c r="D689" s="52" t="s">
        <v>84</v>
      </c>
      <c r="E689" s="60" t="s">
        <v>713</v>
      </c>
      <c r="F689" s="52">
        <v>1</v>
      </c>
    </row>
    <row r="690" spans="1:6" ht="14.25" customHeight="1">
      <c r="A690" s="61" t="s">
        <v>22</v>
      </c>
      <c r="B690" s="62" t="s">
        <v>344</v>
      </c>
      <c r="C690" s="61" t="s">
        <v>371</v>
      </c>
      <c r="D690" s="61" t="s">
        <v>79</v>
      </c>
      <c r="E690" s="62" t="s">
        <v>706</v>
      </c>
      <c r="F690" s="61">
        <v>1</v>
      </c>
    </row>
    <row r="691" spans="1:6" ht="14.25" customHeight="1">
      <c r="A691" s="52" t="s">
        <v>22</v>
      </c>
      <c r="B691" s="60" t="s">
        <v>344</v>
      </c>
      <c r="C691" s="52" t="s">
        <v>371</v>
      </c>
      <c r="D691" s="52" t="s">
        <v>84</v>
      </c>
      <c r="E691" s="60" t="s">
        <v>713</v>
      </c>
      <c r="F691" s="52">
        <v>1</v>
      </c>
    </row>
    <row r="692" spans="1:6" ht="14.25" customHeight="1">
      <c r="A692" s="61" t="s">
        <v>22</v>
      </c>
      <c r="B692" s="62" t="s">
        <v>344</v>
      </c>
      <c r="C692" s="61" t="s">
        <v>372</v>
      </c>
      <c r="D692" s="61" t="s">
        <v>79</v>
      </c>
      <c r="E692" s="62" t="s">
        <v>706</v>
      </c>
      <c r="F692" s="61">
        <v>1</v>
      </c>
    </row>
    <row r="693" spans="1:6" ht="14.25" customHeight="1">
      <c r="A693" s="52" t="s">
        <v>22</v>
      </c>
      <c r="B693" s="60" t="s">
        <v>344</v>
      </c>
      <c r="C693" s="52" t="s">
        <v>372</v>
      </c>
      <c r="D693" s="52" t="s">
        <v>84</v>
      </c>
      <c r="E693" s="60" t="s">
        <v>713</v>
      </c>
      <c r="F693" s="52">
        <v>1</v>
      </c>
    </row>
    <row r="694" spans="1:6" ht="14.25" customHeight="1">
      <c r="A694" s="61" t="s">
        <v>22</v>
      </c>
      <c r="B694" s="62" t="s">
        <v>344</v>
      </c>
      <c r="C694" s="61" t="s">
        <v>373</v>
      </c>
      <c r="D694" s="61" t="s">
        <v>79</v>
      </c>
      <c r="E694" s="62" t="s">
        <v>706</v>
      </c>
      <c r="F694" s="61">
        <v>1</v>
      </c>
    </row>
    <row r="695" spans="1:6" ht="14.25" customHeight="1">
      <c r="A695" s="52" t="s">
        <v>22</v>
      </c>
      <c r="B695" s="60" t="s">
        <v>344</v>
      </c>
      <c r="C695" s="52" t="s">
        <v>373</v>
      </c>
      <c r="D695" s="52" t="s">
        <v>84</v>
      </c>
      <c r="E695" s="60" t="s">
        <v>713</v>
      </c>
      <c r="F695" s="52">
        <v>2</v>
      </c>
    </row>
    <row r="696" spans="1:6" ht="14.25" customHeight="1">
      <c r="A696" s="61" t="s">
        <v>22</v>
      </c>
      <c r="B696" s="62" t="s">
        <v>344</v>
      </c>
      <c r="C696" s="61" t="s">
        <v>374</v>
      </c>
      <c r="D696" s="61" t="s">
        <v>79</v>
      </c>
      <c r="E696" s="62" t="s">
        <v>706</v>
      </c>
      <c r="F696" s="61">
        <v>1</v>
      </c>
    </row>
    <row r="697" spans="1:6" ht="14.25" customHeight="1">
      <c r="A697" s="52" t="s">
        <v>22</v>
      </c>
      <c r="B697" s="60" t="s">
        <v>344</v>
      </c>
      <c r="C697" s="52" t="s">
        <v>374</v>
      </c>
      <c r="D697" s="52" t="s">
        <v>84</v>
      </c>
      <c r="E697" s="60" t="s">
        <v>713</v>
      </c>
      <c r="F697" s="52">
        <v>1</v>
      </c>
    </row>
    <row r="698" spans="1:6" ht="14.25" customHeight="1">
      <c r="A698" s="61" t="s">
        <v>22</v>
      </c>
      <c r="B698" s="62" t="s">
        <v>344</v>
      </c>
      <c r="C698" s="61" t="s">
        <v>375</v>
      </c>
      <c r="D698" s="61" t="s">
        <v>79</v>
      </c>
      <c r="E698" s="62" t="s">
        <v>706</v>
      </c>
      <c r="F698" s="61">
        <v>1</v>
      </c>
    </row>
    <row r="699" spans="1:6" ht="14.25" customHeight="1">
      <c r="A699" s="52" t="s">
        <v>22</v>
      </c>
      <c r="B699" s="60" t="s">
        <v>344</v>
      </c>
      <c r="C699" s="52" t="s">
        <v>375</v>
      </c>
      <c r="D699" s="52" t="s">
        <v>84</v>
      </c>
      <c r="E699" s="60" t="s">
        <v>713</v>
      </c>
      <c r="F699" s="52">
        <v>1</v>
      </c>
    </row>
    <row r="700" spans="1:6" ht="14.25" customHeight="1">
      <c r="A700" s="61" t="s">
        <v>22</v>
      </c>
      <c r="B700" s="62" t="s">
        <v>344</v>
      </c>
      <c r="C700" s="61" t="s">
        <v>376</v>
      </c>
      <c r="D700" s="61" t="s">
        <v>79</v>
      </c>
      <c r="E700" s="62" t="s">
        <v>706</v>
      </c>
      <c r="F700" s="61">
        <v>1</v>
      </c>
    </row>
    <row r="701" spans="1:6" ht="14.25" customHeight="1">
      <c r="A701" s="52" t="s">
        <v>22</v>
      </c>
      <c r="B701" s="60" t="s">
        <v>344</v>
      </c>
      <c r="C701" s="52" t="s">
        <v>376</v>
      </c>
      <c r="D701" s="52" t="s">
        <v>84</v>
      </c>
      <c r="E701" s="60" t="s">
        <v>713</v>
      </c>
      <c r="F701" s="52">
        <v>1</v>
      </c>
    </row>
    <row r="702" spans="1:6" ht="14.25" customHeight="1">
      <c r="A702" s="61" t="s">
        <v>22</v>
      </c>
      <c r="B702" s="62" t="s">
        <v>344</v>
      </c>
      <c r="C702" s="61" t="s">
        <v>377</v>
      </c>
      <c r="D702" s="61" t="s">
        <v>79</v>
      </c>
      <c r="E702" s="62" t="s">
        <v>706</v>
      </c>
      <c r="F702" s="61">
        <v>1</v>
      </c>
    </row>
    <row r="703" spans="1:6" ht="14.25" customHeight="1">
      <c r="A703" s="52" t="s">
        <v>22</v>
      </c>
      <c r="B703" s="60" t="s">
        <v>344</v>
      </c>
      <c r="C703" s="52" t="s">
        <v>377</v>
      </c>
      <c r="D703" s="52" t="s">
        <v>84</v>
      </c>
      <c r="E703" s="60" t="s">
        <v>713</v>
      </c>
      <c r="F703" s="52">
        <v>1</v>
      </c>
    </row>
    <row r="704" spans="1:6" ht="14.25" customHeight="1">
      <c r="A704" s="61" t="s">
        <v>22</v>
      </c>
      <c r="B704" s="62" t="s">
        <v>344</v>
      </c>
      <c r="C704" s="61" t="s">
        <v>378</v>
      </c>
      <c r="D704" s="61" t="s">
        <v>79</v>
      </c>
      <c r="E704" s="62" t="s">
        <v>706</v>
      </c>
      <c r="F704" s="61">
        <v>1</v>
      </c>
    </row>
    <row r="705" spans="1:6" ht="14.25" customHeight="1">
      <c r="A705" s="52" t="s">
        <v>22</v>
      </c>
      <c r="B705" s="60" t="s">
        <v>344</v>
      </c>
      <c r="C705" s="52" t="s">
        <v>378</v>
      </c>
      <c r="D705" s="52" t="s">
        <v>84</v>
      </c>
      <c r="E705" s="60" t="s">
        <v>713</v>
      </c>
      <c r="F705" s="52">
        <v>1</v>
      </c>
    </row>
    <row r="706" spans="1:6" ht="14.25" customHeight="1">
      <c r="A706" s="61" t="s">
        <v>22</v>
      </c>
      <c r="B706" s="62" t="s">
        <v>344</v>
      </c>
      <c r="C706" s="61" t="s">
        <v>379</v>
      </c>
      <c r="D706" s="61" t="s">
        <v>79</v>
      </c>
      <c r="E706" s="62" t="s">
        <v>706</v>
      </c>
      <c r="F706" s="61">
        <v>1</v>
      </c>
    </row>
    <row r="707" spans="1:6" ht="14.25" customHeight="1">
      <c r="A707" s="52" t="s">
        <v>22</v>
      </c>
      <c r="B707" s="60" t="s">
        <v>344</v>
      </c>
      <c r="C707" s="52" t="s">
        <v>379</v>
      </c>
      <c r="D707" s="52" t="s">
        <v>84</v>
      </c>
      <c r="E707" s="60" t="s">
        <v>713</v>
      </c>
      <c r="F707" s="52">
        <v>1</v>
      </c>
    </row>
    <row r="708" spans="1:6" ht="14.25" customHeight="1">
      <c r="A708" s="61" t="s">
        <v>22</v>
      </c>
      <c r="B708" s="62" t="s">
        <v>344</v>
      </c>
      <c r="C708" s="61" t="s">
        <v>380</v>
      </c>
      <c r="D708" s="61" t="s">
        <v>79</v>
      </c>
      <c r="E708" s="62" t="s">
        <v>706</v>
      </c>
      <c r="F708" s="61">
        <v>1</v>
      </c>
    </row>
    <row r="709" spans="1:6" ht="14.25" customHeight="1">
      <c r="A709" s="52" t="s">
        <v>22</v>
      </c>
      <c r="B709" s="60" t="s">
        <v>344</v>
      </c>
      <c r="C709" s="52" t="s">
        <v>380</v>
      </c>
      <c r="D709" s="52" t="s">
        <v>84</v>
      </c>
      <c r="E709" s="60" t="s">
        <v>713</v>
      </c>
      <c r="F709" s="52">
        <v>1</v>
      </c>
    </row>
    <row r="710" spans="1:6" ht="14.25" customHeight="1">
      <c r="A710" s="61" t="s">
        <v>22</v>
      </c>
      <c r="B710" s="62" t="s">
        <v>344</v>
      </c>
      <c r="C710" s="61" t="s">
        <v>381</v>
      </c>
      <c r="D710" s="61" t="s">
        <v>79</v>
      </c>
      <c r="E710" s="62" t="s">
        <v>706</v>
      </c>
      <c r="F710" s="61">
        <v>1</v>
      </c>
    </row>
    <row r="711" spans="1:6" ht="14.25" customHeight="1">
      <c r="A711" s="52" t="s">
        <v>22</v>
      </c>
      <c r="B711" s="60" t="s">
        <v>344</v>
      </c>
      <c r="C711" s="52" t="s">
        <v>381</v>
      </c>
      <c r="D711" s="52" t="s">
        <v>84</v>
      </c>
      <c r="E711" s="60" t="s">
        <v>713</v>
      </c>
      <c r="F711" s="52">
        <v>1</v>
      </c>
    </row>
    <row r="712" spans="1:6" ht="14.25" customHeight="1">
      <c r="A712" s="61" t="s">
        <v>22</v>
      </c>
      <c r="B712" s="62" t="s">
        <v>344</v>
      </c>
      <c r="C712" s="61" t="s">
        <v>382</v>
      </c>
      <c r="D712" s="61" t="s">
        <v>79</v>
      </c>
      <c r="E712" s="62" t="s">
        <v>706</v>
      </c>
      <c r="F712" s="61">
        <v>1</v>
      </c>
    </row>
    <row r="713" spans="1:6" ht="14.25" customHeight="1">
      <c r="A713" s="52" t="s">
        <v>22</v>
      </c>
      <c r="B713" s="60" t="s">
        <v>344</v>
      </c>
      <c r="C713" s="52" t="s">
        <v>383</v>
      </c>
      <c r="D713" s="52" t="s">
        <v>79</v>
      </c>
      <c r="E713" s="60" t="s">
        <v>706</v>
      </c>
      <c r="F713" s="52">
        <v>2</v>
      </c>
    </row>
    <row r="714" spans="1:6" ht="14.25" customHeight="1">
      <c r="A714" s="61" t="s">
        <v>22</v>
      </c>
      <c r="B714" s="62" t="s">
        <v>344</v>
      </c>
      <c r="C714" s="61" t="s">
        <v>383</v>
      </c>
      <c r="D714" s="61" t="s">
        <v>84</v>
      </c>
      <c r="E714" s="62" t="s">
        <v>713</v>
      </c>
      <c r="F714" s="61">
        <v>1</v>
      </c>
    </row>
    <row r="715" spans="1:6" ht="14.25" customHeight="1">
      <c r="A715" s="52" t="s">
        <v>22</v>
      </c>
      <c r="B715" s="60" t="s">
        <v>344</v>
      </c>
      <c r="C715" s="52" t="s">
        <v>384</v>
      </c>
      <c r="D715" s="52" t="s">
        <v>79</v>
      </c>
      <c r="E715" s="60" t="s">
        <v>706</v>
      </c>
      <c r="F715" s="52">
        <v>2</v>
      </c>
    </row>
    <row r="716" spans="1:6" ht="14.25" customHeight="1">
      <c r="A716" s="61" t="s">
        <v>22</v>
      </c>
      <c r="B716" s="62" t="s">
        <v>344</v>
      </c>
      <c r="C716" s="61" t="s">
        <v>384</v>
      </c>
      <c r="D716" s="61" t="s">
        <v>84</v>
      </c>
      <c r="E716" s="62" t="s">
        <v>713</v>
      </c>
      <c r="F716" s="61">
        <v>1</v>
      </c>
    </row>
    <row r="717" spans="1:6" ht="14.25" customHeight="1">
      <c r="A717" s="52" t="s">
        <v>22</v>
      </c>
      <c r="B717" s="60" t="s">
        <v>344</v>
      </c>
      <c r="C717" s="52" t="s">
        <v>385</v>
      </c>
      <c r="D717" s="52" t="s">
        <v>79</v>
      </c>
      <c r="E717" s="60" t="s">
        <v>706</v>
      </c>
      <c r="F717" s="52">
        <v>2</v>
      </c>
    </row>
    <row r="718" spans="1:6" ht="14.25" customHeight="1">
      <c r="A718" s="61" t="s">
        <v>22</v>
      </c>
      <c r="B718" s="62" t="s">
        <v>344</v>
      </c>
      <c r="C718" s="61" t="s">
        <v>385</v>
      </c>
      <c r="D718" s="61" t="s">
        <v>84</v>
      </c>
      <c r="E718" s="62" t="s">
        <v>713</v>
      </c>
      <c r="F718" s="61">
        <v>1</v>
      </c>
    </row>
    <row r="719" spans="1:6" ht="14.25" customHeight="1">
      <c r="A719" s="52" t="s">
        <v>22</v>
      </c>
      <c r="B719" s="60" t="s">
        <v>344</v>
      </c>
      <c r="C719" s="52" t="s">
        <v>386</v>
      </c>
      <c r="D719" s="52" t="s">
        <v>79</v>
      </c>
      <c r="E719" s="60" t="s">
        <v>706</v>
      </c>
      <c r="F719" s="52">
        <v>2</v>
      </c>
    </row>
    <row r="720" spans="1:6" ht="14.25" customHeight="1">
      <c r="A720" s="61" t="s">
        <v>22</v>
      </c>
      <c r="B720" s="62" t="s">
        <v>344</v>
      </c>
      <c r="C720" s="61" t="s">
        <v>386</v>
      </c>
      <c r="D720" s="61" t="s">
        <v>84</v>
      </c>
      <c r="E720" s="62" t="s">
        <v>713</v>
      </c>
      <c r="F720" s="61">
        <v>1</v>
      </c>
    </row>
    <row r="721" spans="1:6" ht="14.25" customHeight="1">
      <c r="A721" s="52" t="s">
        <v>22</v>
      </c>
      <c r="B721" s="60" t="s">
        <v>344</v>
      </c>
      <c r="C721" s="52" t="s">
        <v>387</v>
      </c>
      <c r="D721" s="52" t="s">
        <v>79</v>
      </c>
      <c r="E721" s="60" t="s">
        <v>706</v>
      </c>
      <c r="F721" s="52">
        <v>2</v>
      </c>
    </row>
    <row r="722" spans="1:6" ht="14.25" customHeight="1">
      <c r="A722" s="61" t="s">
        <v>22</v>
      </c>
      <c r="B722" s="62" t="s">
        <v>344</v>
      </c>
      <c r="C722" s="61" t="s">
        <v>387</v>
      </c>
      <c r="D722" s="61" t="s">
        <v>84</v>
      </c>
      <c r="E722" s="62" t="s">
        <v>713</v>
      </c>
      <c r="F722" s="61">
        <v>1</v>
      </c>
    </row>
    <row r="723" spans="1:6" ht="14.25" customHeight="1">
      <c r="A723" s="52" t="s">
        <v>22</v>
      </c>
      <c r="B723" s="60" t="s">
        <v>344</v>
      </c>
      <c r="C723" s="52" t="s">
        <v>388</v>
      </c>
      <c r="D723" s="52" t="s">
        <v>79</v>
      </c>
      <c r="E723" s="60" t="s">
        <v>706</v>
      </c>
      <c r="F723" s="52">
        <v>1</v>
      </c>
    </row>
    <row r="724" spans="1:6" ht="14.25" customHeight="1">
      <c r="A724" s="61" t="s">
        <v>22</v>
      </c>
      <c r="B724" s="62" t="s">
        <v>344</v>
      </c>
      <c r="C724" s="61" t="s">
        <v>388</v>
      </c>
      <c r="D724" s="61" t="s">
        <v>84</v>
      </c>
      <c r="E724" s="62" t="s">
        <v>713</v>
      </c>
      <c r="F724" s="61">
        <v>1</v>
      </c>
    </row>
    <row r="725" spans="1:6" ht="14.25" customHeight="1">
      <c r="A725" s="52" t="s">
        <v>22</v>
      </c>
      <c r="B725" s="60" t="s">
        <v>344</v>
      </c>
      <c r="C725" s="52" t="s">
        <v>388</v>
      </c>
      <c r="D725" s="52" t="s">
        <v>120</v>
      </c>
      <c r="E725" s="60" t="s">
        <v>711</v>
      </c>
      <c r="F725" s="52">
        <v>1</v>
      </c>
    </row>
    <row r="726" spans="1:6" ht="14.25" customHeight="1">
      <c r="A726" s="61" t="s">
        <v>22</v>
      </c>
      <c r="B726" s="62" t="s">
        <v>344</v>
      </c>
      <c r="C726" s="61" t="s">
        <v>388</v>
      </c>
      <c r="D726" s="61" t="s">
        <v>118</v>
      </c>
      <c r="E726" s="62" t="s">
        <v>714</v>
      </c>
      <c r="F726" s="61">
        <v>1</v>
      </c>
    </row>
    <row r="727" spans="1:6" ht="14.25" customHeight="1">
      <c r="A727" s="52" t="s">
        <v>22</v>
      </c>
      <c r="B727" s="60" t="s">
        <v>344</v>
      </c>
      <c r="C727" s="52" t="s">
        <v>389</v>
      </c>
      <c r="D727" s="52" t="s">
        <v>79</v>
      </c>
      <c r="E727" s="60" t="s">
        <v>706</v>
      </c>
      <c r="F727" s="52">
        <v>1</v>
      </c>
    </row>
    <row r="728" spans="1:6" ht="14.25" customHeight="1">
      <c r="A728" s="61" t="s">
        <v>22</v>
      </c>
      <c r="B728" s="62" t="s">
        <v>344</v>
      </c>
      <c r="C728" s="61" t="s">
        <v>389</v>
      </c>
      <c r="D728" s="61" t="s">
        <v>84</v>
      </c>
      <c r="E728" s="62" t="s">
        <v>713</v>
      </c>
      <c r="F728" s="61">
        <v>1</v>
      </c>
    </row>
    <row r="729" spans="1:6" ht="14.25" customHeight="1">
      <c r="A729" s="52" t="s">
        <v>22</v>
      </c>
      <c r="B729" s="60" t="s">
        <v>344</v>
      </c>
      <c r="C729" s="52" t="s">
        <v>390</v>
      </c>
      <c r="D729" s="52" t="s">
        <v>79</v>
      </c>
      <c r="E729" s="60" t="s">
        <v>706</v>
      </c>
      <c r="F729" s="52">
        <v>2</v>
      </c>
    </row>
    <row r="730" spans="1:6" ht="14.25" customHeight="1">
      <c r="A730" s="61" t="s">
        <v>22</v>
      </c>
      <c r="B730" s="62" t="s">
        <v>344</v>
      </c>
      <c r="C730" s="61" t="s">
        <v>390</v>
      </c>
      <c r="D730" s="61" t="s">
        <v>84</v>
      </c>
      <c r="E730" s="62" t="s">
        <v>713</v>
      </c>
      <c r="F730" s="61">
        <v>1</v>
      </c>
    </row>
    <row r="731" spans="1:6" ht="14.25" customHeight="1">
      <c r="A731" s="52" t="s">
        <v>22</v>
      </c>
      <c r="B731" s="60" t="s">
        <v>344</v>
      </c>
      <c r="C731" s="52" t="s">
        <v>390</v>
      </c>
      <c r="D731" s="52" t="s">
        <v>120</v>
      </c>
      <c r="E731" s="60" t="s">
        <v>711</v>
      </c>
      <c r="F731" s="52">
        <v>1</v>
      </c>
    </row>
    <row r="732" spans="1:6" ht="14.25" customHeight="1">
      <c r="A732" s="61" t="s">
        <v>22</v>
      </c>
      <c r="B732" s="62" t="s">
        <v>344</v>
      </c>
      <c r="C732" s="61" t="s">
        <v>390</v>
      </c>
      <c r="D732" s="61" t="s">
        <v>118</v>
      </c>
      <c r="E732" s="62" t="s">
        <v>714</v>
      </c>
      <c r="F732" s="61">
        <v>1</v>
      </c>
    </row>
    <row r="733" spans="1:6" ht="14.25" customHeight="1">
      <c r="A733" s="52" t="s">
        <v>22</v>
      </c>
      <c r="B733" s="60" t="s">
        <v>344</v>
      </c>
      <c r="C733" s="52" t="s">
        <v>391</v>
      </c>
      <c r="D733" s="52" t="s">
        <v>79</v>
      </c>
      <c r="E733" s="60" t="s">
        <v>706</v>
      </c>
      <c r="F733" s="52">
        <v>1</v>
      </c>
    </row>
    <row r="734" spans="1:6" ht="14.25" customHeight="1">
      <c r="A734" s="61" t="s">
        <v>22</v>
      </c>
      <c r="B734" s="62" t="s">
        <v>344</v>
      </c>
      <c r="C734" s="61" t="s">
        <v>391</v>
      </c>
      <c r="D734" s="61" t="s">
        <v>84</v>
      </c>
      <c r="E734" s="62" t="s">
        <v>713</v>
      </c>
      <c r="F734" s="61">
        <v>1</v>
      </c>
    </row>
    <row r="735" spans="1:6" ht="14.25" customHeight="1">
      <c r="A735" s="52" t="s">
        <v>22</v>
      </c>
      <c r="B735" s="60" t="s">
        <v>344</v>
      </c>
      <c r="C735" s="52" t="s">
        <v>392</v>
      </c>
      <c r="D735" s="52" t="s">
        <v>79</v>
      </c>
      <c r="E735" s="60" t="s">
        <v>706</v>
      </c>
      <c r="F735" s="52">
        <v>1</v>
      </c>
    </row>
    <row r="736" spans="1:6" ht="14.25" customHeight="1">
      <c r="A736" s="61" t="s">
        <v>22</v>
      </c>
      <c r="B736" s="62" t="s">
        <v>344</v>
      </c>
      <c r="C736" s="61" t="s">
        <v>392</v>
      </c>
      <c r="D736" s="61" t="s">
        <v>84</v>
      </c>
      <c r="E736" s="62" t="s">
        <v>713</v>
      </c>
      <c r="F736" s="61">
        <v>1</v>
      </c>
    </row>
    <row r="737" spans="1:6" ht="14.25" customHeight="1">
      <c r="A737" s="52" t="s">
        <v>22</v>
      </c>
      <c r="B737" s="60" t="s">
        <v>344</v>
      </c>
      <c r="C737" s="52" t="s">
        <v>392</v>
      </c>
      <c r="D737" s="52" t="s">
        <v>120</v>
      </c>
      <c r="E737" s="60" t="s">
        <v>711</v>
      </c>
      <c r="F737" s="52">
        <v>1</v>
      </c>
    </row>
    <row r="738" spans="1:6" ht="14.25" customHeight="1">
      <c r="A738" s="61" t="s">
        <v>22</v>
      </c>
      <c r="B738" s="62" t="s">
        <v>344</v>
      </c>
      <c r="C738" s="61" t="s">
        <v>392</v>
      </c>
      <c r="D738" s="61" t="s">
        <v>118</v>
      </c>
      <c r="E738" s="62" t="s">
        <v>714</v>
      </c>
      <c r="F738" s="61">
        <v>1</v>
      </c>
    </row>
    <row r="739" spans="1:6" ht="14.25" customHeight="1">
      <c r="A739" s="52" t="s">
        <v>22</v>
      </c>
      <c r="B739" s="60" t="s">
        <v>344</v>
      </c>
      <c r="C739" s="52" t="s">
        <v>393</v>
      </c>
      <c r="D739" s="52" t="s">
        <v>79</v>
      </c>
      <c r="E739" s="60" t="s">
        <v>706</v>
      </c>
      <c r="F739" s="52">
        <v>2</v>
      </c>
    </row>
    <row r="740" spans="1:6" ht="14.25" customHeight="1">
      <c r="A740" s="61" t="s">
        <v>22</v>
      </c>
      <c r="B740" s="62" t="s">
        <v>344</v>
      </c>
      <c r="C740" s="61" t="s">
        <v>393</v>
      </c>
      <c r="D740" s="61" t="s">
        <v>84</v>
      </c>
      <c r="E740" s="62" t="s">
        <v>713</v>
      </c>
      <c r="F740" s="61">
        <v>1</v>
      </c>
    </row>
    <row r="741" spans="1:6" ht="14.25" customHeight="1">
      <c r="A741" s="52" t="s">
        <v>22</v>
      </c>
      <c r="B741" s="60" t="s">
        <v>344</v>
      </c>
      <c r="C741" s="52" t="s">
        <v>393</v>
      </c>
      <c r="D741" s="52" t="s">
        <v>120</v>
      </c>
      <c r="E741" s="60" t="s">
        <v>711</v>
      </c>
      <c r="F741" s="52">
        <v>1</v>
      </c>
    </row>
    <row r="742" spans="1:6" ht="14.25" customHeight="1">
      <c r="A742" s="61" t="s">
        <v>22</v>
      </c>
      <c r="B742" s="62" t="s">
        <v>344</v>
      </c>
      <c r="C742" s="61" t="s">
        <v>393</v>
      </c>
      <c r="D742" s="61" t="s">
        <v>118</v>
      </c>
      <c r="E742" s="62" t="s">
        <v>714</v>
      </c>
      <c r="F742" s="61">
        <v>1</v>
      </c>
    </row>
    <row r="743" spans="1:6" ht="14.25" customHeight="1">
      <c r="A743" s="52" t="s">
        <v>22</v>
      </c>
      <c r="B743" s="60" t="s">
        <v>344</v>
      </c>
      <c r="C743" s="52" t="s">
        <v>394</v>
      </c>
      <c r="D743" s="52" t="s">
        <v>79</v>
      </c>
      <c r="E743" s="60" t="s">
        <v>706</v>
      </c>
      <c r="F743" s="52">
        <v>1</v>
      </c>
    </row>
    <row r="744" spans="1:6" ht="14.25" customHeight="1">
      <c r="A744" s="61" t="s">
        <v>22</v>
      </c>
      <c r="B744" s="62" t="s">
        <v>344</v>
      </c>
      <c r="C744" s="61" t="s">
        <v>394</v>
      </c>
      <c r="D744" s="61" t="s">
        <v>84</v>
      </c>
      <c r="E744" s="62" t="s">
        <v>713</v>
      </c>
      <c r="F744" s="61">
        <v>1</v>
      </c>
    </row>
    <row r="745" spans="1:6" ht="14.25" customHeight="1">
      <c r="A745" s="52" t="s">
        <v>22</v>
      </c>
      <c r="B745" s="60" t="s">
        <v>344</v>
      </c>
      <c r="C745" s="52" t="s">
        <v>395</v>
      </c>
      <c r="D745" s="52" t="s">
        <v>79</v>
      </c>
      <c r="E745" s="60" t="s">
        <v>706</v>
      </c>
      <c r="F745" s="52">
        <v>1</v>
      </c>
    </row>
    <row r="746" spans="1:6" ht="14.25" customHeight="1">
      <c r="A746" s="61" t="s">
        <v>22</v>
      </c>
      <c r="B746" s="62" t="s">
        <v>344</v>
      </c>
      <c r="C746" s="61" t="s">
        <v>396</v>
      </c>
      <c r="D746" s="61" t="s">
        <v>79</v>
      </c>
      <c r="E746" s="62" t="s">
        <v>706</v>
      </c>
      <c r="F746" s="61">
        <v>1</v>
      </c>
    </row>
    <row r="747" spans="1:6" ht="14.25" customHeight="1">
      <c r="A747" s="52" t="s">
        <v>22</v>
      </c>
      <c r="B747" s="60" t="s">
        <v>344</v>
      </c>
      <c r="C747" s="52" t="s">
        <v>397</v>
      </c>
      <c r="D747" s="52" t="s">
        <v>79</v>
      </c>
      <c r="E747" s="60" t="s">
        <v>706</v>
      </c>
      <c r="F747" s="52">
        <v>1</v>
      </c>
    </row>
    <row r="748" spans="1:6" ht="14.25" customHeight="1">
      <c r="A748" s="61" t="s">
        <v>22</v>
      </c>
      <c r="B748" s="62" t="s">
        <v>344</v>
      </c>
      <c r="C748" s="61" t="s">
        <v>398</v>
      </c>
      <c r="D748" s="61" t="s">
        <v>79</v>
      </c>
      <c r="E748" s="62" t="s">
        <v>706</v>
      </c>
      <c r="F748" s="61">
        <v>1</v>
      </c>
    </row>
    <row r="749" spans="1:6" ht="14.25" customHeight="1">
      <c r="A749" s="52" t="s">
        <v>22</v>
      </c>
      <c r="B749" s="60" t="s">
        <v>344</v>
      </c>
      <c r="C749" s="52" t="s">
        <v>399</v>
      </c>
      <c r="D749" s="52" t="s">
        <v>79</v>
      </c>
      <c r="E749" s="60" t="s">
        <v>706</v>
      </c>
      <c r="F749" s="52">
        <v>1</v>
      </c>
    </row>
    <row r="750" spans="1:6" ht="14.25" customHeight="1">
      <c r="A750" s="61" t="s">
        <v>22</v>
      </c>
      <c r="B750" s="62" t="s">
        <v>344</v>
      </c>
      <c r="C750" s="61" t="s">
        <v>400</v>
      </c>
      <c r="D750" s="61" t="s">
        <v>79</v>
      </c>
      <c r="E750" s="62" t="s">
        <v>706</v>
      </c>
      <c r="F750" s="61">
        <v>1</v>
      </c>
    </row>
    <row r="751" spans="1:6" ht="14.25" customHeight="1">
      <c r="A751" s="52" t="s">
        <v>22</v>
      </c>
      <c r="B751" s="60" t="s">
        <v>344</v>
      </c>
      <c r="C751" s="52" t="s">
        <v>400</v>
      </c>
      <c r="D751" s="52" t="s">
        <v>84</v>
      </c>
      <c r="E751" s="60" t="s">
        <v>713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725</v>
      </c>
    </row>
    <row r="2" spans="1:8" ht="14.25" customHeight="1">
      <c r="A2" t="s">
        <v>726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72</v>
      </c>
      <c r="B5" s="52" t="s">
        <v>73</v>
      </c>
      <c r="C5" s="52" t="s">
        <v>74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72</v>
      </c>
      <c r="B6" s="52" t="s">
        <v>75</v>
      </c>
      <c r="C6" s="52" t="s">
        <v>76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72</v>
      </c>
      <c r="B7" s="52" t="s">
        <v>78</v>
      </c>
      <c r="C7" s="52" t="s">
        <v>79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72</v>
      </c>
      <c r="B8" s="52" t="s">
        <v>80</v>
      </c>
      <c r="C8" s="52" t="s">
        <v>81</v>
      </c>
      <c r="D8" s="52">
        <v>2</v>
      </c>
      <c r="E8" s="52">
        <v>2</v>
      </c>
      <c r="F8" s="67">
        <v>46070</v>
      </c>
      <c r="G8" s="67">
        <v>46063</v>
      </c>
      <c r="H8" s="69" t="s">
        <v>77</v>
      </c>
    </row>
    <row r="9" spans="1:8" ht="14.25" customHeight="1">
      <c r="A9" s="66" t="s">
        <v>72</v>
      </c>
      <c r="B9" s="52" t="s">
        <v>82</v>
      </c>
      <c r="C9" s="52" t="s">
        <v>83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72</v>
      </c>
      <c r="B10" s="52" t="s">
        <v>82</v>
      </c>
      <c r="C10" s="52" t="s">
        <v>84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72</v>
      </c>
      <c r="B11" s="52" t="s">
        <v>85</v>
      </c>
      <c r="C11" s="52" t="s">
        <v>76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72</v>
      </c>
      <c r="B12" s="52" t="s">
        <v>86</v>
      </c>
      <c r="C12" s="52" t="s">
        <v>83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72</v>
      </c>
      <c r="B13" s="52" t="s">
        <v>86</v>
      </c>
      <c r="C13" s="52" t="s">
        <v>84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72</v>
      </c>
      <c r="B14" s="52" t="s">
        <v>87</v>
      </c>
      <c r="C14" s="52" t="s">
        <v>83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72</v>
      </c>
      <c r="B15" s="52" t="s">
        <v>87</v>
      </c>
      <c r="C15" s="52" t="s">
        <v>79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72</v>
      </c>
      <c r="B16" s="52" t="s">
        <v>87</v>
      </c>
      <c r="C16" s="52" t="s">
        <v>84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72</v>
      </c>
      <c r="B17" s="52" t="s">
        <v>89</v>
      </c>
      <c r="C17" s="52" t="s">
        <v>76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72</v>
      </c>
      <c r="B18" s="52" t="s">
        <v>90</v>
      </c>
      <c r="C18" s="52" t="s">
        <v>83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72</v>
      </c>
      <c r="B19" s="52" t="s">
        <v>90</v>
      </c>
      <c r="C19" s="52" t="s">
        <v>84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72</v>
      </c>
      <c r="B20" s="52" t="s">
        <v>91</v>
      </c>
      <c r="C20" s="52" t="s">
        <v>83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72</v>
      </c>
      <c r="B21" s="52" t="s">
        <v>91</v>
      </c>
      <c r="C21" s="52" t="s">
        <v>84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72</v>
      </c>
      <c r="B22" s="52" t="s">
        <v>92</v>
      </c>
      <c r="C22" s="52" t="s">
        <v>76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72</v>
      </c>
      <c r="B23" s="52" t="s">
        <v>93</v>
      </c>
      <c r="C23" s="52" t="s">
        <v>83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72</v>
      </c>
      <c r="B24" s="52" t="s">
        <v>93</v>
      </c>
      <c r="C24" s="52" t="s">
        <v>84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72</v>
      </c>
      <c r="B25" s="52" t="s">
        <v>94</v>
      </c>
      <c r="C25" s="52" t="s">
        <v>83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72</v>
      </c>
      <c r="B26" s="52" t="s">
        <v>94</v>
      </c>
      <c r="C26" s="52" t="s">
        <v>84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72</v>
      </c>
      <c r="B27" s="52" t="s">
        <v>95</v>
      </c>
      <c r="C27" s="52" t="s">
        <v>83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72</v>
      </c>
      <c r="B28" s="52" t="s">
        <v>95</v>
      </c>
      <c r="C28" s="52" t="s">
        <v>84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72</v>
      </c>
      <c r="B29" s="52" t="s">
        <v>96</v>
      </c>
      <c r="C29" s="52" t="s">
        <v>76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72</v>
      </c>
      <c r="B30" s="52" t="s">
        <v>97</v>
      </c>
      <c r="C30" s="52" t="s">
        <v>76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72</v>
      </c>
      <c r="B31" s="52" t="s">
        <v>98</v>
      </c>
      <c r="C31" s="52" t="s">
        <v>84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72</v>
      </c>
      <c r="B32" s="52" t="s">
        <v>99</v>
      </c>
      <c r="C32" s="52" t="s">
        <v>83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72</v>
      </c>
      <c r="B33" s="52" t="s">
        <v>99</v>
      </c>
      <c r="C33" s="52" t="s">
        <v>76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72</v>
      </c>
      <c r="B34" s="52" t="s">
        <v>100</v>
      </c>
      <c r="C34" s="52" t="s">
        <v>79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72</v>
      </c>
      <c r="B35" s="52" t="s">
        <v>100</v>
      </c>
      <c r="C35" s="52" t="s">
        <v>84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72</v>
      </c>
      <c r="B36" s="52" t="s">
        <v>101</v>
      </c>
      <c r="C36" s="52" t="s">
        <v>79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72</v>
      </c>
      <c r="B37" s="52" t="s">
        <v>237</v>
      </c>
      <c r="C37" s="52" t="s">
        <v>79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72</v>
      </c>
      <c r="B38" s="52" t="s">
        <v>237</v>
      </c>
      <c r="C38" s="52" t="s">
        <v>84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72</v>
      </c>
      <c r="B39" s="60" t="s">
        <v>106</v>
      </c>
      <c r="C39" s="52" t="s">
        <v>79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72</v>
      </c>
      <c r="B40" s="60" t="s">
        <v>106</v>
      </c>
      <c r="C40" s="52" t="s">
        <v>84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72</v>
      </c>
      <c r="B41" s="60" t="s">
        <v>108</v>
      </c>
      <c r="C41" s="52" t="s">
        <v>79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72</v>
      </c>
      <c r="B42" s="60" t="s">
        <v>108</v>
      </c>
      <c r="C42" s="52" t="s">
        <v>84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72</v>
      </c>
      <c r="B43" s="60" t="s">
        <v>110</v>
      </c>
      <c r="C43" s="52" t="s">
        <v>79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72</v>
      </c>
      <c r="B44" s="60" t="s">
        <v>110</v>
      </c>
      <c r="C44" s="52" t="s">
        <v>84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72</v>
      </c>
      <c r="B45" s="60" t="s">
        <v>113</v>
      </c>
      <c r="C45" s="52" t="s">
        <v>79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72</v>
      </c>
      <c r="B46" s="60" t="s">
        <v>113</v>
      </c>
      <c r="C46" s="52" t="s">
        <v>84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72</v>
      </c>
      <c r="B47" s="60" t="s">
        <v>115</v>
      </c>
      <c r="C47" s="52" t="s">
        <v>79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72</v>
      </c>
      <c r="B48" s="60" t="s">
        <v>115</v>
      </c>
      <c r="C48" s="52" t="s">
        <v>76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72</v>
      </c>
      <c r="B49" s="60" t="s">
        <v>115</v>
      </c>
      <c r="C49" s="52" t="s">
        <v>84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116</v>
      </c>
      <c r="B50" s="52" t="s">
        <v>117</v>
      </c>
      <c r="C50" s="52" t="s">
        <v>79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116</v>
      </c>
      <c r="B51" s="52" t="s">
        <v>117</v>
      </c>
      <c r="C51" s="52" t="s">
        <v>84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116</v>
      </c>
      <c r="B52" s="52" t="s">
        <v>117</v>
      </c>
      <c r="C52" s="52" t="s">
        <v>118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116</v>
      </c>
      <c r="B53" s="52" t="s">
        <v>119</v>
      </c>
      <c r="C53" s="52" t="s">
        <v>79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116</v>
      </c>
      <c r="B54" s="52" t="s">
        <v>119</v>
      </c>
      <c r="C54" s="52" t="s">
        <v>84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116</v>
      </c>
      <c r="B55" s="52" t="s">
        <v>119</v>
      </c>
      <c r="C55" s="52" t="s">
        <v>120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116</v>
      </c>
      <c r="B56" s="52" t="s">
        <v>121</v>
      </c>
      <c r="C56" s="52" t="s">
        <v>79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116</v>
      </c>
      <c r="B57" s="52" t="s">
        <v>121</v>
      </c>
      <c r="C57" s="52" t="s">
        <v>84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116</v>
      </c>
      <c r="B58" s="52" t="s">
        <v>121</v>
      </c>
      <c r="C58" s="52" t="s">
        <v>120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116</v>
      </c>
      <c r="B59" s="52" t="s">
        <v>122</v>
      </c>
      <c r="C59" s="52" t="s">
        <v>79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116</v>
      </c>
      <c r="B60" s="52" t="s">
        <v>122</v>
      </c>
      <c r="C60" s="52" t="s">
        <v>84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116</v>
      </c>
      <c r="B61" s="52" t="s">
        <v>122</v>
      </c>
      <c r="C61" s="52" t="s">
        <v>120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116</v>
      </c>
      <c r="B62" s="52" t="s">
        <v>123</v>
      </c>
      <c r="C62" s="52" t="s">
        <v>79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116</v>
      </c>
      <c r="B63" s="52" t="s">
        <v>123</v>
      </c>
      <c r="C63" s="52" t="s">
        <v>84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116</v>
      </c>
      <c r="B64" s="52" t="s">
        <v>123</v>
      </c>
      <c r="C64" s="52" t="s">
        <v>120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116</v>
      </c>
      <c r="B65" s="52" t="s">
        <v>124</v>
      </c>
      <c r="C65" s="52" t="s">
        <v>79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116</v>
      </c>
      <c r="B66" s="52" t="s">
        <v>124</v>
      </c>
      <c r="C66" s="52" t="s">
        <v>84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116</v>
      </c>
      <c r="B67" s="52" t="s">
        <v>124</v>
      </c>
      <c r="C67" s="52" t="s">
        <v>118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116</v>
      </c>
      <c r="B68" s="52" t="s">
        <v>20</v>
      </c>
      <c r="C68" s="52" t="s">
        <v>79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116</v>
      </c>
      <c r="B69" s="52" t="s">
        <v>20</v>
      </c>
      <c r="C69" s="52" t="s">
        <v>84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116</v>
      </c>
      <c r="B70" s="52" t="s">
        <v>20</v>
      </c>
      <c r="C70" s="52" t="s">
        <v>120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116</v>
      </c>
      <c r="B71" s="52" t="s">
        <v>20</v>
      </c>
      <c r="C71" s="52" t="s">
        <v>118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116</v>
      </c>
      <c r="B72" s="52" t="s">
        <v>20</v>
      </c>
      <c r="C72" s="52" t="s">
        <v>125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116</v>
      </c>
      <c r="B73" s="52" t="s">
        <v>20</v>
      </c>
      <c r="C73" s="52" t="s">
        <v>126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116</v>
      </c>
      <c r="B74" s="52" t="s">
        <v>20</v>
      </c>
      <c r="C74" s="52" t="s">
        <v>127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116</v>
      </c>
      <c r="B75" s="52" t="s">
        <v>20</v>
      </c>
      <c r="C75" s="52" t="s">
        <v>128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116</v>
      </c>
      <c r="B76" s="52" t="s">
        <v>20</v>
      </c>
      <c r="C76" s="52" t="s">
        <v>129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116</v>
      </c>
      <c r="B77" s="52" t="s">
        <v>131</v>
      </c>
      <c r="C77" s="52" t="s">
        <v>79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116</v>
      </c>
      <c r="B78" s="52" t="s">
        <v>131</v>
      </c>
      <c r="C78" s="52" t="s">
        <v>84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116</v>
      </c>
      <c r="B79" s="52" t="s">
        <v>131</v>
      </c>
      <c r="C79" s="52" t="s">
        <v>118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116</v>
      </c>
      <c r="B80" s="52" t="s">
        <v>132</v>
      </c>
      <c r="C80" s="52" t="s">
        <v>79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116</v>
      </c>
      <c r="B81" s="52" t="s">
        <v>132</v>
      </c>
      <c r="C81" s="52" t="s">
        <v>84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116</v>
      </c>
      <c r="B82" s="52" t="s">
        <v>132</v>
      </c>
      <c r="C82" s="52" t="s">
        <v>118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116</v>
      </c>
      <c r="B83" s="52" t="s">
        <v>23</v>
      </c>
      <c r="C83" s="52" t="s">
        <v>79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116</v>
      </c>
      <c r="B84" s="52" t="s">
        <v>23</v>
      </c>
      <c r="C84" s="52" t="s">
        <v>84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116</v>
      </c>
      <c r="B85" s="52" t="s">
        <v>23</v>
      </c>
      <c r="C85" s="52" t="s">
        <v>120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116</v>
      </c>
      <c r="B86" s="52" t="s">
        <v>23</v>
      </c>
      <c r="C86" s="52" t="s">
        <v>118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116</v>
      </c>
      <c r="B87" s="52" t="s">
        <v>23</v>
      </c>
      <c r="C87" s="52" t="s">
        <v>125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116</v>
      </c>
      <c r="B88" s="52" t="s">
        <v>23</v>
      </c>
      <c r="C88" s="52" t="s">
        <v>126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116</v>
      </c>
      <c r="B89" s="52" t="s">
        <v>23</v>
      </c>
      <c r="C89" s="52" t="s">
        <v>127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116</v>
      </c>
      <c r="B90" s="52" t="s">
        <v>23</v>
      </c>
      <c r="C90" s="52" t="s">
        <v>129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116</v>
      </c>
      <c r="B91" s="52" t="s">
        <v>134</v>
      </c>
      <c r="C91" s="52" t="s">
        <v>79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116</v>
      </c>
      <c r="B92" s="52" t="s">
        <v>134</v>
      </c>
      <c r="C92" s="52" t="s">
        <v>84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116</v>
      </c>
      <c r="B93" s="52" t="s">
        <v>135</v>
      </c>
      <c r="C93" s="52" t="s">
        <v>79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116</v>
      </c>
      <c r="B94" s="52" t="s">
        <v>135</v>
      </c>
      <c r="C94" s="52" t="s">
        <v>84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116</v>
      </c>
      <c r="B95" s="52" t="s">
        <v>136</v>
      </c>
      <c r="C95" s="52" t="s">
        <v>79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116</v>
      </c>
      <c r="B96" s="52" t="s">
        <v>136</v>
      </c>
      <c r="C96" s="52" t="s">
        <v>84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116</v>
      </c>
      <c r="B97" s="52" t="s">
        <v>137</v>
      </c>
      <c r="C97" s="52" t="s">
        <v>79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116</v>
      </c>
      <c r="B98" s="52" t="s">
        <v>137</v>
      </c>
      <c r="C98" s="52" t="s">
        <v>84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116</v>
      </c>
      <c r="B99" s="52" t="s">
        <v>138</v>
      </c>
      <c r="C99" s="52" t="s">
        <v>79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116</v>
      </c>
      <c r="B100" s="52" t="s">
        <v>138</v>
      </c>
      <c r="C100" s="52" t="s">
        <v>84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116</v>
      </c>
      <c r="B101" s="52" t="s">
        <v>139</v>
      </c>
      <c r="C101" s="52" t="s">
        <v>79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116</v>
      </c>
      <c r="B102" s="52" t="s">
        <v>139</v>
      </c>
      <c r="C102" s="52" t="s">
        <v>84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116</v>
      </c>
      <c r="B103" s="52" t="s">
        <v>140</v>
      </c>
      <c r="C103" s="52" t="s">
        <v>79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116</v>
      </c>
      <c r="B104" s="52" t="s">
        <v>140</v>
      </c>
      <c r="C104" s="52" t="s">
        <v>84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116</v>
      </c>
      <c r="B105" s="52" t="s">
        <v>141</v>
      </c>
      <c r="C105" s="52" t="s">
        <v>79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116</v>
      </c>
      <c r="B106" s="52" t="s">
        <v>141</v>
      </c>
      <c r="C106" s="52" t="s">
        <v>84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116</v>
      </c>
      <c r="B107" s="52" t="s">
        <v>142</v>
      </c>
      <c r="C107" s="52" t="s">
        <v>79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116</v>
      </c>
      <c r="B108" s="52" t="s">
        <v>142</v>
      </c>
      <c r="C108" s="52" t="s">
        <v>84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116</v>
      </c>
      <c r="B109" s="52" t="s">
        <v>143</v>
      </c>
      <c r="C109" s="52" t="s">
        <v>79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116</v>
      </c>
      <c r="B110" s="52" t="s">
        <v>143</v>
      </c>
      <c r="C110" s="52" t="s">
        <v>84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116</v>
      </c>
      <c r="B111" s="52" t="s">
        <v>144</v>
      </c>
      <c r="C111" s="52" t="s">
        <v>79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116</v>
      </c>
      <c r="B112" s="52" t="s">
        <v>144</v>
      </c>
      <c r="C112" s="52" t="s">
        <v>84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116</v>
      </c>
      <c r="B113" s="52" t="s">
        <v>144</v>
      </c>
      <c r="C113" s="52" t="s">
        <v>120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116</v>
      </c>
      <c r="B114" s="52" t="s">
        <v>145</v>
      </c>
      <c r="C114" s="52" t="s">
        <v>79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116</v>
      </c>
      <c r="B115" s="52" t="s">
        <v>145</v>
      </c>
      <c r="C115" s="52" t="s">
        <v>84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116</v>
      </c>
      <c r="B116" s="52" t="s">
        <v>145</v>
      </c>
      <c r="C116" s="52" t="s">
        <v>120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116</v>
      </c>
      <c r="B117" s="52" t="s">
        <v>146</v>
      </c>
      <c r="C117" s="52" t="s">
        <v>79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116</v>
      </c>
      <c r="B118" s="52" t="s">
        <v>146</v>
      </c>
      <c r="C118" s="52" t="s">
        <v>84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116</v>
      </c>
      <c r="B119" s="52" t="s">
        <v>147</v>
      </c>
      <c r="C119" s="52" t="s">
        <v>79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116</v>
      </c>
      <c r="B120" s="52" t="s">
        <v>147</v>
      </c>
      <c r="C120" s="52" t="s">
        <v>84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116</v>
      </c>
      <c r="B121" s="52" t="s">
        <v>148</v>
      </c>
      <c r="C121" s="52" t="s">
        <v>79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116</v>
      </c>
      <c r="B122" s="52" t="s">
        <v>149</v>
      </c>
      <c r="C122" s="52" t="s">
        <v>79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116</v>
      </c>
      <c r="B123" s="52" t="s">
        <v>150</v>
      </c>
      <c r="C123" s="52" t="s">
        <v>79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116</v>
      </c>
      <c r="B124" s="52" t="s">
        <v>151</v>
      </c>
      <c r="C124" s="52" t="s">
        <v>79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116</v>
      </c>
      <c r="B125" s="52" t="s">
        <v>152</v>
      </c>
      <c r="C125" s="52" t="s">
        <v>79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153</v>
      </c>
      <c r="B126" s="52" t="s">
        <v>154</v>
      </c>
      <c r="C126" s="52" t="s">
        <v>79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153</v>
      </c>
      <c r="B127" s="52" t="s">
        <v>154</v>
      </c>
      <c r="C127" s="52" t="s">
        <v>84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153</v>
      </c>
      <c r="B128" s="52" t="s">
        <v>154</v>
      </c>
      <c r="C128" s="52" t="s">
        <v>120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153</v>
      </c>
      <c r="B129" s="52" t="s">
        <v>155</v>
      </c>
      <c r="C129" s="52" t="s">
        <v>79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153</v>
      </c>
      <c r="B130" s="52" t="s">
        <v>155</v>
      </c>
      <c r="C130" s="52" t="s">
        <v>84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153</v>
      </c>
      <c r="B131" s="52" t="s">
        <v>155</v>
      </c>
      <c r="C131" s="52" t="s">
        <v>120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153</v>
      </c>
      <c r="B132" s="52" t="s">
        <v>156</v>
      </c>
      <c r="C132" s="52" t="s">
        <v>79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153</v>
      </c>
      <c r="B133" s="52" t="s">
        <v>157</v>
      </c>
      <c r="C133" s="52" t="s">
        <v>79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153</v>
      </c>
      <c r="B134" s="52" t="s">
        <v>157</v>
      </c>
      <c r="C134" s="52" t="s">
        <v>84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153</v>
      </c>
      <c r="B135" s="52" t="s">
        <v>158</v>
      </c>
      <c r="C135" s="52" t="s">
        <v>79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153</v>
      </c>
      <c r="B136" s="52" t="s">
        <v>158</v>
      </c>
      <c r="C136" s="52" t="s">
        <v>84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153</v>
      </c>
      <c r="B137" s="52" t="s">
        <v>158</v>
      </c>
      <c r="C137" s="52" t="s">
        <v>118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153</v>
      </c>
      <c r="B138" s="52" t="s">
        <v>159</v>
      </c>
      <c r="C138" s="52" t="s">
        <v>79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153</v>
      </c>
      <c r="B139" s="52" t="s">
        <v>159</v>
      </c>
      <c r="C139" s="52" t="s">
        <v>84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153</v>
      </c>
      <c r="B140" s="52" t="s">
        <v>159</v>
      </c>
      <c r="C140" s="52" t="s">
        <v>120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153</v>
      </c>
      <c r="B141" s="52" t="s">
        <v>160</v>
      </c>
      <c r="C141" s="52" t="s">
        <v>79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153</v>
      </c>
      <c r="B142" s="52" t="s">
        <v>161</v>
      </c>
      <c r="C142" s="52" t="s">
        <v>79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153</v>
      </c>
      <c r="B143" s="52" t="s">
        <v>162</v>
      </c>
      <c r="C143" s="52" t="s">
        <v>79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153</v>
      </c>
      <c r="B144" s="52" t="s">
        <v>162</v>
      </c>
      <c r="C144" s="52" t="s">
        <v>84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153</v>
      </c>
      <c r="B145" s="52" t="s">
        <v>162</v>
      </c>
      <c r="C145" s="52" t="s">
        <v>120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153</v>
      </c>
      <c r="B146" s="52" t="s">
        <v>163</v>
      </c>
      <c r="C146" s="52" t="s">
        <v>79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153</v>
      </c>
      <c r="B147" s="52" t="s">
        <v>163</v>
      </c>
      <c r="C147" s="52" t="s">
        <v>84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153</v>
      </c>
      <c r="B148" s="52" t="s">
        <v>164</v>
      </c>
      <c r="C148" s="52" t="s">
        <v>79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153</v>
      </c>
      <c r="B149" s="52" t="s">
        <v>164</v>
      </c>
      <c r="C149" s="52" t="s">
        <v>84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153</v>
      </c>
      <c r="B150" s="52" t="s">
        <v>166</v>
      </c>
      <c r="C150" s="52" t="s">
        <v>79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153</v>
      </c>
      <c r="B151" s="52" t="s">
        <v>166</v>
      </c>
      <c r="C151" s="52" t="s">
        <v>84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153</v>
      </c>
      <c r="B152" s="52" t="s">
        <v>167</v>
      </c>
      <c r="C152" s="52" t="s">
        <v>79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153</v>
      </c>
      <c r="B153" s="52" t="s">
        <v>167</v>
      </c>
      <c r="C153" s="52" t="s">
        <v>84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153</v>
      </c>
      <c r="B154" s="52" t="s">
        <v>168</v>
      </c>
      <c r="C154" s="52" t="s">
        <v>79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153</v>
      </c>
      <c r="B155" s="52" t="s">
        <v>168</v>
      </c>
      <c r="C155" s="52" t="s">
        <v>84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153</v>
      </c>
      <c r="B156" s="52" t="s">
        <v>169</v>
      </c>
      <c r="C156" s="52" t="s">
        <v>79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153</v>
      </c>
      <c r="B157" s="52" t="s">
        <v>169</v>
      </c>
      <c r="C157" s="52" t="s">
        <v>84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153</v>
      </c>
      <c r="B158" s="52" t="s">
        <v>170</v>
      </c>
      <c r="C158" s="52" t="s">
        <v>79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153</v>
      </c>
      <c r="B159" s="52" t="s">
        <v>170</v>
      </c>
      <c r="C159" s="52" t="s">
        <v>84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153</v>
      </c>
      <c r="B160" s="52" t="s">
        <v>171</v>
      </c>
      <c r="C160" s="52" t="s">
        <v>79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153</v>
      </c>
      <c r="B161" s="52" t="s">
        <v>171</v>
      </c>
      <c r="C161" s="52" t="s">
        <v>84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153</v>
      </c>
      <c r="B162" s="52" t="s">
        <v>172</v>
      </c>
      <c r="C162" s="52" t="s">
        <v>79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153</v>
      </c>
      <c r="B163" s="52" t="s">
        <v>173</v>
      </c>
      <c r="C163" s="52" t="s">
        <v>79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153</v>
      </c>
      <c r="B164" s="52" t="s">
        <v>173</v>
      </c>
      <c r="C164" s="52" t="s">
        <v>84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153</v>
      </c>
      <c r="B165" s="52" t="s">
        <v>174</v>
      </c>
      <c r="C165" s="52" t="s">
        <v>79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153</v>
      </c>
      <c r="B166" s="52" t="s">
        <v>174</v>
      </c>
      <c r="C166" s="52" t="s">
        <v>84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153</v>
      </c>
      <c r="B167" s="52" t="s">
        <v>175</v>
      </c>
      <c r="C167" s="52" t="s">
        <v>79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153</v>
      </c>
      <c r="B168" s="52" t="s">
        <v>175</v>
      </c>
      <c r="C168" s="52" t="s">
        <v>84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153</v>
      </c>
      <c r="B169" s="52" t="s">
        <v>175</v>
      </c>
      <c r="C169" s="52" t="s">
        <v>120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153</v>
      </c>
      <c r="B170" s="52" t="s">
        <v>176</v>
      </c>
      <c r="C170" s="52" t="s">
        <v>79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153</v>
      </c>
      <c r="B171" s="52" t="s">
        <v>176</v>
      </c>
      <c r="C171" s="52" t="s">
        <v>120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153</v>
      </c>
      <c r="B172" s="52" t="s">
        <v>177</v>
      </c>
      <c r="C172" s="52" t="s">
        <v>79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153</v>
      </c>
      <c r="B173" s="52" t="s">
        <v>177</v>
      </c>
      <c r="C173" s="52" t="s">
        <v>120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153</v>
      </c>
      <c r="B174" s="52" t="s">
        <v>178</v>
      </c>
      <c r="C174" s="52" t="s">
        <v>79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153</v>
      </c>
      <c r="B175" s="52" t="s">
        <v>178</v>
      </c>
      <c r="C175" s="52" t="s">
        <v>84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153</v>
      </c>
      <c r="B176" s="52" t="s">
        <v>179</v>
      </c>
      <c r="C176" s="52" t="s">
        <v>79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153</v>
      </c>
      <c r="B177" s="52" t="s">
        <v>179</v>
      </c>
      <c r="C177" s="52" t="s">
        <v>84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153</v>
      </c>
      <c r="B178" s="52" t="s">
        <v>180</v>
      </c>
      <c r="C178" s="52" t="s">
        <v>79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153</v>
      </c>
      <c r="B179" s="52" t="s">
        <v>180</v>
      </c>
      <c r="C179" s="52" t="s">
        <v>84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153</v>
      </c>
      <c r="B180" s="52" t="s">
        <v>180</v>
      </c>
      <c r="C180" s="52" t="s">
        <v>120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153</v>
      </c>
      <c r="B181" s="52" t="s">
        <v>181</v>
      </c>
      <c r="C181" s="52" t="s">
        <v>79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153</v>
      </c>
      <c r="B182" s="52" t="s">
        <v>181</v>
      </c>
      <c r="C182" s="52" t="s">
        <v>84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153</v>
      </c>
      <c r="B183" s="52" t="s">
        <v>181</v>
      </c>
      <c r="C183" s="52" t="s">
        <v>120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153</v>
      </c>
      <c r="B184" s="52" t="s">
        <v>182</v>
      </c>
      <c r="C184" s="52" t="s">
        <v>84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153</v>
      </c>
      <c r="B185" s="52" t="s">
        <v>183</v>
      </c>
      <c r="C185" s="52" t="s">
        <v>79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153</v>
      </c>
      <c r="B186" s="52" t="s">
        <v>183</v>
      </c>
      <c r="C186" s="52" t="s">
        <v>84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153</v>
      </c>
      <c r="B187" s="52" t="s">
        <v>184</v>
      </c>
      <c r="C187" s="52" t="s">
        <v>79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153</v>
      </c>
      <c r="B188" s="52" t="s">
        <v>185</v>
      </c>
      <c r="C188" s="52" t="s">
        <v>79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153</v>
      </c>
      <c r="B189" s="52" t="s">
        <v>186</v>
      </c>
      <c r="C189" s="52" t="s">
        <v>79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153</v>
      </c>
      <c r="B190" s="52" t="s">
        <v>186</v>
      </c>
      <c r="C190" s="52" t="s">
        <v>84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153</v>
      </c>
      <c r="B191" s="52" t="s">
        <v>187</v>
      </c>
      <c r="C191" s="52" t="s">
        <v>79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188</v>
      </c>
      <c r="B192" s="52" t="s">
        <v>73</v>
      </c>
      <c r="C192" s="52" t="s">
        <v>74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188</v>
      </c>
      <c r="B193" s="52" t="s">
        <v>189</v>
      </c>
      <c r="C193" s="52" t="s">
        <v>79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188</v>
      </c>
      <c r="B194" s="52" t="s">
        <v>189</v>
      </c>
      <c r="C194" s="52" t="s">
        <v>84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188</v>
      </c>
      <c r="B195" s="52" t="s">
        <v>190</v>
      </c>
      <c r="C195" s="52" t="s">
        <v>79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188</v>
      </c>
      <c r="B196" s="52" t="s">
        <v>191</v>
      </c>
      <c r="C196" s="52" t="s">
        <v>79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188</v>
      </c>
      <c r="B197" s="52" t="s">
        <v>191</v>
      </c>
      <c r="C197" s="52" t="s">
        <v>84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188</v>
      </c>
      <c r="B198" s="52" t="s">
        <v>192</v>
      </c>
      <c r="C198" s="52" t="s">
        <v>193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188</v>
      </c>
      <c r="B199" s="52" t="s">
        <v>192</v>
      </c>
      <c r="C199" s="52" t="s">
        <v>79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188</v>
      </c>
      <c r="B200" s="52" t="s">
        <v>192</v>
      </c>
      <c r="C200" s="52" t="s">
        <v>84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188</v>
      </c>
      <c r="B201" s="52" t="s">
        <v>192</v>
      </c>
      <c r="C201" s="52" t="s">
        <v>120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188</v>
      </c>
      <c r="B202" s="52" t="s">
        <v>192</v>
      </c>
      <c r="C202" s="52" t="s">
        <v>194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188</v>
      </c>
      <c r="B203" s="52" t="s">
        <v>192</v>
      </c>
      <c r="C203" s="52" t="s">
        <v>195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188</v>
      </c>
      <c r="B204" s="52" t="s">
        <v>192</v>
      </c>
      <c r="C204" s="52" t="s">
        <v>196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188</v>
      </c>
      <c r="B205" s="52" t="s">
        <v>197</v>
      </c>
      <c r="C205" s="52" t="s">
        <v>79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188</v>
      </c>
      <c r="B206" s="52" t="s">
        <v>197</v>
      </c>
      <c r="C206" s="52" t="s">
        <v>84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188</v>
      </c>
      <c r="B207" s="52" t="s">
        <v>198</v>
      </c>
      <c r="C207" s="52" t="s">
        <v>79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188</v>
      </c>
      <c r="B208" s="52" t="s">
        <v>198</v>
      </c>
      <c r="C208" s="52" t="s">
        <v>84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188</v>
      </c>
      <c r="B209" s="52" t="s">
        <v>199</v>
      </c>
      <c r="C209" s="52" t="s">
        <v>79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188</v>
      </c>
      <c r="B210" s="52" t="s">
        <v>199</v>
      </c>
      <c r="C210" s="52" t="s">
        <v>84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188</v>
      </c>
      <c r="B211" s="60" t="s">
        <v>200</v>
      </c>
      <c r="C211" s="52" t="s">
        <v>79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188</v>
      </c>
      <c r="B212" s="60" t="s">
        <v>200</v>
      </c>
      <c r="C212" s="52" t="s">
        <v>84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201</v>
      </c>
      <c r="B213" s="52" t="s">
        <v>202</v>
      </c>
      <c r="C213" s="52" t="s">
        <v>79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201</v>
      </c>
      <c r="B214" s="52" t="s">
        <v>202</v>
      </c>
      <c r="C214" s="52" t="s">
        <v>84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201</v>
      </c>
      <c r="B215" s="52" t="s">
        <v>202</v>
      </c>
      <c r="C215" s="52" t="s">
        <v>118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201</v>
      </c>
      <c r="B216" s="52" t="s">
        <v>203</v>
      </c>
      <c r="C216" s="52" t="s">
        <v>79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201</v>
      </c>
      <c r="B217" s="52" t="s">
        <v>203</v>
      </c>
      <c r="C217" s="52" t="s">
        <v>84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201</v>
      </c>
      <c r="B218" s="52" t="s">
        <v>203</v>
      </c>
      <c r="C218" s="52" t="s">
        <v>118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201</v>
      </c>
      <c r="B219" s="52" t="s">
        <v>204</v>
      </c>
      <c r="C219" s="52" t="s">
        <v>79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201</v>
      </c>
      <c r="B220" s="52" t="s">
        <v>204</v>
      </c>
      <c r="C220" s="52" t="s">
        <v>84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201</v>
      </c>
      <c r="B221" s="52" t="s">
        <v>204</v>
      </c>
      <c r="C221" s="52" t="s">
        <v>118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201</v>
      </c>
      <c r="B222" s="52" t="s">
        <v>205</v>
      </c>
      <c r="C222" s="52" t="s">
        <v>79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201</v>
      </c>
      <c r="B223" s="52" t="s">
        <v>205</v>
      </c>
      <c r="C223" s="52" t="s">
        <v>84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201</v>
      </c>
      <c r="B224" s="52" t="s">
        <v>205</v>
      </c>
      <c r="C224" s="52" t="s">
        <v>118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201</v>
      </c>
      <c r="B225" s="52" t="s">
        <v>206</v>
      </c>
      <c r="C225" s="52" t="s">
        <v>79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201</v>
      </c>
      <c r="B226" s="52" t="s">
        <v>206</v>
      </c>
      <c r="C226" s="52" t="s">
        <v>84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201</v>
      </c>
      <c r="B227" s="52" t="s">
        <v>206</v>
      </c>
      <c r="C227" s="52" t="s">
        <v>118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201</v>
      </c>
      <c r="B228" s="52" t="s">
        <v>207</v>
      </c>
      <c r="C228" s="52" t="s">
        <v>79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201</v>
      </c>
      <c r="B229" s="52" t="s">
        <v>207</v>
      </c>
      <c r="C229" s="52" t="s">
        <v>84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201</v>
      </c>
      <c r="B230" s="52" t="s">
        <v>208</v>
      </c>
      <c r="C230" s="52" t="s">
        <v>79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201</v>
      </c>
      <c r="B231" s="52" t="s">
        <v>208</v>
      </c>
      <c r="C231" s="52" t="s">
        <v>84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201</v>
      </c>
      <c r="B232" s="52" t="s">
        <v>209</v>
      </c>
      <c r="C232" s="52" t="s">
        <v>79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201</v>
      </c>
      <c r="B233" s="52" t="s">
        <v>209</v>
      </c>
      <c r="C233" s="52" t="s">
        <v>84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201</v>
      </c>
      <c r="B234" s="52" t="s">
        <v>210</v>
      </c>
      <c r="C234" s="52" t="s">
        <v>79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201</v>
      </c>
      <c r="B235" s="52" t="s">
        <v>210</v>
      </c>
      <c r="C235" s="52" t="s">
        <v>84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201</v>
      </c>
      <c r="B236" s="52" t="s">
        <v>211</v>
      </c>
      <c r="C236" s="52" t="s">
        <v>79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201</v>
      </c>
      <c r="B237" s="52" t="s">
        <v>211</v>
      </c>
      <c r="C237" s="52" t="s">
        <v>84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201</v>
      </c>
      <c r="B238" s="52" t="s">
        <v>212</v>
      </c>
      <c r="C238" s="52" t="s">
        <v>79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201</v>
      </c>
      <c r="B239" s="52" t="s">
        <v>212</v>
      </c>
      <c r="C239" s="52" t="s">
        <v>84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201</v>
      </c>
      <c r="B240" s="52" t="s">
        <v>213</v>
      </c>
      <c r="C240" s="52" t="s">
        <v>79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201</v>
      </c>
      <c r="B241" s="52" t="s">
        <v>213</v>
      </c>
      <c r="C241" s="52" t="s">
        <v>84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201</v>
      </c>
      <c r="B242" s="52" t="s">
        <v>213</v>
      </c>
      <c r="C242" s="52" t="s">
        <v>118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201</v>
      </c>
      <c r="B243" s="52" t="s">
        <v>214</v>
      </c>
      <c r="C243" s="52" t="s">
        <v>79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201</v>
      </c>
      <c r="B244" s="52" t="s">
        <v>214</v>
      </c>
      <c r="C244" s="52" t="s">
        <v>84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215</v>
      </c>
      <c r="B245" s="52" t="s">
        <v>216</v>
      </c>
      <c r="C245" s="52" t="s">
        <v>79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215</v>
      </c>
      <c r="B246" s="52" t="s">
        <v>216</v>
      </c>
      <c r="C246" s="52" t="s">
        <v>84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215</v>
      </c>
      <c r="B247" s="52" t="s">
        <v>216</v>
      </c>
      <c r="C247" s="52" t="s">
        <v>120</v>
      </c>
      <c r="D247" s="52">
        <v>2</v>
      </c>
      <c r="E247" s="52"/>
      <c r="F247" s="67">
        <v>46158</v>
      </c>
      <c r="G247" s="67">
        <v>46062</v>
      </c>
      <c r="H247" s="69" t="s">
        <v>77</v>
      </c>
    </row>
    <row r="248" spans="1:8" ht="14.25" customHeight="1">
      <c r="A248" s="70" t="s">
        <v>215</v>
      </c>
      <c r="B248" s="52" t="s">
        <v>218</v>
      </c>
      <c r="C248" s="52" t="s">
        <v>79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215</v>
      </c>
      <c r="B249" s="52" t="s">
        <v>218</v>
      </c>
      <c r="C249" s="52" t="s">
        <v>84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215</v>
      </c>
      <c r="B250" s="52" t="s">
        <v>218</v>
      </c>
      <c r="C250" s="52" t="s">
        <v>118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215</v>
      </c>
      <c r="B251" s="52" t="s">
        <v>219</v>
      </c>
      <c r="C251" s="52" t="s">
        <v>79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215</v>
      </c>
      <c r="B252" s="52" t="s">
        <v>219</v>
      </c>
      <c r="C252" s="52" t="s">
        <v>84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215</v>
      </c>
      <c r="B253" s="52" t="s">
        <v>219</v>
      </c>
      <c r="C253" s="52" t="s">
        <v>118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215</v>
      </c>
      <c r="B254" s="52" t="s">
        <v>220</v>
      </c>
      <c r="C254" s="52" t="s">
        <v>79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215</v>
      </c>
      <c r="B255" s="52" t="s">
        <v>220</v>
      </c>
      <c r="C255" s="52" t="s">
        <v>84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215</v>
      </c>
      <c r="B256" s="52" t="s">
        <v>221</v>
      </c>
      <c r="C256" s="52" t="s">
        <v>79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215</v>
      </c>
      <c r="B257" s="52" t="s">
        <v>221</v>
      </c>
      <c r="C257" s="52" t="s">
        <v>84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215</v>
      </c>
      <c r="B258" s="52" t="s">
        <v>222</v>
      </c>
      <c r="C258" s="52" t="s">
        <v>79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215</v>
      </c>
      <c r="B259" s="52" t="s">
        <v>222</v>
      </c>
      <c r="C259" s="52" t="s">
        <v>84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215</v>
      </c>
      <c r="B260" s="52" t="s">
        <v>223</v>
      </c>
      <c r="C260" s="52" t="s">
        <v>79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215</v>
      </c>
      <c r="B261" s="52" t="s">
        <v>223</v>
      </c>
      <c r="C261" s="52" t="s">
        <v>84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215</v>
      </c>
      <c r="B262" s="52" t="s">
        <v>224</v>
      </c>
      <c r="C262" s="52" t="s">
        <v>79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215</v>
      </c>
      <c r="B263" s="52" t="s">
        <v>224</v>
      </c>
      <c r="C263" s="52" t="s">
        <v>84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215</v>
      </c>
      <c r="B264" s="52" t="s">
        <v>224</v>
      </c>
      <c r="C264" s="52" t="s">
        <v>118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215</v>
      </c>
      <c r="B265" s="52" t="s">
        <v>225</v>
      </c>
      <c r="C265" s="52" t="s">
        <v>79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215</v>
      </c>
      <c r="B266" s="52" t="s">
        <v>225</v>
      </c>
      <c r="C266" s="52" t="s">
        <v>84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226</v>
      </c>
      <c r="B267" s="52" t="s">
        <v>73</v>
      </c>
      <c r="C267" s="52" t="s">
        <v>74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226</v>
      </c>
      <c r="B268" s="52" t="s">
        <v>227</v>
      </c>
      <c r="C268" s="52" t="s">
        <v>118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226</v>
      </c>
      <c r="B269" s="52" t="s">
        <v>228</v>
      </c>
      <c r="C269" s="52" t="s">
        <v>84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226</v>
      </c>
      <c r="B270" s="60" t="s">
        <v>229</v>
      </c>
      <c r="C270" s="52" t="s">
        <v>79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226</v>
      </c>
      <c r="B271" s="60" t="s">
        <v>229</v>
      </c>
      <c r="C271" s="52" t="s">
        <v>84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226</v>
      </c>
      <c r="B272" s="60" t="s">
        <v>230</v>
      </c>
      <c r="C272" s="52" t="s">
        <v>79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226</v>
      </c>
      <c r="B273" s="60" t="s">
        <v>231</v>
      </c>
      <c r="C273" s="52" t="s">
        <v>79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226</v>
      </c>
      <c r="B274" s="60" t="s">
        <v>231</v>
      </c>
      <c r="C274" s="52" t="s">
        <v>84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232</v>
      </c>
      <c r="B275" s="52" t="s">
        <v>73</v>
      </c>
      <c r="C275" s="52" t="s">
        <v>74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232</v>
      </c>
      <c r="B276" s="52" t="s">
        <v>233</v>
      </c>
      <c r="C276" s="52" t="s">
        <v>79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232</v>
      </c>
      <c r="B277" s="52" t="s">
        <v>233</v>
      </c>
      <c r="C277" s="52" t="s">
        <v>84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234</v>
      </c>
      <c r="B278" s="52" t="s">
        <v>73</v>
      </c>
      <c r="C278" s="52" t="s">
        <v>74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234</v>
      </c>
      <c r="B279" s="60" t="s">
        <v>235</v>
      </c>
      <c r="C279" s="52" t="s">
        <v>83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234</v>
      </c>
      <c r="B280" s="60" t="s">
        <v>235</v>
      </c>
      <c r="C280" s="52" t="s">
        <v>76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236</v>
      </c>
      <c r="B281" s="52" t="s">
        <v>73</v>
      </c>
      <c r="C281" s="52" t="s">
        <v>74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236</v>
      </c>
      <c r="B282" s="52" t="s">
        <v>237</v>
      </c>
      <c r="C282" s="52" t="s">
        <v>83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236</v>
      </c>
      <c r="B283" s="52" t="s">
        <v>237</v>
      </c>
      <c r="C283" s="52" t="s">
        <v>84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238</v>
      </c>
      <c r="B284" s="52" t="s">
        <v>73</v>
      </c>
      <c r="C284" s="52" t="s">
        <v>74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239</v>
      </c>
      <c r="B285" s="52" t="s">
        <v>73</v>
      </c>
      <c r="C285" s="52" t="s">
        <v>74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239</v>
      </c>
      <c r="B286" s="60" t="s">
        <v>235</v>
      </c>
      <c r="C286" s="52" t="s">
        <v>83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239</v>
      </c>
      <c r="B287" s="60" t="s">
        <v>235</v>
      </c>
      <c r="C287" s="52" t="s">
        <v>76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239</v>
      </c>
      <c r="B288" s="60" t="s">
        <v>235</v>
      </c>
      <c r="C288" s="52" t="s">
        <v>120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239</v>
      </c>
      <c r="B289" s="60" t="s">
        <v>235</v>
      </c>
      <c r="C289" s="52" t="s">
        <v>118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240</v>
      </c>
      <c r="B290" s="52" t="s">
        <v>73</v>
      </c>
      <c r="C290" s="52" t="s">
        <v>74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240</v>
      </c>
      <c r="B291" s="60" t="s">
        <v>241</v>
      </c>
      <c r="C291" s="52" t="s">
        <v>83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240</v>
      </c>
      <c r="B292" s="60" t="s">
        <v>241</v>
      </c>
      <c r="C292" s="52" t="s">
        <v>84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242</v>
      </c>
      <c r="B293" s="52" t="s">
        <v>242</v>
      </c>
      <c r="C293" s="52" t="s">
        <v>79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242</v>
      </c>
      <c r="B294" s="52" t="s">
        <v>242</v>
      </c>
      <c r="C294" s="52" t="s">
        <v>84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243</v>
      </c>
      <c r="B295" s="52" t="s">
        <v>243</v>
      </c>
      <c r="C295" s="52" t="s">
        <v>79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243</v>
      </c>
      <c r="B296" s="52" t="s">
        <v>243</v>
      </c>
      <c r="C296" s="52" t="s">
        <v>84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244</v>
      </c>
      <c r="B297" s="52" t="s">
        <v>244</v>
      </c>
      <c r="C297" s="52" t="s">
        <v>79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244</v>
      </c>
      <c r="B298" s="52" t="s">
        <v>244</v>
      </c>
      <c r="C298" s="52" t="s">
        <v>84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245</v>
      </c>
      <c r="B299" s="60" t="s">
        <v>246</v>
      </c>
      <c r="C299" s="52" t="s">
        <v>79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247</v>
      </c>
      <c r="B300" s="60" t="s">
        <v>248</v>
      </c>
      <c r="C300" s="52" t="s">
        <v>83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249</v>
      </c>
      <c r="B301" s="72" t="s">
        <v>237</v>
      </c>
      <c r="C301" s="72" t="s">
        <v>79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727</v>
      </c>
      <c r="F304" s="76"/>
      <c r="G304" s="76"/>
    </row>
    <row r="305" spans="1:7" ht="14.25" customHeight="1">
      <c r="A305" t="s">
        <v>74</v>
      </c>
      <c r="B305">
        <v>290</v>
      </c>
      <c r="F305" s="76"/>
      <c r="G305" s="76"/>
    </row>
    <row r="306" spans="1:7" ht="14.25" customHeight="1">
      <c r="A306" t="s">
        <v>79</v>
      </c>
      <c r="B306">
        <v>164</v>
      </c>
      <c r="F306" s="76"/>
      <c r="G306" s="76"/>
    </row>
    <row r="307" spans="1:7" ht="14.25" customHeight="1">
      <c r="A307" t="s">
        <v>84</v>
      </c>
      <c r="B307">
        <v>128</v>
      </c>
      <c r="F307" s="76"/>
      <c r="G307" s="76"/>
    </row>
    <row r="308" spans="1:7" ht="14.25" customHeight="1">
      <c r="A308" t="s">
        <v>83</v>
      </c>
      <c r="B308">
        <v>34</v>
      </c>
      <c r="F308" s="76"/>
      <c r="G308" s="76"/>
    </row>
    <row r="309" spans="1:7" ht="14.25" customHeight="1">
      <c r="A309" t="s">
        <v>76</v>
      </c>
      <c r="B309">
        <v>25</v>
      </c>
      <c r="F309" s="76"/>
      <c r="G309" s="76"/>
    </row>
    <row r="310" spans="1:7" ht="14.25" customHeight="1">
      <c r="A310" t="s">
        <v>120</v>
      </c>
      <c r="B310">
        <v>25</v>
      </c>
      <c r="F310" s="76"/>
      <c r="G310" s="76"/>
    </row>
    <row r="311" spans="1:7" ht="14.25" customHeight="1">
      <c r="A311" t="s">
        <v>118</v>
      </c>
      <c r="B311">
        <v>18</v>
      </c>
      <c r="F311" s="76"/>
      <c r="G311" s="76"/>
    </row>
    <row r="312" spans="1:7" ht="14.25" customHeight="1">
      <c r="A312" t="s">
        <v>125</v>
      </c>
      <c r="B312">
        <v>4</v>
      </c>
      <c r="F312" s="76"/>
      <c r="G312" s="76"/>
    </row>
    <row r="313" spans="1:7" ht="14.25" customHeight="1">
      <c r="A313" t="s">
        <v>126</v>
      </c>
      <c r="B313">
        <v>4</v>
      </c>
      <c r="F313" s="76"/>
      <c r="G313" s="76"/>
    </row>
    <row r="314" spans="1:7" ht="14.25" customHeight="1">
      <c r="A314" t="s">
        <v>193</v>
      </c>
      <c r="B314">
        <v>4</v>
      </c>
      <c r="F314" s="76"/>
      <c r="G314" s="76"/>
    </row>
    <row r="315" spans="1:7" ht="14.25" customHeight="1">
      <c r="A315" t="s">
        <v>129</v>
      </c>
      <c r="B315">
        <v>4</v>
      </c>
      <c r="F315" s="76"/>
      <c r="G315" s="76"/>
    </row>
    <row r="316" spans="1:7" ht="14.25" customHeight="1">
      <c r="A316" t="s">
        <v>195</v>
      </c>
      <c r="B316">
        <v>3</v>
      </c>
      <c r="F316" s="76"/>
      <c r="G316" s="76"/>
    </row>
    <row r="317" spans="1:7" ht="14.25" customHeight="1">
      <c r="A317" t="s">
        <v>81</v>
      </c>
      <c r="B317">
        <v>2</v>
      </c>
      <c r="F317" s="76"/>
      <c r="G317" s="76"/>
    </row>
    <row r="318" spans="1:7" ht="14.25" customHeight="1">
      <c r="A318" t="s">
        <v>127</v>
      </c>
      <c r="B318">
        <v>2</v>
      </c>
      <c r="F318" s="76"/>
      <c r="G318" s="76"/>
    </row>
    <row r="319" spans="1:7" ht="14.25" customHeight="1">
      <c r="A319" t="s">
        <v>194</v>
      </c>
      <c r="B319">
        <v>2</v>
      </c>
      <c r="F319" s="76"/>
      <c r="G319" s="76"/>
    </row>
    <row r="320" spans="1:7" ht="14.25" customHeight="1">
      <c r="A320" t="s">
        <v>128</v>
      </c>
      <c r="B320">
        <v>2</v>
      </c>
      <c r="F320" s="76"/>
      <c r="G320" s="76"/>
    </row>
    <row r="321" spans="1:7" ht="14.25" customHeight="1">
      <c r="A321" t="s">
        <v>196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728</v>
      </c>
    </row>
    <row r="2" spans="1:6" ht="14.25" customHeight="1">
      <c r="A2" t="s">
        <v>729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250</v>
      </c>
      <c r="B5" s="52" t="s">
        <v>251</v>
      </c>
      <c r="C5" s="52" t="s">
        <v>79</v>
      </c>
      <c r="D5" s="52">
        <v>4</v>
      </c>
      <c r="E5" s="52" t="s">
        <v>575</v>
      </c>
      <c r="F5" s="52" t="s">
        <v>6</v>
      </c>
    </row>
    <row r="6" spans="1:6" ht="14.25" customHeight="1">
      <c r="A6" s="62" t="s">
        <v>250</v>
      </c>
      <c r="B6" s="61" t="s">
        <v>251</v>
      </c>
      <c r="C6" s="61" t="s">
        <v>84</v>
      </c>
      <c r="D6" s="61">
        <v>2</v>
      </c>
      <c r="E6" s="61" t="s">
        <v>730</v>
      </c>
      <c r="F6" s="61" t="s">
        <v>6</v>
      </c>
    </row>
    <row r="7" spans="1:6" ht="14.25" customHeight="1">
      <c r="A7" s="60" t="s">
        <v>250</v>
      </c>
      <c r="B7" s="52" t="s">
        <v>252</v>
      </c>
      <c r="C7" s="52" t="s">
        <v>79</v>
      </c>
      <c r="D7" s="52">
        <v>8</v>
      </c>
      <c r="E7" s="52" t="s">
        <v>731</v>
      </c>
      <c r="F7" s="52" t="s">
        <v>6</v>
      </c>
    </row>
    <row r="8" spans="1:6" ht="14.25" customHeight="1">
      <c r="A8" s="62" t="s">
        <v>250</v>
      </c>
      <c r="B8" s="61" t="s">
        <v>252</v>
      </c>
      <c r="C8" s="61" t="s">
        <v>84</v>
      </c>
      <c r="D8" s="61">
        <v>4</v>
      </c>
      <c r="E8" s="61" t="s">
        <v>732</v>
      </c>
      <c r="F8" s="61" t="s">
        <v>6</v>
      </c>
    </row>
    <row r="9" spans="1:6" ht="14.25" customHeight="1">
      <c r="A9" s="60" t="s">
        <v>250</v>
      </c>
      <c r="B9" s="52" t="s">
        <v>73</v>
      </c>
      <c r="C9" s="52" t="s">
        <v>74</v>
      </c>
      <c r="D9" s="52">
        <v>24</v>
      </c>
      <c r="E9" s="52" t="s">
        <v>733</v>
      </c>
      <c r="F9" s="52" t="s">
        <v>6</v>
      </c>
    </row>
    <row r="10" spans="1:6" ht="14.25" customHeight="1">
      <c r="A10" s="62" t="s">
        <v>250</v>
      </c>
      <c r="B10" s="61" t="s">
        <v>254</v>
      </c>
      <c r="C10" s="61" t="s">
        <v>84</v>
      </c>
      <c r="D10" s="61">
        <v>2</v>
      </c>
      <c r="E10" s="61" t="s">
        <v>681</v>
      </c>
      <c r="F10" s="61" t="s">
        <v>6</v>
      </c>
    </row>
    <row r="11" spans="1:6" ht="14.25" customHeight="1">
      <c r="A11" s="60" t="s">
        <v>250</v>
      </c>
      <c r="B11" s="52" t="s">
        <v>255</v>
      </c>
      <c r="C11" s="52" t="s">
        <v>79</v>
      </c>
      <c r="D11" s="52">
        <v>4</v>
      </c>
      <c r="E11" s="52" t="s">
        <v>682</v>
      </c>
      <c r="F11" s="52" t="s">
        <v>6</v>
      </c>
    </row>
    <row r="12" spans="1:6" ht="14.25" customHeight="1">
      <c r="A12" s="62" t="s">
        <v>250</v>
      </c>
      <c r="B12" s="61" t="s">
        <v>256</v>
      </c>
      <c r="C12" s="61" t="s">
        <v>79</v>
      </c>
      <c r="D12" s="61">
        <v>1</v>
      </c>
      <c r="E12" s="61" t="s">
        <v>577</v>
      </c>
      <c r="F12" s="61" t="s">
        <v>6</v>
      </c>
    </row>
    <row r="13" spans="1:6" ht="14.25" customHeight="1">
      <c r="A13" s="60" t="s">
        <v>250</v>
      </c>
      <c r="B13" s="52" t="s">
        <v>192</v>
      </c>
      <c r="C13" s="52" t="s">
        <v>79</v>
      </c>
      <c r="D13" s="52">
        <v>7</v>
      </c>
      <c r="E13" s="52" t="s">
        <v>683</v>
      </c>
      <c r="F13" s="52" t="s">
        <v>6</v>
      </c>
    </row>
    <row r="14" spans="1:6" ht="14.25" customHeight="1">
      <c r="A14" s="62" t="s">
        <v>250</v>
      </c>
      <c r="B14" s="61" t="s">
        <v>192</v>
      </c>
      <c r="C14" s="61" t="s">
        <v>84</v>
      </c>
      <c r="D14" s="61">
        <v>1</v>
      </c>
      <c r="E14" s="61" t="s">
        <v>684</v>
      </c>
      <c r="F14" s="61" t="s">
        <v>6</v>
      </c>
    </row>
    <row r="15" spans="1:6" ht="14.25" customHeight="1">
      <c r="A15" s="60" t="s">
        <v>250</v>
      </c>
      <c r="B15" s="52" t="s">
        <v>192</v>
      </c>
      <c r="C15" s="52" t="s">
        <v>257</v>
      </c>
      <c r="D15" s="52">
        <v>2</v>
      </c>
      <c r="E15" s="52" t="s">
        <v>614</v>
      </c>
      <c r="F15" s="52" t="s">
        <v>6</v>
      </c>
    </row>
    <row r="16" spans="1:6" ht="14.25" customHeight="1">
      <c r="A16" s="62" t="s">
        <v>260</v>
      </c>
      <c r="B16" s="61" t="s">
        <v>259</v>
      </c>
      <c r="C16" s="61" t="s">
        <v>79</v>
      </c>
      <c r="D16" s="61">
        <v>4</v>
      </c>
      <c r="E16" s="61" t="s">
        <v>615</v>
      </c>
      <c r="F16" s="61" t="s">
        <v>6</v>
      </c>
    </row>
    <row r="17" spans="1:6" ht="14.25" customHeight="1">
      <c r="A17" s="60" t="s">
        <v>260</v>
      </c>
      <c r="B17" s="52" t="s">
        <v>261</v>
      </c>
      <c r="C17" s="52" t="s">
        <v>79</v>
      </c>
      <c r="D17" s="52">
        <v>1</v>
      </c>
      <c r="E17" s="52" t="s">
        <v>615</v>
      </c>
      <c r="F17" s="52" t="s">
        <v>6</v>
      </c>
    </row>
    <row r="18" spans="1:6" ht="14.25" customHeight="1">
      <c r="A18" s="62" t="s">
        <v>260</v>
      </c>
      <c r="B18" s="61" t="s">
        <v>262</v>
      </c>
      <c r="C18" s="61" t="s">
        <v>79</v>
      </c>
      <c r="D18" s="61">
        <v>2</v>
      </c>
      <c r="E18" s="61" t="s">
        <v>615</v>
      </c>
      <c r="F18" s="61" t="s">
        <v>6</v>
      </c>
    </row>
    <row r="19" spans="1:6" ht="14.25" customHeight="1">
      <c r="A19" s="60" t="s">
        <v>260</v>
      </c>
      <c r="B19" s="52" t="s">
        <v>263</v>
      </c>
      <c r="C19" s="52" t="s">
        <v>79</v>
      </c>
      <c r="D19" s="52">
        <v>4</v>
      </c>
      <c r="E19" s="52" t="s">
        <v>685</v>
      </c>
      <c r="F19" s="52" t="s">
        <v>6</v>
      </c>
    </row>
    <row r="20" spans="1:6" ht="14.25" customHeight="1">
      <c r="A20" s="62" t="s">
        <v>260</v>
      </c>
      <c r="B20" s="61" t="s">
        <v>264</v>
      </c>
      <c r="C20" s="61" t="s">
        <v>79</v>
      </c>
      <c r="D20" s="61">
        <v>2</v>
      </c>
      <c r="E20" s="61" t="s">
        <v>685</v>
      </c>
      <c r="F20" s="61" t="s">
        <v>6</v>
      </c>
    </row>
    <row r="21" spans="1:6" ht="14.25" customHeight="1">
      <c r="A21" s="60" t="s">
        <v>260</v>
      </c>
      <c r="B21" s="60" t="s">
        <v>265</v>
      </c>
      <c r="C21" s="52" t="s">
        <v>79</v>
      </c>
      <c r="D21" s="52">
        <v>2</v>
      </c>
      <c r="E21" s="52" t="s">
        <v>686</v>
      </c>
      <c r="F21" s="52" t="s">
        <v>6</v>
      </c>
    </row>
    <row r="22" spans="1:6" ht="14.25" customHeight="1">
      <c r="A22" s="62" t="s">
        <v>260</v>
      </c>
      <c r="B22" s="62" t="s">
        <v>266</v>
      </c>
      <c r="C22" s="61" t="s">
        <v>79</v>
      </c>
      <c r="D22" s="61">
        <v>2</v>
      </c>
      <c r="E22" s="61" t="s">
        <v>686</v>
      </c>
      <c r="F22" s="61" t="s">
        <v>6</v>
      </c>
    </row>
    <row r="23" spans="1:6" ht="14.25" customHeight="1">
      <c r="A23" s="60" t="s">
        <v>260</v>
      </c>
      <c r="B23" s="60" t="s">
        <v>267</v>
      </c>
      <c r="C23" s="52" t="s">
        <v>79</v>
      </c>
      <c r="D23" s="52">
        <v>1</v>
      </c>
      <c r="E23" s="52" t="s">
        <v>686</v>
      </c>
      <c r="F23" s="52" t="s">
        <v>6</v>
      </c>
    </row>
    <row r="24" spans="1:6" ht="14.25" customHeight="1">
      <c r="A24" s="62" t="s">
        <v>260</v>
      </c>
      <c r="B24" s="62" t="s">
        <v>268</v>
      </c>
      <c r="C24" s="61" t="s">
        <v>79</v>
      </c>
      <c r="D24" s="61">
        <v>1</v>
      </c>
      <c r="E24" s="61" t="s">
        <v>579</v>
      </c>
      <c r="F24" s="61" t="s">
        <v>6</v>
      </c>
    </row>
    <row r="25" spans="1:6" ht="14.25" customHeight="1">
      <c r="A25" s="60" t="s">
        <v>260</v>
      </c>
      <c r="B25" s="60" t="s">
        <v>269</v>
      </c>
      <c r="C25" s="52" t="s">
        <v>79</v>
      </c>
      <c r="D25" s="52">
        <v>1</v>
      </c>
      <c r="E25" s="52" t="s">
        <v>579</v>
      </c>
      <c r="F25" s="52" t="s">
        <v>6</v>
      </c>
    </row>
    <row r="26" spans="1:6" ht="14.25" customHeight="1">
      <c r="A26" s="62" t="s">
        <v>260</v>
      </c>
      <c r="B26" s="62" t="s">
        <v>270</v>
      </c>
      <c r="C26" s="61" t="s">
        <v>79</v>
      </c>
      <c r="D26" s="61">
        <v>4</v>
      </c>
      <c r="E26" s="61" t="s">
        <v>687</v>
      </c>
      <c r="F26" s="61" t="s">
        <v>6</v>
      </c>
    </row>
    <row r="27" spans="1:6" ht="14.25" customHeight="1">
      <c r="A27" s="60" t="s">
        <v>260</v>
      </c>
      <c r="B27" s="60" t="s">
        <v>270</v>
      </c>
      <c r="C27" s="52" t="s">
        <v>84</v>
      </c>
      <c r="D27" s="52">
        <v>1</v>
      </c>
      <c r="E27" s="52" t="s">
        <v>687</v>
      </c>
      <c r="F27" s="52" t="s">
        <v>6</v>
      </c>
    </row>
    <row r="28" spans="1:6" ht="14.25" customHeight="1">
      <c r="A28" s="62" t="s">
        <v>260</v>
      </c>
      <c r="B28" s="62" t="s">
        <v>271</v>
      </c>
      <c r="C28" s="61" t="s">
        <v>79</v>
      </c>
      <c r="D28" s="61">
        <v>4</v>
      </c>
      <c r="E28" s="61" t="s">
        <v>687</v>
      </c>
      <c r="F28" s="61" t="s">
        <v>6</v>
      </c>
    </row>
    <row r="29" spans="1:6" ht="14.25" customHeight="1">
      <c r="A29" s="60" t="s">
        <v>260</v>
      </c>
      <c r="B29" s="60" t="s">
        <v>272</v>
      </c>
      <c r="C29" s="52" t="s">
        <v>79</v>
      </c>
      <c r="D29" s="52">
        <v>5</v>
      </c>
      <c r="E29" s="52" t="s">
        <v>616</v>
      </c>
      <c r="F29" s="52" t="s">
        <v>6</v>
      </c>
    </row>
    <row r="30" spans="1:6" ht="14.25" customHeight="1">
      <c r="A30" s="62" t="s">
        <v>260</v>
      </c>
      <c r="B30" s="62" t="s">
        <v>689</v>
      </c>
      <c r="C30" s="61" t="s">
        <v>79</v>
      </c>
      <c r="D30" s="61">
        <v>1</v>
      </c>
      <c r="E30" s="61" t="s">
        <v>616</v>
      </c>
      <c r="F30" s="61" t="s">
        <v>6</v>
      </c>
    </row>
    <row r="31" spans="1:6" ht="14.25" customHeight="1">
      <c r="A31" s="60" t="s">
        <v>273</v>
      </c>
      <c r="B31" s="52" t="s">
        <v>690</v>
      </c>
      <c r="C31" s="52" t="s">
        <v>79</v>
      </c>
      <c r="D31" s="52">
        <v>3</v>
      </c>
      <c r="E31" s="52" t="s">
        <v>617</v>
      </c>
      <c r="F31" s="52" t="s">
        <v>6</v>
      </c>
    </row>
    <row r="32" spans="1:6" ht="14.25" customHeight="1">
      <c r="A32" s="62" t="s">
        <v>273</v>
      </c>
      <c r="B32" s="61" t="s">
        <v>690</v>
      </c>
      <c r="C32" s="61" t="s">
        <v>118</v>
      </c>
      <c r="D32" s="61">
        <v>2</v>
      </c>
      <c r="E32" s="61" t="s">
        <v>617</v>
      </c>
      <c r="F32" s="61" t="s">
        <v>6</v>
      </c>
    </row>
    <row r="33" spans="1:6" ht="14.25" customHeight="1">
      <c r="A33" s="60" t="s">
        <v>273</v>
      </c>
      <c r="B33" s="52" t="s">
        <v>690</v>
      </c>
      <c r="C33" s="52" t="s">
        <v>275</v>
      </c>
      <c r="D33" s="52">
        <v>2</v>
      </c>
      <c r="E33" s="52" t="s">
        <v>617</v>
      </c>
      <c r="F33" s="52" t="s">
        <v>6</v>
      </c>
    </row>
    <row r="34" spans="1:6" ht="14.25" customHeight="1">
      <c r="A34" s="62" t="s">
        <v>273</v>
      </c>
      <c r="B34" s="61" t="s">
        <v>690</v>
      </c>
      <c r="C34" s="61" t="s">
        <v>129</v>
      </c>
      <c r="D34" s="61">
        <v>2</v>
      </c>
      <c r="E34" s="61" t="s">
        <v>688</v>
      </c>
      <c r="F34" s="61" t="s">
        <v>6</v>
      </c>
    </row>
    <row r="35" spans="1:6" ht="14.25" customHeight="1">
      <c r="A35" s="60" t="s">
        <v>273</v>
      </c>
      <c r="B35" s="52" t="s">
        <v>276</v>
      </c>
      <c r="C35" s="52" t="s">
        <v>79</v>
      </c>
      <c r="D35" s="52">
        <v>4</v>
      </c>
      <c r="E35" s="52" t="s">
        <v>688</v>
      </c>
      <c r="F35" s="52" t="s">
        <v>6</v>
      </c>
    </row>
    <row r="36" spans="1:6" ht="14.25" customHeight="1">
      <c r="A36" s="62" t="s">
        <v>273</v>
      </c>
      <c r="B36" s="61" t="s">
        <v>276</v>
      </c>
      <c r="C36" s="61" t="s">
        <v>84</v>
      </c>
      <c r="D36" s="61">
        <v>3</v>
      </c>
      <c r="E36" s="61" t="s">
        <v>618</v>
      </c>
      <c r="F36" s="61" t="s">
        <v>6</v>
      </c>
    </row>
    <row r="37" spans="1:6" ht="14.25" customHeight="1">
      <c r="A37" s="60" t="s">
        <v>273</v>
      </c>
      <c r="B37" s="52" t="s">
        <v>277</v>
      </c>
      <c r="C37" s="52" t="s">
        <v>79</v>
      </c>
      <c r="D37" s="52">
        <v>1</v>
      </c>
      <c r="E37" s="52" t="s">
        <v>618</v>
      </c>
      <c r="F37" s="52" t="s">
        <v>6</v>
      </c>
    </row>
    <row r="38" spans="1:6" ht="14.25" customHeight="1">
      <c r="A38" s="62" t="s">
        <v>278</v>
      </c>
      <c r="B38" s="61" t="s">
        <v>279</v>
      </c>
      <c r="C38" s="61" t="s">
        <v>79</v>
      </c>
      <c r="D38" s="61">
        <v>1</v>
      </c>
      <c r="E38" s="61" t="s">
        <v>619</v>
      </c>
      <c r="F38" s="61" t="s">
        <v>6</v>
      </c>
    </row>
    <row r="39" spans="1:6" ht="14.25" customHeight="1">
      <c r="A39" s="60" t="s">
        <v>278</v>
      </c>
      <c r="B39" s="52" t="s">
        <v>280</v>
      </c>
      <c r="C39" s="52" t="s">
        <v>118</v>
      </c>
      <c r="D39" s="52">
        <v>2</v>
      </c>
      <c r="E39" s="52" t="s">
        <v>619</v>
      </c>
      <c r="F39" s="52" t="s">
        <v>6</v>
      </c>
    </row>
    <row r="40" spans="1:6" ht="14.25" customHeight="1">
      <c r="A40" s="62" t="s">
        <v>278</v>
      </c>
      <c r="B40" s="61" t="s">
        <v>281</v>
      </c>
      <c r="C40" s="61" t="s">
        <v>79</v>
      </c>
      <c r="D40" s="61">
        <v>7</v>
      </c>
      <c r="E40" s="61" t="s">
        <v>581</v>
      </c>
      <c r="F40" s="61" t="s">
        <v>6</v>
      </c>
    </row>
    <row r="41" spans="1:6" ht="14.25" customHeight="1">
      <c r="A41" s="60" t="s">
        <v>278</v>
      </c>
      <c r="B41" s="52" t="s">
        <v>282</v>
      </c>
      <c r="C41" s="52" t="s">
        <v>79</v>
      </c>
      <c r="D41" s="52">
        <v>4</v>
      </c>
      <c r="E41" s="52" t="s">
        <v>581</v>
      </c>
      <c r="F41" s="52" t="s">
        <v>6</v>
      </c>
    </row>
    <row r="42" spans="1:6" ht="14.25" customHeight="1">
      <c r="A42" s="62" t="s">
        <v>283</v>
      </c>
      <c r="B42" s="61" t="s">
        <v>279</v>
      </c>
      <c r="C42" s="61" t="s">
        <v>79</v>
      </c>
      <c r="D42" s="61">
        <v>8</v>
      </c>
      <c r="E42" s="61" t="s">
        <v>620</v>
      </c>
      <c r="F42" s="61" t="s">
        <v>6</v>
      </c>
    </row>
    <row r="43" spans="1:6" ht="14.25" customHeight="1">
      <c r="A43" s="60" t="s">
        <v>283</v>
      </c>
      <c r="B43" s="52" t="s">
        <v>284</v>
      </c>
      <c r="C43" s="52" t="s">
        <v>118</v>
      </c>
      <c r="D43" s="52">
        <v>2</v>
      </c>
      <c r="E43" s="52" t="s">
        <v>620</v>
      </c>
      <c r="F43" s="52" t="s">
        <v>6</v>
      </c>
    </row>
    <row r="44" spans="1:6" ht="14.25" customHeight="1">
      <c r="A44" s="62" t="s">
        <v>283</v>
      </c>
      <c r="B44" s="61" t="s">
        <v>285</v>
      </c>
      <c r="C44" s="61" t="s">
        <v>79</v>
      </c>
      <c r="D44" s="61">
        <v>1</v>
      </c>
      <c r="E44" s="61" t="s">
        <v>621</v>
      </c>
      <c r="F44" s="61" t="s">
        <v>6</v>
      </c>
    </row>
    <row r="45" spans="1:6" ht="14.25" customHeight="1">
      <c r="A45" s="60" t="s">
        <v>286</v>
      </c>
      <c r="B45" s="52" t="s">
        <v>287</v>
      </c>
      <c r="C45" s="52" t="s">
        <v>118</v>
      </c>
      <c r="D45" s="52">
        <v>2</v>
      </c>
      <c r="E45" s="52" t="s">
        <v>622</v>
      </c>
      <c r="F45" s="52" t="s">
        <v>6</v>
      </c>
    </row>
    <row r="46" spans="1:6" ht="14.25" customHeight="1">
      <c r="A46" s="62" t="s">
        <v>286</v>
      </c>
      <c r="B46" s="61" t="s">
        <v>288</v>
      </c>
      <c r="C46" s="61" t="s">
        <v>79</v>
      </c>
      <c r="D46" s="61">
        <v>4</v>
      </c>
      <c r="E46" s="61" t="s">
        <v>622</v>
      </c>
      <c r="F46" s="61" t="s">
        <v>6</v>
      </c>
    </row>
    <row r="47" spans="1:6" ht="14.25" customHeight="1">
      <c r="A47" s="60" t="s">
        <v>286</v>
      </c>
      <c r="B47" s="60" t="s">
        <v>289</v>
      </c>
      <c r="C47" s="52" t="s">
        <v>79</v>
      </c>
      <c r="D47" s="52">
        <v>1</v>
      </c>
      <c r="E47" s="52" t="s">
        <v>622</v>
      </c>
      <c r="F47" s="52" t="s">
        <v>6</v>
      </c>
    </row>
    <row r="48" spans="1:6" ht="14.25" customHeight="1">
      <c r="A48" s="62" t="s">
        <v>291</v>
      </c>
      <c r="B48" s="61" t="s">
        <v>292</v>
      </c>
      <c r="C48" s="61" t="s">
        <v>79</v>
      </c>
      <c r="D48" s="61">
        <v>2</v>
      </c>
      <c r="E48" s="61" t="s">
        <v>623</v>
      </c>
      <c r="F48" s="61" t="s">
        <v>6</v>
      </c>
    </row>
    <row r="49" spans="1:6" ht="14.25" customHeight="1">
      <c r="A49" s="60" t="s">
        <v>291</v>
      </c>
      <c r="B49" s="60" t="s">
        <v>293</v>
      </c>
      <c r="C49" s="52" t="s">
        <v>79</v>
      </c>
      <c r="D49" s="52">
        <v>2</v>
      </c>
      <c r="E49" s="52" t="s">
        <v>623</v>
      </c>
      <c r="F49" s="52" t="s">
        <v>6</v>
      </c>
    </row>
    <row r="50" spans="1:6" ht="14.25" customHeight="1">
      <c r="A50" s="62" t="s">
        <v>294</v>
      </c>
      <c r="B50" s="61" t="s">
        <v>295</v>
      </c>
      <c r="C50" s="61" t="s">
        <v>79</v>
      </c>
      <c r="D50" s="61">
        <v>3</v>
      </c>
      <c r="E50" s="61" t="s">
        <v>624</v>
      </c>
      <c r="F50" s="61" t="s">
        <v>6</v>
      </c>
    </row>
    <row r="51" spans="1:6" ht="14.25" customHeight="1">
      <c r="A51" s="52" t="s">
        <v>296</v>
      </c>
      <c r="B51" s="52" t="s">
        <v>73</v>
      </c>
      <c r="C51" s="52" t="s">
        <v>74</v>
      </c>
      <c r="D51" s="52">
        <v>1</v>
      </c>
      <c r="E51" s="52" t="s">
        <v>625</v>
      </c>
      <c r="F51" s="52" t="s">
        <v>6</v>
      </c>
    </row>
    <row r="52" spans="1:6" ht="14.25" customHeight="1">
      <c r="A52" s="61" t="s">
        <v>296</v>
      </c>
      <c r="B52" s="61" t="s">
        <v>297</v>
      </c>
      <c r="C52" s="61" t="s">
        <v>79</v>
      </c>
      <c r="D52" s="61">
        <v>2</v>
      </c>
      <c r="E52" s="61" t="s">
        <v>625</v>
      </c>
      <c r="F52" s="61" t="s">
        <v>6</v>
      </c>
    </row>
    <row r="53" spans="1:6" ht="14.25" customHeight="1">
      <c r="A53" s="60" t="s">
        <v>298</v>
      </c>
      <c r="B53" s="52" t="s">
        <v>299</v>
      </c>
      <c r="C53" s="52" t="s">
        <v>79</v>
      </c>
      <c r="D53" s="52">
        <v>2</v>
      </c>
      <c r="E53" s="52" t="s">
        <v>626</v>
      </c>
      <c r="F53" s="52" t="s">
        <v>6</v>
      </c>
    </row>
    <row r="54" spans="1:6" ht="14.25" customHeight="1">
      <c r="A54" s="62" t="s">
        <v>298</v>
      </c>
      <c r="B54" s="61" t="s">
        <v>299</v>
      </c>
      <c r="C54" s="61" t="s">
        <v>118</v>
      </c>
      <c r="D54" s="61">
        <v>1</v>
      </c>
      <c r="E54" s="61" t="s">
        <v>626</v>
      </c>
      <c r="F54" s="61" t="s">
        <v>6</v>
      </c>
    </row>
    <row r="55" spans="1:6" ht="14.25" customHeight="1">
      <c r="A55" s="60" t="s">
        <v>302</v>
      </c>
      <c r="B55" s="52" t="s">
        <v>303</v>
      </c>
      <c r="C55" s="52" t="s">
        <v>79</v>
      </c>
      <c r="D55" s="52">
        <v>1</v>
      </c>
      <c r="E55" s="52" t="s">
        <v>627</v>
      </c>
      <c r="F55" s="52" t="s">
        <v>6</v>
      </c>
    </row>
    <row r="56" spans="1:6" ht="14.25" customHeight="1">
      <c r="A56" s="62" t="s">
        <v>302</v>
      </c>
      <c r="B56" s="61" t="s">
        <v>304</v>
      </c>
      <c r="C56" s="61" t="s">
        <v>79</v>
      </c>
      <c r="D56" s="61">
        <v>2</v>
      </c>
      <c r="E56" s="61" t="s">
        <v>627</v>
      </c>
      <c r="F56" s="61" t="s">
        <v>6</v>
      </c>
    </row>
    <row r="57" spans="1:6" ht="14.25" customHeight="1">
      <c r="A57" s="60" t="s">
        <v>305</v>
      </c>
      <c r="B57" s="52" t="s">
        <v>306</v>
      </c>
      <c r="C57" s="52" t="s">
        <v>79</v>
      </c>
      <c r="D57" s="52">
        <v>2</v>
      </c>
      <c r="E57" s="52" t="s">
        <v>628</v>
      </c>
      <c r="F57" s="52" t="s">
        <v>6</v>
      </c>
    </row>
    <row r="58" spans="1:6" ht="14.25" customHeight="1">
      <c r="A58" s="61" t="s">
        <v>307</v>
      </c>
      <c r="B58" s="61" t="s">
        <v>308</v>
      </c>
      <c r="C58" s="61" t="s">
        <v>79</v>
      </c>
      <c r="D58" s="61">
        <v>2</v>
      </c>
      <c r="E58" s="61" t="s">
        <v>629</v>
      </c>
      <c r="F58" s="61" t="s">
        <v>6</v>
      </c>
    </row>
    <row r="59" spans="1:6" ht="14.25" customHeight="1">
      <c r="A59" s="52" t="s">
        <v>309</v>
      </c>
      <c r="B59" s="52" t="s">
        <v>310</v>
      </c>
      <c r="C59" s="52" t="s">
        <v>79</v>
      </c>
      <c r="D59" s="52">
        <v>2</v>
      </c>
      <c r="E59" s="52" t="s">
        <v>630</v>
      </c>
      <c r="F59" s="52" t="s">
        <v>6</v>
      </c>
    </row>
    <row r="60" spans="1:6" ht="14.25" customHeight="1">
      <c r="A60" s="62" t="s">
        <v>311</v>
      </c>
      <c r="B60" s="61" t="s">
        <v>312</v>
      </c>
      <c r="C60" s="61" t="s">
        <v>79</v>
      </c>
      <c r="D60" s="61">
        <v>2</v>
      </c>
      <c r="E60" s="61" t="s">
        <v>631</v>
      </c>
      <c r="F60" s="61" t="s">
        <v>6</v>
      </c>
    </row>
    <row r="61" spans="1:6" ht="14.25" customHeight="1">
      <c r="A61" s="52" t="s">
        <v>313</v>
      </c>
      <c r="B61" s="52" t="s">
        <v>314</v>
      </c>
      <c r="C61" s="52" t="s">
        <v>79</v>
      </c>
      <c r="D61" s="52">
        <v>2</v>
      </c>
      <c r="E61" s="52" t="s">
        <v>632</v>
      </c>
      <c r="F61" s="52" t="s">
        <v>6</v>
      </c>
    </row>
    <row r="62" spans="1:6" ht="14.25" customHeight="1">
      <c r="A62" s="61" t="s">
        <v>315</v>
      </c>
      <c r="B62" s="61" t="s">
        <v>690</v>
      </c>
      <c r="C62" s="61" t="s">
        <v>118</v>
      </c>
      <c r="D62" s="61">
        <v>2</v>
      </c>
      <c r="E62" s="61" t="s">
        <v>633</v>
      </c>
      <c r="F62" s="61" t="s">
        <v>6</v>
      </c>
    </row>
    <row r="63" spans="1:6" ht="14.25" customHeight="1">
      <c r="A63" s="52" t="s">
        <v>317</v>
      </c>
      <c r="B63" s="52" t="s">
        <v>318</v>
      </c>
      <c r="C63" s="52" t="s">
        <v>79</v>
      </c>
      <c r="D63" s="52">
        <v>2</v>
      </c>
      <c r="E63" s="52" t="s">
        <v>634</v>
      </c>
      <c r="F63" s="52" t="s">
        <v>6</v>
      </c>
    </row>
    <row r="64" spans="1:6" ht="14.25" customHeight="1">
      <c r="A64" s="62" t="s">
        <v>319</v>
      </c>
      <c r="B64" s="61" t="s">
        <v>192</v>
      </c>
      <c r="C64" s="61" t="s">
        <v>257</v>
      </c>
      <c r="D64" s="61">
        <v>2</v>
      </c>
      <c r="E64" s="61" t="s">
        <v>635</v>
      </c>
      <c r="F64" s="61" t="s">
        <v>6</v>
      </c>
    </row>
    <row r="65" spans="1:6" ht="14.25" customHeight="1">
      <c r="A65" s="60" t="s">
        <v>320</v>
      </c>
      <c r="B65" s="52" t="s">
        <v>321</v>
      </c>
      <c r="C65" s="52" t="s">
        <v>79</v>
      </c>
      <c r="D65" s="52">
        <v>1</v>
      </c>
      <c r="E65" s="52" t="s">
        <v>584</v>
      </c>
      <c r="F65" s="52" t="s">
        <v>6</v>
      </c>
    </row>
    <row r="66" spans="1:6" ht="14.25" customHeight="1">
      <c r="A66" s="62" t="s">
        <v>322</v>
      </c>
      <c r="B66" s="61" t="s">
        <v>323</v>
      </c>
      <c r="C66" s="61" t="s">
        <v>79</v>
      </c>
      <c r="D66" s="61">
        <v>1</v>
      </c>
      <c r="E66" s="61" t="s">
        <v>636</v>
      </c>
      <c r="F66" s="61" t="s">
        <v>6</v>
      </c>
    </row>
    <row r="67" spans="1:6" ht="14.25" customHeight="1">
      <c r="A67" s="60" t="s">
        <v>324</v>
      </c>
      <c r="B67" s="52" t="s">
        <v>325</v>
      </c>
      <c r="C67" s="52" t="s">
        <v>79</v>
      </c>
      <c r="D67" s="52">
        <v>1</v>
      </c>
      <c r="E67" s="52" t="s">
        <v>590</v>
      </c>
      <c r="F67" s="52" t="s">
        <v>6</v>
      </c>
    </row>
    <row r="68" spans="1:6" ht="14.25" customHeight="1">
      <c r="A68" s="62" t="s">
        <v>326</v>
      </c>
      <c r="B68" s="61" t="s">
        <v>327</v>
      </c>
      <c r="C68" s="61" t="s">
        <v>79</v>
      </c>
      <c r="D68" s="61">
        <v>1</v>
      </c>
      <c r="E68" s="61" t="s">
        <v>591</v>
      </c>
      <c r="F68" s="61" t="s">
        <v>6</v>
      </c>
    </row>
    <row r="69" spans="1:6" ht="14.25" customHeight="1">
      <c r="A69" s="60" t="s">
        <v>328</v>
      </c>
      <c r="B69" s="52" t="s">
        <v>329</v>
      </c>
      <c r="C69" s="52" t="s">
        <v>79</v>
      </c>
      <c r="D69" s="52">
        <v>1</v>
      </c>
      <c r="E69" s="52" t="s">
        <v>637</v>
      </c>
      <c r="F69" s="52" t="s">
        <v>6</v>
      </c>
    </row>
    <row r="70" spans="1:6" ht="14.25" customHeight="1">
      <c r="A70" s="62" t="s">
        <v>330</v>
      </c>
      <c r="B70" s="61" t="s">
        <v>331</v>
      </c>
      <c r="C70" s="61" t="s">
        <v>79</v>
      </c>
      <c r="D70" s="61">
        <v>1</v>
      </c>
      <c r="E70" s="61" t="s">
        <v>638</v>
      </c>
      <c r="F70" s="61" t="s">
        <v>6</v>
      </c>
    </row>
    <row r="71" spans="1:6" ht="14.25" customHeight="1">
      <c r="A71" s="60" t="s">
        <v>332</v>
      </c>
      <c r="B71" s="52" t="s">
        <v>333</v>
      </c>
      <c r="C71" s="52" t="s">
        <v>79</v>
      </c>
      <c r="D71" s="52">
        <v>1</v>
      </c>
      <c r="E71" s="52" t="s">
        <v>639</v>
      </c>
      <c r="F71" s="52" t="s">
        <v>6</v>
      </c>
    </row>
    <row r="72" spans="1:6" ht="14.25" customHeight="1">
      <c r="A72" s="62" t="s">
        <v>334</v>
      </c>
      <c r="B72" s="61" t="s">
        <v>335</v>
      </c>
      <c r="C72" s="61" t="s">
        <v>79</v>
      </c>
      <c r="D72" s="61">
        <v>1</v>
      </c>
      <c r="E72" s="61" t="s">
        <v>576</v>
      </c>
      <c r="F72" s="61" t="s">
        <v>6</v>
      </c>
    </row>
    <row r="73" spans="1:6" ht="14.25" customHeight="1">
      <c r="A73" s="60" t="s">
        <v>336</v>
      </c>
      <c r="B73" s="52" t="s">
        <v>337</v>
      </c>
      <c r="C73" s="52" t="s">
        <v>79</v>
      </c>
      <c r="D73" s="52">
        <v>1</v>
      </c>
      <c r="E73" s="52" t="s">
        <v>576</v>
      </c>
      <c r="F73" s="52" t="s">
        <v>6</v>
      </c>
    </row>
    <row r="74" spans="1:6" ht="14.25" customHeight="1">
      <c r="A74" s="62" t="s">
        <v>338</v>
      </c>
      <c r="B74" s="61" t="s">
        <v>339</v>
      </c>
      <c r="C74" s="61" t="s">
        <v>79</v>
      </c>
      <c r="D74" s="61">
        <v>1</v>
      </c>
      <c r="E74" s="61" t="s">
        <v>576</v>
      </c>
      <c r="F74" s="61" t="s">
        <v>6</v>
      </c>
    </row>
    <row r="75" spans="1:6" ht="14.25" customHeight="1">
      <c r="A75" s="60" t="s">
        <v>340</v>
      </c>
      <c r="B75" s="52" t="s">
        <v>341</v>
      </c>
      <c r="C75" s="52" t="s">
        <v>79</v>
      </c>
      <c r="D75" s="52">
        <v>1</v>
      </c>
      <c r="E75" s="52" t="s">
        <v>576</v>
      </c>
      <c r="F75" s="52" t="s">
        <v>6</v>
      </c>
    </row>
    <row r="76" spans="1:6" ht="14.25" customHeight="1">
      <c r="A76" s="62" t="s">
        <v>342</v>
      </c>
      <c r="B76" s="61" t="s">
        <v>343</v>
      </c>
      <c r="C76" s="61" t="s">
        <v>79</v>
      </c>
      <c r="D76" s="61">
        <v>1</v>
      </c>
      <c r="E76" s="61" t="s">
        <v>576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727</v>
      </c>
    </row>
    <row r="80" spans="1:6" ht="14.25" customHeight="1">
      <c r="A80" t="s">
        <v>79</v>
      </c>
      <c r="B80">
        <v>130</v>
      </c>
    </row>
    <row r="81" spans="1:2" ht="14.25" customHeight="1">
      <c r="A81" t="s">
        <v>74</v>
      </c>
      <c r="B81">
        <v>25</v>
      </c>
    </row>
    <row r="82" spans="1:2" ht="14.25" customHeight="1">
      <c r="A82" t="s">
        <v>84</v>
      </c>
      <c r="B82">
        <v>13</v>
      </c>
    </row>
    <row r="83" spans="1:2" ht="14.25" customHeight="1">
      <c r="A83" t="s">
        <v>118</v>
      </c>
      <c r="B83">
        <v>11</v>
      </c>
    </row>
    <row r="84" spans="1:2" ht="14.25" customHeight="1">
      <c r="A84" t="s">
        <v>257</v>
      </c>
      <c r="B84">
        <v>4</v>
      </c>
    </row>
    <row r="85" spans="1:2" ht="14.25" customHeight="1">
      <c r="A85" t="s">
        <v>275</v>
      </c>
      <c r="B85">
        <v>2</v>
      </c>
    </row>
    <row r="86" spans="1:2" ht="14.25" customHeight="1">
      <c r="A86" t="s">
        <v>129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734</v>
      </c>
    </row>
    <row r="2" spans="1:6" ht="14.25" customHeight="1">
      <c r="A2" t="s">
        <v>735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344</v>
      </c>
      <c r="B5" s="52" t="s">
        <v>73</v>
      </c>
      <c r="C5" s="52" t="s">
        <v>74</v>
      </c>
      <c r="D5" s="52">
        <v>44</v>
      </c>
      <c r="E5" s="52" t="s">
        <v>577</v>
      </c>
      <c r="F5" s="52" t="s">
        <v>6</v>
      </c>
    </row>
    <row r="6" spans="1:6" ht="14.25" customHeight="1">
      <c r="A6" s="62" t="s">
        <v>344</v>
      </c>
      <c r="B6" s="61" t="s">
        <v>345</v>
      </c>
      <c r="C6" s="61" t="s">
        <v>79</v>
      </c>
      <c r="D6" s="61">
        <v>3</v>
      </c>
      <c r="E6" s="61" t="s">
        <v>577</v>
      </c>
      <c r="F6" s="61" t="s">
        <v>6</v>
      </c>
    </row>
    <row r="7" spans="1:6" ht="14.25" customHeight="1">
      <c r="A7" s="60" t="s">
        <v>344</v>
      </c>
      <c r="B7" s="52" t="s">
        <v>345</v>
      </c>
      <c r="C7" s="52" t="s">
        <v>84</v>
      </c>
      <c r="D7" s="52">
        <v>2</v>
      </c>
      <c r="E7" s="52" t="s">
        <v>577</v>
      </c>
      <c r="F7" s="52" t="s">
        <v>6</v>
      </c>
    </row>
    <row r="8" spans="1:6" ht="14.25" customHeight="1">
      <c r="A8" s="62" t="s">
        <v>344</v>
      </c>
      <c r="B8" s="61" t="s">
        <v>346</v>
      </c>
      <c r="C8" s="61" t="s">
        <v>79</v>
      </c>
      <c r="D8" s="61">
        <v>3</v>
      </c>
      <c r="E8" s="61" t="s">
        <v>683</v>
      </c>
      <c r="F8" s="61" t="s">
        <v>6</v>
      </c>
    </row>
    <row r="9" spans="1:6" ht="14.25" customHeight="1">
      <c r="A9" s="60" t="s">
        <v>344</v>
      </c>
      <c r="B9" s="52" t="s">
        <v>346</v>
      </c>
      <c r="C9" s="52" t="s">
        <v>84</v>
      </c>
      <c r="D9" s="52">
        <v>3</v>
      </c>
      <c r="E9" s="52" t="s">
        <v>683</v>
      </c>
      <c r="F9" s="52" t="s">
        <v>6</v>
      </c>
    </row>
    <row r="10" spans="1:6" ht="14.25" customHeight="1">
      <c r="A10" s="62" t="s">
        <v>344</v>
      </c>
      <c r="B10" s="61" t="s">
        <v>347</v>
      </c>
      <c r="C10" s="61" t="s">
        <v>79</v>
      </c>
      <c r="D10" s="61">
        <v>3</v>
      </c>
      <c r="E10" s="61" t="s">
        <v>683</v>
      </c>
      <c r="F10" s="61" t="s">
        <v>6</v>
      </c>
    </row>
    <row r="11" spans="1:6" ht="14.25" customHeight="1">
      <c r="A11" s="60" t="s">
        <v>344</v>
      </c>
      <c r="B11" s="52" t="s">
        <v>347</v>
      </c>
      <c r="C11" s="52" t="s">
        <v>84</v>
      </c>
      <c r="D11" s="52">
        <v>3</v>
      </c>
      <c r="E11" s="52" t="s">
        <v>684</v>
      </c>
      <c r="F11" s="52" t="s">
        <v>6</v>
      </c>
    </row>
    <row r="12" spans="1:6" ht="14.25" customHeight="1">
      <c r="A12" s="62" t="s">
        <v>344</v>
      </c>
      <c r="B12" s="61" t="s">
        <v>348</v>
      </c>
      <c r="C12" s="61" t="s">
        <v>79</v>
      </c>
      <c r="D12" s="61">
        <v>3</v>
      </c>
      <c r="E12" s="61" t="s">
        <v>684</v>
      </c>
      <c r="F12" s="61" t="s">
        <v>6</v>
      </c>
    </row>
    <row r="13" spans="1:6" ht="14.25" customHeight="1">
      <c r="A13" s="60" t="s">
        <v>344</v>
      </c>
      <c r="B13" s="52" t="s">
        <v>348</v>
      </c>
      <c r="C13" s="52" t="s">
        <v>84</v>
      </c>
      <c r="D13" s="52">
        <v>3</v>
      </c>
      <c r="E13" s="52" t="s">
        <v>614</v>
      </c>
      <c r="F13" s="52" t="s">
        <v>6</v>
      </c>
    </row>
    <row r="14" spans="1:6" ht="14.25" customHeight="1">
      <c r="A14" s="62" t="s">
        <v>344</v>
      </c>
      <c r="B14" s="61" t="s">
        <v>349</v>
      </c>
      <c r="C14" s="61" t="s">
        <v>79</v>
      </c>
      <c r="D14" s="61">
        <v>3</v>
      </c>
      <c r="E14" s="61" t="s">
        <v>614</v>
      </c>
      <c r="F14" s="61" t="s">
        <v>6</v>
      </c>
    </row>
    <row r="15" spans="1:6" ht="14.25" customHeight="1">
      <c r="A15" s="60" t="s">
        <v>344</v>
      </c>
      <c r="B15" s="52" t="s">
        <v>349</v>
      </c>
      <c r="C15" s="52" t="s">
        <v>84</v>
      </c>
      <c r="D15" s="52">
        <v>3</v>
      </c>
      <c r="E15" s="52" t="s">
        <v>614</v>
      </c>
      <c r="F15" s="52" t="s">
        <v>6</v>
      </c>
    </row>
    <row r="16" spans="1:6" ht="14.25" customHeight="1">
      <c r="A16" s="62" t="s">
        <v>344</v>
      </c>
      <c r="B16" s="61" t="s">
        <v>350</v>
      </c>
      <c r="C16" s="61" t="s">
        <v>79</v>
      </c>
      <c r="D16" s="61">
        <v>3</v>
      </c>
      <c r="E16" s="61" t="s">
        <v>615</v>
      </c>
      <c r="F16" s="61" t="s">
        <v>6</v>
      </c>
    </row>
    <row r="17" spans="1:6" ht="14.25" customHeight="1">
      <c r="A17" s="60" t="s">
        <v>344</v>
      </c>
      <c r="B17" s="52" t="s">
        <v>350</v>
      </c>
      <c r="C17" s="52" t="s">
        <v>84</v>
      </c>
      <c r="D17" s="52">
        <v>3</v>
      </c>
      <c r="E17" s="52" t="s">
        <v>615</v>
      </c>
      <c r="F17" s="52" t="s">
        <v>6</v>
      </c>
    </row>
    <row r="18" spans="1:6" ht="14.25" customHeight="1">
      <c r="A18" s="62" t="s">
        <v>344</v>
      </c>
      <c r="B18" s="61" t="s">
        <v>351</v>
      </c>
      <c r="C18" s="61" t="s">
        <v>79</v>
      </c>
      <c r="D18" s="61">
        <v>3</v>
      </c>
      <c r="E18" s="61" t="s">
        <v>685</v>
      </c>
      <c r="F18" s="61" t="s">
        <v>6</v>
      </c>
    </row>
    <row r="19" spans="1:6" ht="14.25" customHeight="1">
      <c r="A19" s="60" t="s">
        <v>344</v>
      </c>
      <c r="B19" s="52" t="s">
        <v>351</v>
      </c>
      <c r="C19" s="52" t="s">
        <v>84</v>
      </c>
      <c r="D19" s="52">
        <v>3</v>
      </c>
      <c r="E19" s="52" t="s">
        <v>685</v>
      </c>
      <c r="F19" s="52" t="s">
        <v>6</v>
      </c>
    </row>
    <row r="20" spans="1:6" ht="14.25" customHeight="1">
      <c r="A20" s="62" t="s">
        <v>344</v>
      </c>
      <c r="B20" s="61" t="s">
        <v>352</v>
      </c>
      <c r="C20" s="61" t="s">
        <v>79</v>
      </c>
      <c r="D20" s="61">
        <v>3</v>
      </c>
      <c r="E20" s="61" t="s">
        <v>685</v>
      </c>
      <c r="F20" s="61" t="s">
        <v>6</v>
      </c>
    </row>
    <row r="21" spans="1:6" ht="14.25" customHeight="1">
      <c r="A21" s="60" t="s">
        <v>344</v>
      </c>
      <c r="B21" s="52" t="s">
        <v>352</v>
      </c>
      <c r="C21" s="52" t="s">
        <v>84</v>
      </c>
      <c r="D21" s="52">
        <v>3</v>
      </c>
      <c r="E21" s="52" t="s">
        <v>686</v>
      </c>
      <c r="F21" s="52" t="s">
        <v>6</v>
      </c>
    </row>
    <row r="22" spans="1:6" ht="14.25" customHeight="1">
      <c r="A22" s="62" t="s">
        <v>344</v>
      </c>
      <c r="B22" s="61" t="s">
        <v>353</v>
      </c>
      <c r="C22" s="61" t="s">
        <v>79</v>
      </c>
      <c r="D22" s="61">
        <v>3</v>
      </c>
      <c r="E22" s="61" t="s">
        <v>686</v>
      </c>
      <c r="F22" s="61" t="s">
        <v>6</v>
      </c>
    </row>
    <row r="23" spans="1:6" ht="14.25" customHeight="1">
      <c r="A23" s="60" t="s">
        <v>344</v>
      </c>
      <c r="B23" s="52" t="s">
        <v>353</v>
      </c>
      <c r="C23" s="52" t="s">
        <v>84</v>
      </c>
      <c r="D23" s="52">
        <v>3</v>
      </c>
      <c r="E23" s="52" t="s">
        <v>579</v>
      </c>
      <c r="F23" s="52" t="s">
        <v>6</v>
      </c>
    </row>
    <row r="24" spans="1:6" ht="14.25" customHeight="1">
      <c r="A24" s="62" t="s">
        <v>344</v>
      </c>
      <c r="B24" s="61" t="s">
        <v>354</v>
      </c>
      <c r="C24" s="61" t="s">
        <v>79</v>
      </c>
      <c r="D24" s="61">
        <v>3</v>
      </c>
      <c r="E24" s="61" t="s">
        <v>579</v>
      </c>
      <c r="F24" s="61" t="s">
        <v>6</v>
      </c>
    </row>
    <row r="25" spans="1:6" ht="14.25" customHeight="1">
      <c r="A25" s="60" t="s">
        <v>344</v>
      </c>
      <c r="B25" s="52" t="s">
        <v>354</v>
      </c>
      <c r="C25" s="52" t="s">
        <v>84</v>
      </c>
      <c r="D25" s="52">
        <v>3</v>
      </c>
      <c r="E25" s="52" t="s">
        <v>579</v>
      </c>
      <c r="F25" s="52" t="s">
        <v>6</v>
      </c>
    </row>
    <row r="26" spans="1:6" ht="14.25" customHeight="1">
      <c r="A26" s="62" t="s">
        <v>344</v>
      </c>
      <c r="B26" s="61" t="s">
        <v>355</v>
      </c>
      <c r="C26" s="61" t="s">
        <v>79</v>
      </c>
      <c r="D26" s="61">
        <v>1</v>
      </c>
      <c r="E26" s="61" t="s">
        <v>687</v>
      </c>
      <c r="F26" s="61" t="s">
        <v>6</v>
      </c>
    </row>
    <row r="27" spans="1:6" ht="14.25" customHeight="1">
      <c r="A27" s="60" t="s">
        <v>344</v>
      </c>
      <c r="B27" s="52" t="s">
        <v>355</v>
      </c>
      <c r="C27" s="52" t="s">
        <v>84</v>
      </c>
      <c r="D27" s="52">
        <v>1</v>
      </c>
      <c r="E27" s="52" t="s">
        <v>687</v>
      </c>
      <c r="F27" s="52" t="s">
        <v>6</v>
      </c>
    </row>
    <row r="28" spans="1:6" ht="14.25" customHeight="1">
      <c r="A28" s="62" t="s">
        <v>344</v>
      </c>
      <c r="B28" s="61" t="s">
        <v>356</v>
      </c>
      <c r="C28" s="61" t="s">
        <v>79</v>
      </c>
      <c r="D28" s="61">
        <v>1</v>
      </c>
      <c r="E28" s="61" t="s">
        <v>687</v>
      </c>
      <c r="F28" s="61" t="s">
        <v>6</v>
      </c>
    </row>
    <row r="29" spans="1:6" ht="14.25" customHeight="1">
      <c r="A29" s="60" t="s">
        <v>344</v>
      </c>
      <c r="B29" s="52" t="s">
        <v>356</v>
      </c>
      <c r="C29" s="52" t="s">
        <v>84</v>
      </c>
      <c r="D29" s="52">
        <v>1</v>
      </c>
      <c r="E29" s="52" t="s">
        <v>616</v>
      </c>
      <c r="F29" s="52" t="s">
        <v>6</v>
      </c>
    </row>
    <row r="30" spans="1:6" ht="14.25" customHeight="1">
      <c r="A30" s="62" t="s">
        <v>344</v>
      </c>
      <c r="B30" s="61" t="s">
        <v>356</v>
      </c>
      <c r="C30" s="61" t="s">
        <v>118</v>
      </c>
      <c r="D30" s="61">
        <v>1</v>
      </c>
      <c r="E30" s="61" t="s">
        <v>616</v>
      </c>
      <c r="F30" s="61" t="s">
        <v>6</v>
      </c>
    </row>
    <row r="31" spans="1:6" ht="14.25" customHeight="1">
      <c r="A31" s="60" t="s">
        <v>344</v>
      </c>
      <c r="B31" s="52" t="s">
        <v>357</v>
      </c>
      <c r="C31" s="52" t="s">
        <v>79</v>
      </c>
      <c r="D31" s="52">
        <v>3</v>
      </c>
      <c r="E31" s="52" t="s">
        <v>617</v>
      </c>
      <c r="F31" s="52" t="s">
        <v>6</v>
      </c>
    </row>
    <row r="32" spans="1:6" ht="14.25" customHeight="1">
      <c r="A32" s="62" t="s">
        <v>344</v>
      </c>
      <c r="B32" s="61" t="s">
        <v>357</v>
      </c>
      <c r="C32" s="61" t="s">
        <v>84</v>
      </c>
      <c r="D32" s="61">
        <v>1</v>
      </c>
      <c r="E32" s="61" t="s">
        <v>617</v>
      </c>
      <c r="F32" s="61" t="s">
        <v>6</v>
      </c>
    </row>
    <row r="33" spans="1:6" ht="14.25" customHeight="1">
      <c r="A33" s="60" t="s">
        <v>344</v>
      </c>
      <c r="B33" s="52" t="s">
        <v>357</v>
      </c>
      <c r="C33" s="52" t="s">
        <v>120</v>
      </c>
      <c r="D33" s="52">
        <v>1</v>
      </c>
      <c r="E33" s="52" t="s">
        <v>617</v>
      </c>
      <c r="F33" s="52" t="s">
        <v>6</v>
      </c>
    </row>
    <row r="34" spans="1:6" ht="14.25" customHeight="1">
      <c r="A34" s="62" t="s">
        <v>344</v>
      </c>
      <c r="B34" s="61" t="s">
        <v>357</v>
      </c>
      <c r="C34" s="61" t="s">
        <v>118</v>
      </c>
      <c r="D34" s="61">
        <v>1</v>
      </c>
      <c r="E34" s="61" t="s">
        <v>688</v>
      </c>
      <c r="F34" s="61" t="s">
        <v>6</v>
      </c>
    </row>
    <row r="35" spans="1:6" ht="14.25" customHeight="1">
      <c r="A35" s="60" t="s">
        <v>344</v>
      </c>
      <c r="B35" s="52" t="s">
        <v>358</v>
      </c>
      <c r="C35" s="52" t="s">
        <v>79</v>
      </c>
      <c r="D35" s="52">
        <v>1</v>
      </c>
      <c r="E35" s="52" t="s">
        <v>688</v>
      </c>
      <c r="F35" s="52" t="s">
        <v>6</v>
      </c>
    </row>
    <row r="36" spans="1:6" ht="14.25" customHeight="1">
      <c r="A36" s="62" t="s">
        <v>344</v>
      </c>
      <c r="B36" s="61" t="s">
        <v>358</v>
      </c>
      <c r="C36" s="61" t="s">
        <v>84</v>
      </c>
      <c r="D36" s="61">
        <v>1</v>
      </c>
      <c r="E36" s="61" t="s">
        <v>618</v>
      </c>
      <c r="F36" s="61" t="s">
        <v>6</v>
      </c>
    </row>
    <row r="37" spans="1:6" ht="14.25" customHeight="1">
      <c r="A37" s="60" t="s">
        <v>344</v>
      </c>
      <c r="B37" s="52" t="s">
        <v>358</v>
      </c>
      <c r="C37" s="52" t="s">
        <v>120</v>
      </c>
      <c r="D37" s="52">
        <v>1</v>
      </c>
      <c r="E37" s="52" t="s">
        <v>618</v>
      </c>
      <c r="F37" s="52" t="s">
        <v>6</v>
      </c>
    </row>
    <row r="38" spans="1:6" ht="14.25" customHeight="1">
      <c r="A38" s="62" t="s">
        <v>344</v>
      </c>
      <c r="B38" s="61" t="s">
        <v>358</v>
      </c>
      <c r="C38" s="61" t="s">
        <v>118</v>
      </c>
      <c r="D38" s="61">
        <v>1</v>
      </c>
      <c r="E38" s="61" t="s">
        <v>618</v>
      </c>
      <c r="F38" s="61" t="s">
        <v>6</v>
      </c>
    </row>
    <row r="39" spans="1:6" ht="14.25" customHeight="1">
      <c r="A39" s="60" t="s">
        <v>344</v>
      </c>
      <c r="B39" s="52" t="s">
        <v>359</v>
      </c>
      <c r="C39" s="52" t="s">
        <v>79</v>
      </c>
      <c r="D39" s="52">
        <v>1</v>
      </c>
      <c r="E39" s="52" t="s">
        <v>619</v>
      </c>
      <c r="F39" s="52" t="s">
        <v>6</v>
      </c>
    </row>
    <row r="40" spans="1:6" ht="14.25" customHeight="1">
      <c r="A40" s="62" t="s">
        <v>344</v>
      </c>
      <c r="B40" s="61" t="s">
        <v>359</v>
      </c>
      <c r="C40" s="61" t="s">
        <v>84</v>
      </c>
      <c r="D40" s="61">
        <v>1</v>
      </c>
      <c r="E40" s="61" t="s">
        <v>619</v>
      </c>
      <c r="F40" s="61" t="s">
        <v>6</v>
      </c>
    </row>
    <row r="41" spans="1:6" ht="14.25" customHeight="1">
      <c r="A41" s="60" t="s">
        <v>344</v>
      </c>
      <c r="B41" s="52" t="s">
        <v>359</v>
      </c>
      <c r="C41" s="52" t="s">
        <v>120</v>
      </c>
      <c r="D41" s="52">
        <v>1</v>
      </c>
      <c r="E41" s="52" t="s">
        <v>581</v>
      </c>
      <c r="F41" s="52" t="s">
        <v>6</v>
      </c>
    </row>
    <row r="42" spans="1:6" ht="14.25" customHeight="1">
      <c r="A42" s="62" t="s">
        <v>344</v>
      </c>
      <c r="B42" s="61" t="s">
        <v>360</v>
      </c>
      <c r="C42" s="61" t="s">
        <v>79</v>
      </c>
      <c r="D42" s="61">
        <v>1</v>
      </c>
      <c r="E42" s="61" t="s">
        <v>581</v>
      </c>
      <c r="F42" s="61" t="s">
        <v>6</v>
      </c>
    </row>
    <row r="43" spans="1:6" ht="14.25" customHeight="1">
      <c r="A43" s="60" t="s">
        <v>344</v>
      </c>
      <c r="B43" s="52" t="s">
        <v>360</v>
      </c>
      <c r="C43" s="52" t="s">
        <v>84</v>
      </c>
      <c r="D43" s="52">
        <v>1</v>
      </c>
      <c r="E43" s="52" t="s">
        <v>581</v>
      </c>
      <c r="F43" s="52" t="s">
        <v>6</v>
      </c>
    </row>
    <row r="44" spans="1:6" ht="14.25" customHeight="1">
      <c r="A44" s="62" t="s">
        <v>344</v>
      </c>
      <c r="B44" s="61" t="s">
        <v>361</v>
      </c>
      <c r="C44" s="61" t="s">
        <v>79</v>
      </c>
      <c r="D44" s="61">
        <v>1</v>
      </c>
      <c r="E44" s="61" t="s">
        <v>620</v>
      </c>
      <c r="F44" s="61" t="s">
        <v>6</v>
      </c>
    </row>
    <row r="45" spans="1:6" ht="14.25" customHeight="1">
      <c r="A45" s="60" t="s">
        <v>344</v>
      </c>
      <c r="B45" s="52" t="s">
        <v>361</v>
      </c>
      <c r="C45" s="52" t="s">
        <v>84</v>
      </c>
      <c r="D45" s="52">
        <v>1</v>
      </c>
      <c r="E45" s="52" t="s">
        <v>620</v>
      </c>
      <c r="F45" s="52" t="s">
        <v>6</v>
      </c>
    </row>
    <row r="46" spans="1:6" ht="14.25" customHeight="1">
      <c r="A46" s="62" t="s">
        <v>344</v>
      </c>
      <c r="B46" s="61" t="s">
        <v>361</v>
      </c>
      <c r="C46" s="61" t="s">
        <v>120</v>
      </c>
      <c r="D46" s="61">
        <v>1</v>
      </c>
      <c r="E46" s="61" t="s">
        <v>621</v>
      </c>
      <c r="F46" s="61" t="s">
        <v>6</v>
      </c>
    </row>
    <row r="47" spans="1:6" ht="14.25" customHeight="1">
      <c r="A47" s="60" t="s">
        <v>344</v>
      </c>
      <c r="B47" s="52" t="s">
        <v>362</v>
      </c>
      <c r="C47" s="52" t="s">
        <v>79</v>
      </c>
      <c r="D47" s="52">
        <v>4</v>
      </c>
      <c r="E47" s="52" t="s">
        <v>621</v>
      </c>
      <c r="F47" s="52" t="s">
        <v>6</v>
      </c>
    </row>
    <row r="48" spans="1:6" ht="14.25" customHeight="1">
      <c r="A48" s="62" t="s">
        <v>344</v>
      </c>
      <c r="B48" s="61" t="s">
        <v>362</v>
      </c>
      <c r="C48" s="61" t="s">
        <v>84</v>
      </c>
      <c r="D48" s="61">
        <v>3</v>
      </c>
      <c r="E48" s="61" t="s">
        <v>621</v>
      </c>
      <c r="F48" s="61" t="s">
        <v>6</v>
      </c>
    </row>
    <row r="49" spans="1:6" ht="14.25" customHeight="1">
      <c r="A49" s="60" t="s">
        <v>344</v>
      </c>
      <c r="B49" s="52" t="s">
        <v>362</v>
      </c>
      <c r="C49" s="52" t="s">
        <v>120</v>
      </c>
      <c r="D49" s="52">
        <v>2</v>
      </c>
      <c r="E49" s="52" t="s">
        <v>622</v>
      </c>
      <c r="F49" s="52" t="s">
        <v>6</v>
      </c>
    </row>
    <row r="50" spans="1:6" ht="14.25" customHeight="1">
      <c r="A50" s="62" t="s">
        <v>344</v>
      </c>
      <c r="B50" s="61" t="s">
        <v>363</v>
      </c>
      <c r="C50" s="61" t="s">
        <v>79</v>
      </c>
      <c r="D50" s="61">
        <v>3</v>
      </c>
      <c r="E50" s="61" t="s">
        <v>622</v>
      </c>
      <c r="F50" s="61" t="s">
        <v>6</v>
      </c>
    </row>
    <row r="51" spans="1:6" ht="14.25" customHeight="1">
      <c r="A51" s="60" t="s">
        <v>344</v>
      </c>
      <c r="B51" s="52" t="s">
        <v>363</v>
      </c>
      <c r="C51" s="52" t="s">
        <v>84</v>
      </c>
      <c r="D51" s="52">
        <v>1</v>
      </c>
      <c r="E51" s="52" t="s">
        <v>622</v>
      </c>
      <c r="F51" s="52" t="s">
        <v>6</v>
      </c>
    </row>
    <row r="52" spans="1:6" ht="14.25" customHeight="1">
      <c r="A52" s="62" t="s">
        <v>344</v>
      </c>
      <c r="B52" s="61" t="s">
        <v>363</v>
      </c>
      <c r="C52" s="61" t="s">
        <v>120</v>
      </c>
      <c r="D52" s="61">
        <v>1</v>
      </c>
      <c r="E52" s="61" t="s">
        <v>623</v>
      </c>
      <c r="F52" s="61" t="s">
        <v>6</v>
      </c>
    </row>
    <row r="53" spans="1:6" ht="14.25" customHeight="1">
      <c r="A53" s="60" t="s">
        <v>344</v>
      </c>
      <c r="B53" s="52" t="s">
        <v>363</v>
      </c>
      <c r="C53" s="52" t="s">
        <v>118</v>
      </c>
      <c r="D53" s="52">
        <v>1</v>
      </c>
      <c r="E53" s="52" t="s">
        <v>623</v>
      </c>
      <c r="F53" s="52" t="s">
        <v>6</v>
      </c>
    </row>
    <row r="54" spans="1:6" ht="14.25" customHeight="1">
      <c r="A54" s="62" t="s">
        <v>344</v>
      </c>
      <c r="B54" s="61" t="s">
        <v>364</v>
      </c>
      <c r="C54" s="61" t="s">
        <v>79</v>
      </c>
      <c r="D54" s="61">
        <v>3</v>
      </c>
      <c r="E54" s="61" t="s">
        <v>624</v>
      </c>
      <c r="F54" s="61" t="s">
        <v>6</v>
      </c>
    </row>
    <row r="55" spans="1:6" ht="14.25" customHeight="1">
      <c r="A55" s="60" t="s">
        <v>344</v>
      </c>
      <c r="B55" s="52" t="s">
        <v>364</v>
      </c>
      <c r="C55" s="52" t="s">
        <v>84</v>
      </c>
      <c r="D55" s="52">
        <v>2</v>
      </c>
      <c r="E55" s="52" t="s">
        <v>624</v>
      </c>
      <c r="F55" s="52" t="s">
        <v>6</v>
      </c>
    </row>
    <row r="56" spans="1:6" ht="14.25" customHeight="1">
      <c r="A56" s="62" t="s">
        <v>344</v>
      </c>
      <c r="B56" s="61" t="s">
        <v>364</v>
      </c>
      <c r="C56" s="61" t="s">
        <v>120</v>
      </c>
      <c r="D56" s="61">
        <v>1</v>
      </c>
      <c r="E56" s="61" t="s">
        <v>624</v>
      </c>
      <c r="F56" s="61" t="s">
        <v>6</v>
      </c>
    </row>
    <row r="57" spans="1:6" ht="14.25" customHeight="1">
      <c r="A57" s="60" t="s">
        <v>344</v>
      </c>
      <c r="B57" s="52" t="s">
        <v>365</v>
      </c>
      <c r="C57" s="52" t="s">
        <v>79</v>
      </c>
      <c r="D57" s="52">
        <v>2</v>
      </c>
      <c r="E57" s="52" t="s">
        <v>625</v>
      </c>
      <c r="F57" s="52" t="s">
        <v>6</v>
      </c>
    </row>
    <row r="58" spans="1:6" ht="14.25" customHeight="1">
      <c r="A58" s="62" t="s">
        <v>344</v>
      </c>
      <c r="B58" s="61" t="s">
        <v>365</v>
      </c>
      <c r="C58" s="61" t="s">
        <v>84</v>
      </c>
      <c r="D58" s="61">
        <v>1</v>
      </c>
      <c r="E58" s="61" t="s">
        <v>625</v>
      </c>
      <c r="F58" s="61" t="s">
        <v>6</v>
      </c>
    </row>
    <row r="59" spans="1:6" ht="14.25" customHeight="1">
      <c r="A59" s="60" t="s">
        <v>344</v>
      </c>
      <c r="B59" s="52" t="s">
        <v>365</v>
      </c>
      <c r="C59" s="52" t="s">
        <v>120</v>
      </c>
      <c r="D59" s="52">
        <v>1</v>
      </c>
      <c r="E59" s="52" t="s">
        <v>626</v>
      </c>
      <c r="F59" s="52" t="s">
        <v>6</v>
      </c>
    </row>
    <row r="60" spans="1:6" ht="14.25" customHeight="1">
      <c r="A60" s="62" t="s">
        <v>344</v>
      </c>
      <c r="B60" s="61" t="s">
        <v>366</v>
      </c>
      <c r="C60" s="61" t="s">
        <v>79</v>
      </c>
      <c r="D60" s="61">
        <v>1</v>
      </c>
      <c r="E60" s="61" t="s">
        <v>626</v>
      </c>
      <c r="F60" s="61" t="s">
        <v>6</v>
      </c>
    </row>
    <row r="61" spans="1:6" ht="14.25" customHeight="1">
      <c r="A61" s="60" t="s">
        <v>344</v>
      </c>
      <c r="B61" s="52" t="s">
        <v>366</v>
      </c>
      <c r="C61" s="52" t="s">
        <v>84</v>
      </c>
      <c r="D61" s="52">
        <v>1</v>
      </c>
      <c r="E61" s="52" t="s">
        <v>626</v>
      </c>
      <c r="F61" s="52" t="s">
        <v>6</v>
      </c>
    </row>
    <row r="62" spans="1:6" ht="14.25" customHeight="1">
      <c r="A62" s="62" t="s">
        <v>344</v>
      </c>
      <c r="B62" s="61" t="s">
        <v>366</v>
      </c>
      <c r="C62" s="61" t="s">
        <v>118</v>
      </c>
      <c r="D62" s="61">
        <v>1</v>
      </c>
      <c r="E62" s="61" t="s">
        <v>627</v>
      </c>
      <c r="F62" s="61" t="s">
        <v>6</v>
      </c>
    </row>
    <row r="63" spans="1:6" ht="14.25" customHeight="1">
      <c r="A63" s="60" t="s">
        <v>344</v>
      </c>
      <c r="B63" s="52" t="s">
        <v>367</v>
      </c>
      <c r="C63" s="52" t="s">
        <v>79</v>
      </c>
      <c r="D63" s="52">
        <v>1</v>
      </c>
      <c r="E63" s="52" t="s">
        <v>627</v>
      </c>
      <c r="F63" s="52" t="s">
        <v>6</v>
      </c>
    </row>
    <row r="64" spans="1:6" ht="14.25" customHeight="1">
      <c r="A64" s="62" t="s">
        <v>344</v>
      </c>
      <c r="B64" s="61" t="s">
        <v>367</v>
      </c>
      <c r="C64" s="61" t="s">
        <v>84</v>
      </c>
      <c r="D64" s="61">
        <v>1</v>
      </c>
      <c r="E64" s="61" t="s">
        <v>628</v>
      </c>
      <c r="F64" s="61" t="s">
        <v>6</v>
      </c>
    </row>
    <row r="65" spans="1:6" ht="14.25" customHeight="1">
      <c r="A65" s="60" t="s">
        <v>344</v>
      </c>
      <c r="B65" s="52" t="s">
        <v>368</v>
      </c>
      <c r="C65" s="52" t="s">
        <v>79</v>
      </c>
      <c r="D65" s="52">
        <v>1</v>
      </c>
      <c r="E65" s="52" t="s">
        <v>628</v>
      </c>
      <c r="F65" s="52" t="s">
        <v>6</v>
      </c>
    </row>
    <row r="66" spans="1:6" ht="14.25" customHeight="1">
      <c r="A66" s="62" t="s">
        <v>344</v>
      </c>
      <c r="B66" s="61" t="s">
        <v>368</v>
      </c>
      <c r="C66" s="61" t="s">
        <v>84</v>
      </c>
      <c r="D66" s="61">
        <v>1</v>
      </c>
      <c r="E66" s="61" t="s">
        <v>628</v>
      </c>
      <c r="F66" s="61" t="s">
        <v>6</v>
      </c>
    </row>
    <row r="67" spans="1:6" ht="14.25" customHeight="1">
      <c r="A67" s="60" t="s">
        <v>344</v>
      </c>
      <c r="B67" s="52" t="s">
        <v>369</v>
      </c>
      <c r="C67" s="52" t="s">
        <v>79</v>
      </c>
      <c r="D67" s="52">
        <v>1</v>
      </c>
      <c r="E67" s="52" t="s">
        <v>629</v>
      </c>
      <c r="F67" s="52" t="s">
        <v>6</v>
      </c>
    </row>
    <row r="68" spans="1:6" ht="14.25" customHeight="1">
      <c r="A68" s="62" t="s">
        <v>344</v>
      </c>
      <c r="B68" s="61" t="s">
        <v>369</v>
      </c>
      <c r="C68" s="61" t="s">
        <v>84</v>
      </c>
      <c r="D68" s="61">
        <v>1</v>
      </c>
      <c r="E68" s="61" t="s">
        <v>629</v>
      </c>
      <c r="F68" s="61" t="s">
        <v>6</v>
      </c>
    </row>
    <row r="69" spans="1:6" ht="14.25" customHeight="1">
      <c r="A69" s="60" t="s">
        <v>344</v>
      </c>
      <c r="B69" s="52" t="s">
        <v>370</v>
      </c>
      <c r="C69" s="52" t="s">
        <v>79</v>
      </c>
      <c r="D69" s="52">
        <v>1</v>
      </c>
      <c r="E69" s="52" t="s">
        <v>630</v>
      </c>
      <c r="F69" s="52" t="s">
        <v>6</v>
      </c>
    </row>
    <row r="70" spans="1:6" ht="14.25" customHeight="1">
      <c r="A70" s="62" t="s">
        <v>344</v>
      </c>
      <c r="B70" s="61" t="s">
        <v>370</v>
      </c>
      <c r="C70" s="61" t="s">
        <v>84</v>
      </c>
      <c r="D70" s="61">
        <v>1</v>
      </c>
      <c r="E70" s="61" t="s">
        <v>630</v>
      </c>
      <c r="F70" s="61" t="s">
        <v>6</v>
      </c>
    </row>
    <row r="71" spans="1:6" ht="14.25" customHeight="1">
      <c r="A71" s="60" t="s">
        <v>344</v>
      </c>
      <c r="B71" s="52" t="s">
        <v>371</v>
      </c>
      <c r="C71" s="52" t="s">
        <v>79</v>
      </c>
      <c r="D71" s="52">
        <v>1</v>
      </c>
      <c r="E71" s="52" t="s">
        <v>630</v>
      </c>
      <c r="F71" s="52" t="s">
        <v>6</v>
      </c>
    </row>
    <row r="72" spans="1:6" ht="14.25" customHeight="1">
      <c r="A72" s="62" t="s">
        <v>344</v>
      </c>
      <c r="B72" s="61" t="s">
        <v>371</v>
      </c>
      <c r="C72" s="61" t="s">
        <v>84</v>
      </c>
      <c r="D72" s="61">
        <v>1</v>
      </c>
      <c r="E72" s="61" t="s">
        <v>631</v>
      </c>
      <c r="F72" s="61" t="s">
        <v>6</v>
      </c>
    </row>
    <row r="73" spans="1:6" ht="14.25" customHeight="1">
      <c r="A73" s="60" t="s">
        <v>344</v>
      </c>
      <c r="B73" s="52" t="s">
        <v>372</v>
      </c>
      <c r="C73" s="52" t="s">
        <v>79</v>
      </c>
      <c r="D73" s="52">
        <v>1</v>
      </c>
      <c r="E73" s="52" t="s">
        <v>631</v>
      </c>
      <c r="F73" s="52" t="s">
        <v>6</v>
      </c>
    </row>
    <row r="74" spans="1:6" ht="14.25" customHeight="1">
      <c r="A74" s="62" t="s">
        <v>344</v>
      </c>
      <c r="B74" s="61" t="s">
        <v>372</v>
      </c>
      <c r="C74" s="61" t="s">
        <v>84</v>
      </c>
      <c r="D74" s="61">
        <v>1</v>
      </c>
      <c r="E74" s="61" t="s">
        <v>631</v>
      </c>
      <c r="F74" s="61" t="s">
        <v>6</v>
      </c>
    </row>
    <row r="75" spans="1:6" ht="14.25" customHeight="1">
      <c r="A75" s="60" t="s">
        <v>344</v>
      </c>
      <c r="B75" s="52" t="s">
        <v>373</v>
      </c>
      <c r="C75" s="52" t="s">
        <v>79</v>
      </c>
      <c r="D75" s="52">
        <v>1</v>
      </c>
      <c r="E75" s="52" t="s">
        <v>632</v>
      </c>
      <c r="F75" s="52" t="s">
        <v>6</v>
      </c>
    </row>
    <row r="76" spans="1:6" ht="14.25" customHeight="1">
      <c r="A76" s="62" t="s">
        <v>344</v>
      </c>
      <c r="B76" s="61" t="s">
        <v>373</v>
      </c>
      <c r="C76" s="61" t="s">
        <v>84</v>
      </c>
      <c r="D76" s="61">
        <v>2</v>
      </c>
      <c r="E76" s="61" t="s">
        <v>632</v>
      </c>
      <c r="F76" s="61" t="s">
        <v>6</v>
      </c>
    </row>
    <row r="77" spans="1:6" ht="14.25" customHeight="1">
      <c r="A77" s="60" t="s">
        <v>344</v>
      </c>
      <c r="B77" s="52" t="s">
        <v>374</v>
      </c>
      <c r="C77" s="52" t="s">
        <v>79</v>
      </c>
      <c r="D77" s="52">
        <v>1</v>
      </c>
      <c r="E77" s="52" t="s">
        <v>633</v>
      </c>
      <c r="F77" s="52" t="s">
        <v>6</v>
      </c>
    </row>
    <row r="78" spans="1:6" ht="14.25" customHeight="1">
      <c r="A78" s="62" t="s">
        <v>344</v>
      </c>
      <c r="B78" s="61" t="s">
        <v>374</v>
      </c>
      <c r="C78" s="61" t="s">
        <v>84</v>
      </c>
      <c r="D78" s="61">
        <v>1</v>
      </c>
      <c r="E78" s="61" t="s">
        <v>633</v>
      </c>
      <c r="F78" s="61" t="s">
        <v>6</v>
      </c>
    </row>
    <row r="79" spans="1:6" ht="14.25" customHeight="1">
      <c r="A79" s="60" t="s">
        <v>344</v>
      </c>
      <c r="B79" s="52" t="s">
        <v>375</v>
      </c>
      <c r="C79" s="52" t="s">
        <v>79</v>
      </c>
      <c r="D79" s="52">
        <v>1</v>
      </c>
      <c r="E79" s="52" t="s">
        <v>633</v>
      </c>
      <c r="F79" s="52" t="s">
        <v>6</v>
      </c>
    </row>
    <row r="80" spans="1:6" ht="14.25" customHeight="1">
      <c r="A80" s="62" t="s">
        <v>344</v>
      </c>
      <c r="B80" s="61" t="s">
        <v>375</v>
      </c>
      <c r="C80" s="61" t="s">
        <v>84</v>
      </c>
      <c r="D80" s="61">
        <v>1</v>
      </c>
      <c r="E80" s="61" t="s">
        <v>634</v>
      </c>
      <c r="F80" s="61" t="s">
        <v>6</v>
      </c>
    </row>
    <row r="81" spans="1:6" ht="14.25" customHeight="1">
      <c r="A81" s="60" t="s">
        <v>344</v>
      </c>
      <c r="B81" s="52" t="s">
        <v>376</v>
      </c>
      <c r="C81" s="52" t="s">
        <v>79</v>
      </c>
      <c r="D81" s="52">
        <v>1</v>
      </c>
      <c r="E81" s="52" t="s">
        <v>634</v>
      </c>
      <c r="F81" s="52" t="s">
        <v>6</v>
      </c>
    </row>
    <row r="82" spans="1:6" ht="14.25" customHeight="1">
      <c r="A82" s="62" t="s">
        <v>344</v>
      </c>
      <c r="B82" s="61" t="s">
        <v>376</v>
      </c>
      <c r="C82" s="61" t="s">
        <v>84</v>
      </c>
      <c r="D82" s="61">
        <v>1</v>
      </c>
      <c r="E82" s="61" t="s">
        <v>635</v>
      </c>
      <c r="F82" s="61" t="s">
        <v>6</v>
      </c>
    </row>
    <row r="83" spans="1:6" ht="14.25" customHeight="1">
      <c r="A83" s="60" t="s">
        <v>344</v>
      </c>
      <c r="B83" s="52" t="s">
        <v>377</v>
      </c>
      <c r="C83" s="52" t="s">
        <v>79</v>
      </c>
      <c r="D83" s="52">
        <v>1</v>
      </c>
      <c r="E83" s="52" t="s">
        <v>635</v>
      </c>
      <c r="F83" s="52" t="s">
        <v>6</v>
      </c>
    </row>
    <row r="84" spans="1:6" ht="14.25" customHeight="1">
      <c r="A84" s="62" t="s">
        <v>344</v>
      </c>
      <c r="B84" s="61" t="s">
        <v>377</v>
      </c>
      <c r="C84" s="61" t="s">
        <v>84</v>
      </c>
      <c r="D84" s="61">
        <v>1</v>
      </c>
      <c r="E84" s="61" t="s">
        <v>635</v>
      </c>
      <c r="F84" s="61" t="s">
        <v>6</v>
      </c>
    </row>
    <row r="85" spans="1:6" ht="14.25" customHeight="1">
      <c r="A85" s="60" t="s">
        <v>344</v>
      </c>
      <c r="B85" s="52" t="s">
        <v>378</v>
      </c>
      <c r="C85" s="52" t="s">
        <v>79</v>
      </c>
      <c r="D85" s="52">
        <v>1</v>
      </c>
      <c r="E85" s="52" t="s">
        <v>584</v>
      </c>
      <c r="F85" s="52" t="s">
        <v>6</v>
      </c>
    </row>
    <row r="86" spans="1:6" ht="14.25" customHeight="1">
      <c r="A86" s="62" t="s">
        <v>344</v>
      </c>
      <c r="B86" s="61" t="s">
        <v>378</v>
      </c>
      <c r="C86" s="61" t="s">
        <v>84</v>
      </c>
      <c r="D86" s="61">
        <v>1</v>
      </c>
      <c r="E86" s="61" t="s">
        <v>584</v>
      </c>
      <c r="F86" s="61" t="s">
        <v>6</v>
      </c>
    </row>
    <row r="87" spans="1:6" ht="14.25" customHeight="1">
      <c r="A87" s="60" t="s">
        <v>344</v>
      </c>
      <c r="B87" s="52" t="s">
        <v>379</v>
      </c>
      <c r="C87" s="52" t="s">
        <v>79</v>
      </c>
      <c r="D87" s="52">
        <v>1</v>
      </c>
      <c r="E87" s="52" t="s">
        <v>636</v>
      </c>
      <c r="F87" s="52" t="s">
        <v>6</v>
      </c>
    </row>
    <row r="88" spans="1:6" ht="14.25" customHeight="1">
      <c r="A88" s="62" t="s">
        <v>344</v>
      </c>
      <c r="B88" s="61" t="s">
        <v>379</v>
      </c>
      <c r="C88" s="61" t="s">
        <v>84</v>
      </c>
      <c r="D88" s="61">
        <v>1</v>
      </c>
      <c r="E88" s="61" t="s">
        <v>636</v>
      </c>
      <c r="F88" s="61" t="s">
        <v>6</v>
      </c>
    </row>
    <row r="89" spans="1:6" ht="14.25" customHeight="1">
      <c r="A89" s="60" t="s">
        <v>344</v>
      </c>
      <c r="B89" s="52" t="s">
        <v>380</v>
      </c>
      <c r="C89" s="52" t="s">
        <v>79</v>
      </c>
      <c r="D89" s="52">
        <v>1</v>
      </c>
      <c r="E89" s="52" t="s">
        <v>636</v>
      </c>
      <c r="F89" s="52" t="s">
        <v>6</v>
      </c>
    </row>
    <row r="90" spans="1:6" ht="14.25" customHeight="1">
      <c r="A90" s="62" t="s">
        <v>344</v>
      </c>
      <c r="B90" s="61" t="s">
        <v>380</v>
      </c>
      <c r="C90" s="61" t="s">
        <v>84</v>
      </c>
      <c r="D90" s="61">
        <v>1</v>
      </c>
      <c r="E90" s="61" t="s">
        <v>590</v>
      </c>
      <c r="F90" s="61" t="s">
        <v>6</v>
      </c>
    </row>
    <row r="91" spans="1:6" ht="14.25" customHeight="1">
      <c r="A91" s="60" t="s">
        <v>344</v>
      </c>
      <c r="B91" s="52" t="s">
        <v>381</v>
      </c>
      <c r="C91" s="52" t="s">
        <v>79</v>
      </c>
      <c r="D91" s="52">
        <v>1</v>
      </c>
      <c r="E91" s="52" t="s">
        <v>590</v>
      </c>
      <c r="F91" s="52" t="s">
        <v>6</v>
      </c>
    </row>
    <row r="92" spans="1:6" ht="14.25" customHeight="1">
      <c r="A92" s="62" t="s">
        <v>344</v>
      </c>
      <c r="B92" s="61" t="s">
        <v>381</v>
      </c>
      <c r="C92" s="61" t="s">
        <v>84</v>
      </c>
      <c r="D92" s="61">
        <v>1</v>
      </c>
      <c r="E92" s="61" t="s">
        <v>590</v>
      </c>
      <c r="F92" s="61" t="s">
        <v>6</v>
      </c>
    </row>
    <row r="93" spans="1:6" ht="14.25" customHeight="1">
      <c r="A93" s="60" t="s">
        <v>344</v>
      </c>
      <c r="B93" s="52" t="s">
        <v>382</v>
      </c>
      <c r="C93" s="52" t="s">
        <v>79</v>
      </c>
      <c r="D93" s="52">
        <v>1</v>
      </c>
      <c r="E93" s="52" t="s">
        <v>591</v>
      </c>
      <c r="F93" s="52" t="s">
        <v>6</v>
      </c>
    </row>
    <row r="94" spans="1:6" ht="14.25" customHeight="1">
      <c r="A94" s="62" t="s">
        <v>344</v>
      </c>
      <c r="B94" s="61" t="s">
        <v>383</v>
      </c>
      <c r="C94" s="61" t="s">
        <v>79</v>
      </c>
      <c r="D94" s="61">
        <v>2</v>
      </c>
      <c r="E94" s="61" t="s">
        <v>591</v>
      </c>
      <c r="F94" s="61" t="s">
        <v>6</v>
      </c>
    </row>
    <row r="95" spans="1:6" ht="14.25" customHeight="1">
      <c r="A95" s="60" t="s">
        <v>344</v>
      </c>
      <c r="B95" s="52" t="s">
        <v>383</v>
      </c>
      <c r="C95" s="52" t="s">
        <v>84</v>
      </c>
      <c r="D95" s="52">
        <v>1</v>
      </c>
      <c r="E95" s="52" t="s">
        <v>637</v>
      </c>
      <c r="F95" s="52" t="s">
        <v>6</v>
      </c>
    </row>
    <row r="96" spans="1:6" ht="14.25" customHeight="1">
      <c r="A96" s="62" t="s">
        <v>344</v>
      </c>
      <c r="B96" s="61" t="s">
        <v>384</v>
      </c>
      <c r="C96" s="61" t="s">
        <v>79</v>
      </c>
      <c r="D96" s="61">
        <v>2</v>
      </c>
      <c r="E96" s="61" t="s">
        <v>637</v>
      </c>
      <c r="F96" s="61" t="s">
        <v>6</v>
      </c>
    </row>
    <row r="97" spans="1:6" ht="14.25" customHeight="1">
      <c r="A97" s="60" t="s">
        <v>344</v>
      </c>
      <c r="B97" s="52" t="s">
        <v>384</v>
      </c>
      <c r="C97" s="52" t="s">
        <v>84</v>
      </c>
      <c r="D97" s="52">
        <v>1</v>
      </c>
      <c r="E97" s="52" t="s">
        <v>637</v>
      </c>
      <c r="F97" s="52" t="s">
        <v>6</v>
      </c>
    </row>
    <row r="98" spans="1:6" ht="14.25" customHeight="1">
      <c r="A98" s="62" t="s">
        <v>344</v>
      </c>
      <c r="B98" s="61" t="s">
        <v>385</v>
      </c>
      <c r="C98" s="61" t="s">
        <v>79</v>
      </c>
      <c r="D98" s="61">
        <v>2</v>
      </c>
      <c r="E98" s="61" t="s">
        <v>638</v>
      </c>
      <c r="F98" s="61" t="s">
        <v>6</v>
      </c>
    </row>
    <row r="99" spans="1:6" ht="14.25" customHeight="1">
      <c r="A99" s="60" t="s">
        <v>344</v>
      </c>
      <c r="B99" s="52" t="s">
        <v>385</v>
      </c>
      <c r="C99" s="52" t="s">
        <v>84</v>
      </c>
      <c r="D99" s="52">
        <v>1</v>
      </c>
      <c r="E99" s="52" t="s">
        <v>638</v>
      </c>
      <c r="F99" s="52" t="s">
        <v>6</v>
      </c>
    </row>
    <row r="100" spans="1:6" ht="14.25" customHeight="1">
      <c r="A100" s="62" t="s">
        <v>344</v>
      </c>
      <c r="B100" s="61" t="s">
        <v>386</v>
      </c>
      <c r="C100" s="61" t="s">
        <v>79</v>
      </c>
      <c r="D100" s="61">
        <v>2</v>
      </c>
      <c r="E100" s="61" t="s">
        <v>639</v>
      </c>
      <c r="F100" s="61" t="s">
        <v>6</v>
      </c>
    </row>
    <row r="101" spans="1:6" ht="14.25" customHeight="1">
      <c r="A101" s="60" t="s">
        <v>344</v>
      </c>
      <c r="B101" s="52" t="s">
        <v>386</v>
      </c>
      <c r="C101" s="52" t="s">
        <v>84</v>
      </c>
      <c r="D101" s="52">
        <v>1</v>
      </c>
      <c r="E101" s="52" t="s">
        <v>639</v>
      </c>
      <c r="F101" s="52" t="s">
        <v>6</v>
      </c>
    </row>
    <row r="102" spans="1:6" ht="14.25" customHeight="1">
      <c r="A102" s="62" t="s">
        <v>344</v>
      </c>
      <c r="B102" s="61" t="s">
        <v>387</v>
      </c>
      <c r="C102" s="61" t="s">
        <v>79</v>
      </c>
      <c r="D102" s="61">
        <v>2</v>
      </c>
      <c r="E102" s="61" t="s">
        <v>639</v>
      </c>
      <c r="F102" s="61" t="s">
        <v>6</v>
      </c>
    </row>
    <row r="103" spans="1:6" ht="14.25" customHeight="1">
      <c r="A103" s="60" t="s">
        <v>344</v>
      </c>
      <c r="B103" s="52" t="s">
        <v>387</v>
      </c>
      <c r="C103" s="52" t="s">
        <v>84</v>
      </c>
      <c r="D103" s="52">
        <v>1</v>
      </c>
      <c r="E103" s="52" t="s">
        <v>576</v>
      </c>
      <c r="F103" s="52" t="s">
        <v>6</v>
      </c>
    </row>
    <row r="104" spans="1:6" ht="14.25" customHeight="1">
      <c r="A104" s="62" t="s">
        <v>344</v>
      </c>
      <c r="B104" s="61" t="s">
        <v>388</v>
      </c>
      <c r="C104" s="61" t="s">
        <v>79</v>
      </c>
      <c r="D104" s="61">
        <v>1</v>
      </c>
      <c r="E104" s="61" t="s">
        <v>576</v>
      </c>
      <c r="F104" s="61" t="s">
        <v>6</v>
      </c>
    </row>
    <row r="105" spans="1:6" ht="14.25" customHeight="1">
      <c r="A105" s="60" t="s">
        <v>344</v>
      </c>
      <c r="B105" s="52" t="s">
        <v>388</v>
      </c>
      <c r="C105" s="52" t="s">
        <v>84</v>
      </c>
      <c r="D105" s="52">
        <v>1</v>
      </c>
      <c r="E105" s="52" t="s">
        <v>640</v>
      </c>
      <c r="F105" s="52" t="s">
        <v>6</v>
      </c>
    </row>
    <row r="106" spans="1:6" ht="14.25" customHeight="1">
      <c r="A106" s="62" t="s">
        <v>344</v>
      </c>
      <c r="B106" s="61" t="s">
        <v>388</v>
      </c>
      <c r="C106" s="61" t="s">
        <v>120</v>
      </c>
      <c r="D106" s="61">
        <v>1</v>
      </c>
      <c r="E106" s="61" t="s">
        <v>640</v>
      </c>
      <c r="F106" s="61" t="s">
        <v>6</v>
      </c>
    </row>
    <row r="107" spans="1:6" ht="14.25" customHeight="1">
      <c r="A107" s="60" t="s">
        <v>344</v>
      </c>
      <c r="B107" s="52" t="s">
        <v>388</v>
      </c>
      <c r="C107" s="52" t="s">
        <v>118</v>
      </c>
      <c r="D107" s="52">
        <v>1</v>
      </c>
      <c r="E107" s="52" t="s">
        <v>640</v>
      </c>
      <c r="F107" s="52" t="s">
        <v>6</v>
      </c>
    </row>
    <row r="108" spans="1:6" ht="14.25" customHeight="1">
      <c r="A108" s="62" t="s">
        <v>344</v>
      </c>
      <c r="B108" s="61" t="s">
        <v>389</v>
      </c>
      <c r="C108" s="61" t="s">
        <v>79</v>
      </c>
      <c r="D108" s="61">
        <v>1</v>
      </c>
      <c r="E108" s="61" t="s">
        <v>646</v>
      </c>
      <c r="F108" s="61" t="s">
        <v>6</v>
      </c>
    </row>
    <row r="109" spans="1:6" ht="14.25" customHeight="1">
      <c r="A109" s="60" t="s">
        <v>344</v>
      </c>
      <c r="B109" s="52" t="s">
        <v>389</v>
      </c>
      <c r="C109" s="52" t="s">
        <v>84</v>
      </c>
      <c r="D109" s="52">
        <v>1</v>
      </c>
      <c r="E109" s="52" t="s">
        <v>646</v>
      </c>
      <c r="F109" s="52" t="s">
        <v>6</v>
      </c>
    </row>
    <row r="110" spans="1:6" ht="14.25" customHeight="1">
      <c r="A110" s="62" t="s">
        <v>344</v>
      </c>
      <c r="B110" s="61" t="s">
        <v>390</v>
      </c>
      <c r="C110" s="61" t="s">
        <v>79</v>
      </c>
      <c r="D110" s="61">
        <v>2</v>
      </c>
      <c r="E110" s="61" t="s">
        <v>647</v>
      </c>
      <c r="F110" s="61" t="s">
        <v>6</v>
      </c>
    </row>
    <row r="111" spans="1:6" ht="14.25" customHeight="1">
      <c r="A111" s="60" t="s">
        <v>344</v>
      </c>
      <c r="B111" s="52" t="s">
        <v>390</v>
      </c>
      <c r="C111" s="52" t="s">
        <v>84</v>
      </c>
      <c r="D111" s="52">
        <v>1</v>
      </c>
      <c r="E111" s="52" t="s">
        <v>647</v>
      </c>
      <c r="F111" s="52" t="s">
        <v>6</v>
      </c>
    </row>
    <row r="112" spans="1:6" ht="14.25" customHeight="1">
      <c r="A112" s="62" t="s">
        <v>344</v>
      </c>
      <c r="B112" s="61" t="s">
        <v>390</v>
      </c>
      <c r="C112" s="61" t="s">
        <v>120</v>
      </c>
      <c r="D112" s="61">
        <v>1</v>
      </c>
      <c r="E112" s="61" t="s">
        <v>647</v>
      </c>
      <c r="F112" s="61" t="s">
        <v>6</v>
      </c>
    </row>
    <row r="113" spans="1:6" ht="14.25" customHeight="1">
      <c r="A113" s="60" t="s">
        <v>344</v>
      </c>
      <c r="B113" s="52" t="s">
        <v>390</v>
      </c>
      <c r="C113" s="52" t="s">
        <v>118</v>
      </c>
      <c r="D113" s="52">
        <v>1</v>
      </c>
      <c r="E113" s="52" t="s">
        <v>650</v>
      </c>
      <c r="F113" s="52" t="s">
        <v>6</v>
      </c>
    </row>
    <row r="114" spans="1:6" ht="14.25" customHeight="1">
      <c r="A114" s="62" t="s">
        <v>344</v>
      </c>
      <c r="B114" s="61" t="s">
        <v>391</v>
      </c>
      <c r="C114" s="61" t="s">
        <v>79</v>
      </c>
      <c r="D114" s="61">
        <v>1</v>
      </c>
      <c r="E114" s="61" t="s">
        <v>650</v>
      </c>
      <c r="F114" s="61" t="s">
        <v>6</v>
      </c>
    </row>
    <row r="115" spans="1:6" ht="14.25" customHeight="1">
      <c r="A115" s="60" t="s">
        <v>344</v>
      </c>
      <c r="B115" s="52" t="s">
        <v>391</v>
      </c>
      <c r="C115" s="52" t="s">
        <v>84</v>
      </c>
      <c r="D115" s="52">
        <v>1</v>
      </c>
      <c r="E115" s="52" t="s">
        <v>650</v>
      </c>
      <c r="F115" s="52" t="s">
        <v>6</v>
      </c>
    </row>
    <row r="116" spans="1:6" ht="14.25" customHeight="1">
      <c r="A116" s="62" t="s">
        <v>344</v>
      </c>
      <c r="B116" s="61" t="s">
        <v>392</v>
      </c>
      <c r="C116" s="61" t="s">
        <v>79</v>
      </c>
      <c r="D116" s="61">
        <v>1</v>
      </c>
      <c r="E116" s="61" t="s">
        <v>651</v>
      </c>
      <c r="F116" s="61" t="s">
        <v>6</v>
      </c>
    </row>
    <row r="117" spans="1:6" ht="14.25" customHeight="1">
      <c r="A117" s="60" t="s">
        <v>344</v>
      </c>
      <c r="B117" s="52" t="s">
        <v>392</v>
      </c>
      <c r="C117" s="52" t="s">
        <v>84</v>
      </c>
      <c r="D117" s="52">
        <v>1</v>
      </c>
      <c r="E117" s="52" t="s">
        <v>651</v>
      </c>
      <c r="F117" s="52" t="s">
        <v>6</v>
      </c>
    </row>
    <row r="118" spans="1:6" ht="14.25" customHeight="1">
      <c r="A118" s="62" t="s">
        <v>344</v>
      </c>
      <c r="B118" s="61" t="s">
        <v>392</v>
      </c>
      <c r="C118" s="61" t="s">
        <v>120</v>
      </c>
      <c r="D118" s="61">
        <v>1</v>
      </c>
      <c r="E118" s="61" t="s">
        <v>652</v>
      </c>
      <c r="F118" s="61" t="s">
        <v>6</v>
      </c>
    </row>
    <row r="119" spans="1:6" ht="14.25" customHeight="1">
      <c r="A119" s="60" t="s">
        <v>344</v>
      </c>
      <c r="B119" s="52" t="s">
        <v>392</v>
      </c>
      <c r="C119" s="52" t="s">
        <v>118</v>
      </c>
      <c r="D119" s="52">
        <v>1</v>
      </c>
      <c r="E119" s="52" t="s">
        <v>652</v>
      </c>
      <c r="F119" s="52" t="s">
        <v>6</v>
      </c>
    </row>
    <row r="120" spans="1:6" ht="14.25" customHeight="1">
      <c r="A120" s="62" t="s">
        <v>344</v>
      </c>
      <c r="B120" s="61" t="s">
        <v>393</v>
      </c>
      <c r="C120" s="61" t="s">
        <v>79</v>
      </c>
      <c r="D120" s="61">
        <v>2</v>
      </c>
      <c r="E120" s="61" t="s">
        <v>652</v>
      </c>
      <c r="F120" s="61" t="s">
        <v>6</v>
      </c>
    </row>
    <row r="121" spans="1:6" ht="14.25" customHeight="1">
      <c r="A121" s="60" t="s">
        <v>344</v>
      </c>
      <c r="B121" s="52" t="s">
        <v>393</v>
      </c>
      <c r="C121" s="52" t="s">
        <v>84</v>
      </c>
      <c r="D121" s="52">
        <v>1</v>
      </c>
      <c r="E121" s="52" t="s">
        <v>582</v>
      </c>
      <c r="F121" s="52" t="s">
        <v>6</v>
      </c>
    </row>
    <row r="122" spans="1:6" ht="14.25" customHeight="1">
      <c r="A122" s="62" t="s">
        <v>344</v>
      </c>
      <c r="B122" s="61" t="s">
        <v>393</v>
      </c>
      <c r="C122" s="61" t="s">
        <v>120</v>
      </c>
      <c r="D122" s="61">
        <v>1</v>
      </c>
      <c r="E122" s="61" t="s">
        <v>582</v>
      </c>
      <c r="F122" s="61" t="s">
        <v>6</v>
      </c>
    </row>
    <row r="123" spans="1:6" ht="14.25" customHeight="1">
      <c r="A123" s="60" t="s">
        <v>344</v>
      </c>
      <c r="B123" s="52" t="s">
        <v>393</v>
      </c>
      <c r="C123" s="52" t="s">
        <v>118</v>
      </c>
      <c r="D123" s="52">
        <v>1</v>
      </c>
      <c r="E123" s="52" t="s">
        <v>585</v>
      </c>
      <c r="F123" s="52" t="s">
        <v>6</v>
      </c>
    </row>
    <row r="124" spans="1:6" ht="14.25" customHeight="1">
      <c r="A124" s="62" t="s">
        <v>344</v>
      </c>
      <c r="B124" s="61" t="s">
        <v>394</v>
      </c>
      <c r="C124" s="61" t="s">
        <v>79</v>
      </c>
      <c r="D124" s="61">
        <v>1</v>
      </c>
      <c r="E124" s="61" t="s">
        <v>585</v>
      </c>
      <c r="F124" s="61" t="s">
        <v>6</v>
      </c>
    </row>
    <row r="125" spans="1:6" ht="14.25" customHeight="1">
      <c r="A125" s="60" t="s">
        <v>344</v>
      </c>
      <c r="B125" s="52" t="s">
        <v>394</v>
      </c>
      <c r="C125" s="52" t="s">
        <v>84</v>
      </c>
      <c r="D125" s="52">
        <v>1</v>
      </c>
      <c r="E125" s="52" t="s">
        <v>585</v>
      </c>
      <c r="F125" s="52" t="s">
        <v>6</v>
      </c>
    </row>
    <row r="126" spans="1:6" ht="14.25" customHeight="1">
      <c r="A126" s="62" t="s">
        <v>344</v>
      </c>
      <c r="B126" s="61" t="s">
        <v>395</v>
      </c>
      <c r="C126" s="61" t="s">
        <v>79</v>
      </c>
      <c r="D126" s="61">
        <v>1</v>
      </c>
      <c r="E126" s="61" t="s">
        <v>648</v>
      </c>
      <c r="F126" s="61" t="s">
        <v>6</v>
      </c>
    </row>
    <row r="127" spans="1:6" ht="14.25" customHeight="1">
      <c r="A127" s="60" t="s">
        <v>344</v>
      </c>
      <c r="B127" s="52" t="s">
        <v>396</v>
      </c>
      <c r="C127" s="52" t="s">
        <v>79</v>
      </c>
      <c r="D127" s="52">
        <v>1</v>
      </c>
      <c r="E127" s="52" t="s">
        <v>648</v>
      </c>
      <c r="F127" s="52" t="s">
        <v>6</v>
      </c>
    </row>
    <row r="128" spans="1:6" ht="14.25" customHeight="1">
      <c r="A128" s="62" t="s">
        <v>344</v>
      </c>
      <c r="B128" s="61" t="s">
        <v>397</v>
      </c>
      <c r="C128" s="61" t="s">
        <v>79</v>
      </c>
      <c r="D128" s="61">
        <v>1</v>
      </c>
      <c r="E128" s="61" t="s">
        <v>649</v>
      </c>
      <c r="F128" s="61" t="s">
        <v>6</v>
      </c>
    </row>
    <row r="129" spans="1:6" ht="14.25" customHeight="1">
      <c r="A129" s="60" t="s">
        <v>344</v>
      </c>
      <c r="B129" s="52" t="s">
        <v>398</v>
      </c>
      <c r="C129" s="52" t="s">
        <v>79</v>
      </c>
      <c r="D129" s="52">
        <v>1</v>
      </c>
      <c r="E129" s="52" t="s">
        <v>649</v>
      </c>
      <c r="F129" s="52" t="s">
        <v>6</v>
      </c>
    </row>
    <row r="130" spans="1:6" ht="14.25" customHeight="1">
      <c r="A130" s="62" t="s">
        <v>344</v>
      </c>
      <c r="B130" s="61" t="s">
        <v>399</v>
      </c>
      <c r="C130" s="61" t="s">
        <v>79</v>
      </c>
      <c r="D130" s="61">
        <v>1</v>
      </c>
      <c r="E130" s="61" t="s">
        <v>649</v>
      </c>
      <c r="F130" s="61" t="s">
        <v>6</v>
      </c>
    </row>
    <row r="131" spans="1:6" ht="14.25" customHeight="1">
      <c r="A131" s="60" t="s">
        <v>344</v>
      </c>
      <c r="B131" s="52" t="s">
        <v>400</v>
      </c>
      <c r="C131" s="52" t="s">
        <v>79</v>
      </c>
      <c r="D131" s="52">
        <v>1</v>
      </c>
      <c r="E131" s="52" t="s">
        <v>592</v>
      </c>
      <c r="F131" s="52" t="s">
        <v>6</v>
      </c>
    </row>
    <row r="132" spans="1:6" ht="14.25" customHeight="1">
      <c r="A132" s="62" t="s">
        <v>344</v>
      </c>
      <c r="B132" s="61" t="s">
        <v>400</v>
      </c>
      <c r="C132" s="61" t="s">
        <v>84</v>
      </c>
      <c r="D132" s="61">
        <v>1</v>
      </c>
      <c r="E132" s="61" t="s">
        <v>592</v>
      </c>
      <c r="F132" s="61" t="s">
        <v>6</v>
      </c>
    </row>
    <row r="133" spans="1:6" ht="14.25" customHeight="1">
      <c r="A133" s="52" t="s">
        <v>401</v>
      </c>
      <c r="B133" s="52" t="s">
        <v>402</v>
      </c>
      <c r="C133" s="52" t="s">
        <v>83</v>
      </c>
      <c r="D133" s="52">
        <v>3</v>
      </c>
      <c r="E133" s="52" t="s">
        <v>593</v>
      </c>
      <c r="F133" s="52" t="s">
        <v>6</v>
      </c>
    </row>
    <row r="134" spans="1:6" ht="14.25" customHeight="1">
      <c r="A134" s="61" t="s">
        <v>401</v>
      </c>
      <c r="B134" s="61" t="s">
        <v>402</v>
      </c>
      <c r="C134" s="61" t="s">
        <v>79</v>
      </c>
      <c r="D134" s="61">
        <v>23</v>
      </c>
      <c r="E134" s="61" t="s">
        <v>583</v>
      </c>
      <c r="F134" s="61" t="s">
        <v>6</v>
      </c>
    </row>
    <row r="135" spans="1:6" ht="14.25" customHeight="1">
      <c r="A135" s="52" t="s">
        <v>401</v>
      </c>
      <c r="B135" s="52" t="s">
        <v>402</v>
      </c>
      <c r="C135" s="52" t="s">
        <v>76</v>
      </c>
      <c r="D135" s="52">
        <v>3</v>
      </c>
      <c r="E135" s="52" t="s">
        <v>659</v>
      </c>
      <c r="F135" s="52" t="s">
        <v>6</v>
      </c>
    </row>
    <row r="136" spans="1:6" ht="14.25" customHeight="1">
      <c r="A136" s="61" t="s">
        <v>401</v>
      </c>
      <c r="B136" s="61" t="s">
        <v>402</v>
      </c>
      <c r="C136" s="61" t="s">
        <v>84</v>
      </c>
      <c r="D136" s="61">
        <v>9</v>
      </c>
      <c r="E136" s="61" t="s">
        <v>580</v>
      </c>
      <c r="F136" s="61" t="s">
        <v>6</v>
      </c>
    </row>
    <row r="137" spans="1:6" ht="14.25" customHeight="1">
      <c r="A137" s="52" t="s">
        <v>401</v>
      </c>
      <c r="B137" s="52" t="s">
        <v>402</v>
      </c>
      <c r="C137" s="52" t="s">
        <v>118</v>
      </c>
      <c r="D137" s="52">
        <v>1</v>
      </c>
      <c r="E137" s="52" t="s">
        <v>660</v>
      </c>
      <c r="F137" s="52" t="s">
        <v>6</v>
      </c>
    </row>
    <row r="138" spans="1:6" ht="14.25" customHeight="1">
      <c r="A138" s="61" t="s">
        <v>401</v>
      </c>
      <c r="B138" s="61" t="s">
        <v>403</v>
      </c>
      <c r="C138" s="61" t="s">
        <v>79</v>
      </c>
      <c r="D138" s="61">
        <v>1</v>
      </c>
      <c r="E138" s="61" t="s">
        <v>661</v>
      </c>
      <c r="F138" s="61" t="s">
        <v>6</v>
      </c>
    </row>
    <row r="139" spans="1:6" ht="14.25" customHeight="1">
      <c r="A139" s="52" t="s">
        <v>401</v>
      </c>
      <c r="B139" s="52" t="s">
        <v>403</v>
      </c>
      <c r="C139" s="52" t="s">
        <v>84</v>
      </c>
      <c r="D139" s="52">
        <v>1</v>
      </c>
      <c r="E139" s="52" t="s">
        <v>662</v>
      </c>
      <c r="F139" s="52" t="s">
        <v>6</v>
      </c>
    </row>
    <row r="140" spans="1:6" ht="14.25" customHeight="1">
      <c r="A140" s="61" t="s">
        <v>401</v>
      </c>
      <c r="B140" s="61" t="s">
        <v>404</v>
      </c>
      <c r="C140" s="61" t="s">
        <v>79</v>
      </c>
      <c r="D140" s="61">
        <v>2</v>
      </c>
      <c r="E140" s="61" t="s">
        <v>663</v>
      </c>
      <c r="F140" s="61" t="s">
        <v>6</v>
      </c>
    </row>
    <row r="141" spans="1:6" ht="14.25" customHeight="1">
      <c r="A141" s="52" t="s">
        <v>401</v>
      </c>
      <c r="B141" s="52" t="s">
        <v>404</v>
      </c>
      <c r="C141" s="52" t="s">
        <v>84</v>
      </c>
      <c r="D141" s="52">
        <v>1</v>
      </c>
      <c r="E141" s="52" t="s">
        <v>641</v>
      </c>
      <c r="F141" s="52" t="s">
        <v>6</v>
      </c>
    </row>
    <row r="142" spans="1:6" ht="14.25" customHeight="1">
      <c r="A142" s="61" t="s">
        <v>405</v>
      </c>
      <c r="B142" s="61" t="s">
        <v>406</v>
      </c>
      <c r="C142" s="61" t="s">
        <v>83</v>
      </c>
      <c r="D142" s="61">
        <v>3</v>
      </c>
      <c r="E142" s="61" t="s">
        <v>642</v>
      </c>
      <c r="F142" s="61" t="s">
        <v>6</v>
      </c>
    </row>
    <row r="143" spans="1:6" ht="14.25" customHeight="1">
      <c r="A143" s="52" t="s">
        <v>405</v>
      </c>
      <c r="B143" s="52" t="s">
        <v>406</v>
      </c>
      <c r="C143" s="52" t="s">
        <v>79</v>
      </c>
      <c r="D143" s="52">
        <v>17</v>
      </c>
      <c r="E143" s="52" t="s">
        <v>594</v>
      </c>
      <c r="F143" s="52" t="s">
        <v>6</v>
      </c>
    </row>
    <row r="144" spans="1:6" ht="14.25" customHeight="1">
      <c r="A144" s="61" t="s">
        <v>405</v>
      </c>
      <c r="B144" s="61" t="s">
        <v>406</v>
      </c>
      <c r="C144" s="61" t="s">
        <v>76</v>
      </c>
      <c r="D144" s="61">
        <v>4</v>
      </c>
      <c r="E144" s="61" t="s">
        <v>595</v>
      </c>
      <c r="F144" s="61" t="s">
        <v>6</v>
      </c>
    </row>
    <row r="145" spans="1:6" ht="14.25" customHeight="1">
      <c r="A145" s="52" t="s">
        <v>405</v>
      </c>
      <c r="B145" s="52" t="s">
        <v>406</v>
      </c>
      <c r="C145" s="52" t="s">
        <v>84</v>
      </c>
      <c r="D145" s="52">
        <v>12</v>
      </c>
      <c r="E145" s="52" t="s">
        <v>664</v>
      </c>
      <c r="F145" s="52" t="s">
        <v>6</v>
      </c>
    </row>
    <row r="146" spans="1:6" ht="14.25" customHeight="1">
      <c r="A146" s="61" t="s">
        <v>405</v>
      </c>
      <c r="B146" s="61" t="s">
        <v>406</v>
      </c>
      <c r="C146" s="61" t="s">
        <v>118</v>
      </c>
      <c r="D146" s="61">
        <v>1</v>
      </c>
      <c r="E146" s="61" t="s">
        <v>665</v>
      </c>
      <c r="F146" s="61" t="s">
        <v>6</v>
      </c>
    </row>
    <row r="147" spans="1:6" ht="14.25" customHeight="1">
      <c r="A147" s="52" t="s">
        <v>405</v>
      </c>
      <c r="B147" s="52" t="s">
        <v>407</v>
      </c>
      <c r="C147" s="52" t="s">
        <v>79</v>
      </c>
      <c r="D147" s="52">
        <v>1</v>
      </c>
      <c r="E147" s="52" t="s">
        <v>666</v>
      </c>
      <c r="F147" s="52" t="s">
        <v>6</v>
      </c>
    </row>
    <row r="148" spans="1:6" ht="14.25" customHeight="1">
      <c r="A148" s="61" t="s">
        <v>405</v>
      </c>
      <c r="B148" s="61" t="s">
        <v>407</v>
      </c>
      <c r="C148" s="61" t="s">
        <v>84</v>
      </c>
      <c r="D148" s="61">
        <v>1</v>
      </c>
      <c r="E148" s="61" t="s">
        <v>667</v>
      </c>
      <c r="F148" s="61" t="s">
        <v>6</v>
      </c>
    </row>
    <row r="149" spans="1:6" ht="14.25" customHeight="1">
      <c r="A149" s="60" t="s">
        <v>408</v>
      </c>
      <c r="B149" s="60" t="s">
        <v>409</v>
      </c>
      <c r="C149" s="52" t="s">
        <v>79</v>
      </c>
      <c r="D149" s="52">
        <v>1</v>
      </c>
      <c r="E149" s="52" t="s">
        <v>644</v>
      </c>
      <c r="F149" s="52" t="s">
        <v>6</v>
      </c>
    </row>
    <row r="150" spans="1:6" ht="14.25" customHeight="1">
      <c r="A150" s="62" t="s">
        <v>408</v>
      </c>
      <c r="B150" s="62" t="s">
        <v>409</v>
      </c>
      <c r="C150" s="61" t="s">
        <v>84</v>
      </c>
      <c r="D150" s="61">
        <v>2</v>
      </c>
      <c r="E150" s="61" t="s">
        <v>644</v>
      </c>
      <c r="F150" s="61" t="s">
        <v>6</v>
      </c>
    </row>
    <row r="151" spans="1:6" ht="14.25" customHeight="1">
      <c r="A151" s="60" t="s">
        <v>408</v>
      </c>
      <c r="B151" s="60" t="s">
        <v>410</v>
      </c>
      <c r="C151" s="52" t="s">
        <v>79</v>
      </c>
      <c r="D151" s="52">
        <v>2</v>
      </c>
      <c r="E151" s="52" t="s">
        <v>644</v>
      </c>
      <c r="F151" s="52" t="s">
        <v>6</v>
      </c>
    </row>
    <row r="152" spans="1:6" ht="14.25" customHeight="1">
      <c r="A152" s="62" t="s">
        <v>408</v>
      </c>
      <c r="B152" s="62" t="s">
        <v>410</v>
      </c>
      <c r="C152" s="61" t="s">
        <v>84</v>
      </c>
      <c r="D152" s="61">
        <v>1</v>
      </c>
      <c r="E152" s="61" t="s">
        <v>644</v>
      </c>
      <c r="F152" s="61" t="s">
        <v>6</v>
      </c>
    </row>
    <row r="153" spans="1:6" ht="14.25" customHeight="1">
      <c r="A153" s="60" t="s">
        <v>408</v>
      </c>
      <c r="B153" s="60" t="s">
        <v>410</v>
      </c>
      <c r="C153" s="52" t="s">
        <v>118</v>
      </c>
      <c r="D153" s="52">
        <v>2</v>
      </c>
      <c r="E153" s="52" t="s">
        <v>644</v>
      </c>
      <c r="F153" s="52" t="s">
        <v>6</v>
      </c>
    </row>
    <row r="154" spans="1:6" ht="14.25" customHeight="1">
      <c r="A154" s="61" t="s">
        <v>411</v>
      </c>
      <c r="B154" s="61" t="s">
        <v>22</v>
      </c>
      <c r="C154" s="61" t="s">
        <v>126</v>
      </c>
      <c r="D154" s="61">
        <v>2</v>
      </c>
      <c r="E154" s="61" t="s">
        <v>645</v>
      </c>
      <c r="F154" s="61" t="s">
        <v>6</v>
      </c>
    </row>
    <row r="155" spans="1:6" ht="14.25" customHeight="1">
      <c r="A155" s="52" t="s">
        <v>411</v>
      </c>
      <c r="B155" s="52" t="s">
        <v>22</v>
      </c>
      <c r="C155" s="52" t="s">
        <v>129</v>
      </c>
      <c r="D155" s="52">
        <v>2</v>
      </c>
      <c r="E155" s="52" t="s">
        <v>645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727</v>
      </c>
    </row>
    <row r="159" spans="1:6" ht="14.25" customHeight="1">
      <c r="A159" t="s">
        <v>79</v>
      </c>
      <c r="B159">
        <v>140</v>
      </c>
    </row>
    <row r="160" spans="1:6" ht="14.25" customHeight="1">
      <c r="A160" t="s">
        <v>84</v>
      </c>
      <c r="B160">
        <v>100</v>
      </c>
    </row>
    <row r="161" spans="1:2" ht="14.25" customHeight="1">
      <c r="A161" t="s">
        <v>74</v>
      </c>
      <c r="B161">
        <v>44</v>
      </c>
    </row>
    <row r="162" spans="1:2" ht="14.25" customHeight="1">
      <c r="A162" t="s">
        <v>120</v>
      </c>
      <c r="B162">
        <v>13</v>
      </c>
    </row>
    <row r="163" spans="1:2" ht="14.25" customHeight="1">
      <c r="A163" t="s">
        <v>118</v>
      </c>
      <c r="B163">
        <v>13</v>
      </c>
    </row>
    <row r="164" spans="1:2" ht="14.25" customHeight="1">
      <c r="A164" t="s">
        <v>76</v>
      </c>
      <c r="B164">
        <v>7</v>
      </c>
    </row>
    <row r="165" spans="1:2" ht="14.25" customHeight="1">
      <c r="A165" t="s">
        <v>83</v>
      </c>
      <c r="B165">
        <v>6</v>
      </c>
    </row>
    <row r="166" spans="1:2" ht="14.25" customHeight="1">
      <c r="A166" t="s">
        <v>126</v>
      </c>
      <c r="B166">
        <v>2</v>
      </c>
    </row>
    <row r="167" spans="1:2" ht="14.25" customHeight="1">
      <c r="A167" t="s">
        <v>129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736</v>
      </c>
    </row>
    <row r="2" spans="1:6" ht="14.25" customHeight="1">
      <c r="A2" t="s">
        <v>737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412</v>
      </c>
      <c r="B5" s="52" t="s">
        <v>413</v>
      </c>
      <c r="C5" s="52" t="s">
        <v>79</v>
      </c>
      <c r="D5" s="52">
        <v>2</v>
      </c>
      <c r="E5" s="52" t="s">
        <v>579</v>
      </c>
      <c r="F5" s="52" t="s">
        <v>6</v>
      </c>
    </row>
    <row r="6" spans="1:6" ht="14.25" customHeight="1">
      <c r="A6" s="61" t="s">
        <v>412</v>
      </c>
      <c r="B6" s="61" t="s">
        <v>413</v>
      </c>
      <c r="C6" s="61" t="s">
        <v>84</v>
      </c>
      <c r="D6" s="61">
        <v>1</v>
      </c>
      <c r="E6" s="61" t="s">
        <v>579</v>
      </c>
      <c r="F6" s="61" t="s">
        <v>6</v>
      </c>
    </row>
    <row r="7" spans="1:6" ht="14.25" customHeight="1">
      <c r="A7" s="52" t="s">
        <v>412</v>
      </c>
      <c r="B7" s="52" t="s">
        <v>413</v>
      </c>
      <c r="C7" s="52" t="s">
        <v>118</v>
      </c>
      <c r="D7" s="52">
        <v>1</v>
      </c>
      <c r="E7" s="52" t="s">
        <v>579</v>
      </c>
      <c r="F7" s="52" t="s">
        <v>6</v>
      </c>
    </row>
    <row r="8" spans="1:6" ht="14.25" customHeight="1">
      <c r="A8" s="61" t="s">
        <v>412</v>
      </c>
      <c r="B8" s="61" t="s">
        <v>414</v>
      </c>
      <c r="C8" s="61" t="s">
        <v>79</v>
      </c>
      <c r="D8" s="61">
        <v>1</v>
      </c>
      <c r="E8" s="61" t="s">
        <v>579</v>
      </c>
      <c r="F8" s="61" t="s">
        <v>6</v>
      </c>
    </row>
    <row r="9" spans="1:6" ht="14.25" customHeight="1">
      <c r="A9" s="52" t="s">
        <v>412</v>
      </c>
      <c r="B9" s="52" t="s">
        <v>414</v>
      </c>
      <c r="C9" s="52" t="s">
        <v>84</v>
      </c>
      <c r="D9" s="52">
        <v>1</v>
      </c>
      <c r="E9" s="52" t="s">
        <v>687</v>
      </c>
      <c r="F9" s="52" t="s">
        <v>6</v>
      </c>
    </row>
    <row r="10" spans="1:6" ht="14.25" customHeight="1">
      <c r="A10" s="61" t="s">
        <v>412</v>
      </c>
      <c r="B10" s="61" t="s">
        <v>414</v>
      </c>
      <c r="C10" s="61" t="s">
        <v>120</v>
      </c>
      <c r="D10" s="61">
        <v>1</v>
      </c>
      <c r="E10" s="61" t="s">
        <v>687</v>
      </c>
      <c r="F10" s="61" t="s">
        <v>6</v>
      </c>
    </row>
    <row r="11" spans="1:6" ht="14.25" customHeight="1">
      <c r="A11" s="52" t="s">
        <v>412</v>
      </c>
      <c r="B11" s="52" t="s">
        <v>415</v>
      </c>
      <c r="C11" s="52" t="s">
        <v>79</v>
      </c>
      <c r="D11" s="52">
        <v>1</v>
      </c>
      <c r="E11" s="52" t="s">
        <v>687</v>
      </c>
      <c r="F11" s="52" t="s">
        <v>6</v>
      </c>
    </row>
    <row r="12" spans="1:6" ht="14.25" customHeight="1">
      <c r="A12" s="61" t="s">
        <v>412</v>
      </c>
      <c r="B12" s="61" t="s">
        <v>416</v>
      </c>
      <c r="C12" s="61" t="s">
        <v>79</v>
      </c>
      <c r="D12" s="61">
        <v>1</v>
      </c>
      <c r="E12" s="61" t="s">
        <v>616</v>
      </c>
      <c r="F12" s="61" t="s">
        <v>6</v>
      </c>
    </row>
    <row r="13" spans="1:6" ht="14.25" customHeight="1">
      <c r="A13" s="52" t="s">
        <v>412</v>
      </c>
      <c r="B13" s="52" t="s">
        <v>416</v>
      </c>
      <c r="C13" s="52" t="s">
        <v>84</v>
      </c>
      <c r="D13" s="52">
        <v>1</v>
      </c>
      <c r="E13" s="52" t="s">
        <v>616</v>
      </c>
      <c r="F13" s="52" t="s">
        <v>6</v>
      </c>
    </row>
    <row r="14" spans="1:6" ht="14.25" customHeight="1">
      <c r="A14" s="61" t="s">
        <v>412</v>
      </c>
      <c r="B14" s="61" t="s">
        <v>417</v>
      </c>
      <c r="C14" s="61" t="s">
        <v>79</v>
      </c>
      <c r="D14" s="61">
        <v>1</v>
      </c>
      <c r="E14" s="61" t="s">
        <v>616</v>
      </c>
      <c r="F14" s="61" t="s">
        <v>6</v>
      </c>
    </row>
    <row r="15" spans="1:6" ht="14.25" customHeight="1">
      <c r="A15" s="52" t="s">
        <v>412</v>
      </c>
      <c r="B15" s="52" t="s">
        <v>417</v>
      </c>
      <c r="C15" s="52" t="s">
        <v>84</v>
      </c>
      <c r="D15" s="52">
        <v>1</v>
      </c>
      <c r="E15" s="52" t="s">
        <v>616</v>
      </c>
      <c r="F15" s="52" t="s">
        <v>6</v>
      </c>
    </row>
    <row r="16" spans="1:6" ht="14.25" customHeight="1">
      <c r="A16" s="61" t="s">
        <v>412</v>
      </c>
      <c r="B16" s="61" t="s">
        <v>417</v>
      </c>
      <c r="C16" s="61" t="s">
        <v>120</v>
      </c>
      <c r="D16" s="61">
        <v>1</v>
      </c>
      <c r="E16" s="61" t="s">
        <v>617</v>
      </c>
      <c r="F16" s="61" t="s">
        <v>6</v>
      </c>
    </row>
    <row r="17" spans="1:6" ht="14.25" customHeight="1">
      <c r="A17" s="52" t="s">
        <v>412</v>
      </c>
      <c r="B17" s="52" t="s">
        <v>418</v>
      </c>
      <c r="C17" s="52" t="s">
        <v>79</v>
      </c>
      <c r="D17" s="52">
        <v>1</v>
      </c>
      <c r="E17" s="52" t="s">
        <v>617</v>
      </c>
      <c r="F17" s="52" t="s">
        <v>6</v>
      </c>
    </row>
    <row r="18" spans="1:6" ht="14.25" customHeight="1">
      <c r="A18" s="61" t="s">
        <v>412</v>
      </c>
      <c r="B18" s="61" t="s">
        <v>418</v>
      </c>
      <c r="C18" s="61" t="s">
        <v>84</v>
      </c>
      <c r="D18" s="61">
        <v>1</v>
      </c>
      <c r="E18" s="61" t="s">
        <v>617</v>
      </c>
      <c r="F18" s="61" t="s">
        <v>6</v>
      </c>
    </row>
    <row r="19" spans="1:6" ht="14.25" customHeight="1">
      <c r="A19" s="52" t="s">
        <v>412</v>
      </c>
      <c r="B19" s="52" t="s">
        <v>418</v>
      </c>
      <c r="C19" s="52" t="s">
        <v>120</v>
      </c>
      <c r="D19" s="52">
        <v>1</v>
      </c>
      <c r="E19" s="52" t="s">
        <v>688</v>
      </c>
      <c r="F19" s="52" t="s">
        <v>6</v>
      </c>
    </row>
    <row r="20" spans="1:6" ht="14.25" customHeight="1">
      <c r="A20" s="61" t="s">
        <v>412</v>
      </c>
      <c r="B20" s="61" t="s">
        <v>419</v>
      </c>
      <c r="C20" s="61" t="s">
        <v>79</v>
      </c>
      <c r="D20" s="61">
        <v>1</v>
      </c>
      <c r="E20" s="61" t="s">
        <v>688</v>
      </c>
      <c r="F20" s="61" t="s">
        <v>6</v>
      </c>
    </row>
    <row r="21" spans="1:6" ht="14.25" customHeight="1">
      <c r="A21" s="52" t="s">
        <v>412</v>
      </c>
      <c r="B21" s="52" t="s">
        <v>420</v>
      </c>
      <c r="C21" s="52" t="s">
        <v>79</v>
      </c>
      <c r="D21" s="52">
        <v>1</v>
      </c>
      <c r="E21" s="52" t="s">
        <v>688</v>
      </c>
      <c r="F21" s="52" t="s">
        <v>6</v>
      </c>
    </row>
    <row r="22" spans="1:6" ht="14.25" customHeight="1">
      <c r="A22" s="61" t="s">
        <v>412</v>
      </c>
      <c r="B22" s="61" t="s">
        <v>420</v>
      </c>
      <c r="C22" s="61" t="s">
        <v>84</v>
      </c>
      <c r="D22" s="61">
        <v>1</v>
      </c>
      <c r="E22" s="61" t="s">
        <v>618</v>
      </c>
      <c r="F22" s="61" t="s">
        <v>6</v>
      </c>
    </row>
    <row r="23" spans="1:6" ht="14.25" customHeight="1">
      <c r="A23" s="52" t="s">
        <v>412</v>
      </c>
      <c r="B23" s="52" t="s">
        <v>421</v>
      </c>
      <c r="C23" s="52" t="s">
        <v>79</v>
      </c>
      <c r="D23" s="52">
        <v>2</v>
      </c>
      <c r="E23" s="52" t="s">
        <v>618</v>
      </c>
      <c r="F23" s="52" t="s">
        <v>6</v>
      </c>
    </row>
    <row r="24" spans="1:6" ht="14.25" customHeight="1">
      <c r="A24" s="61" t="s">
        <v>412</v>
      </c>
      <c r="B24" s="61" t="s">
        <v>421</v>
      </c>
      <c r="C24" s="61" t="s">
        <v>84</v>
      </c>
      <c r="D24" s="61">
        <v>1</v>
      </c>
      <c r="E24" s="61" t="s">
        <v>618</v>
      </c>
      <c r="F24" s="61" t="s">
        <v>6</v>
      </c>
    </row>
    <row r="25" spans="1:6" ht="14.25" customHeight="1">
      <c r="A25" s="52" t="s">
        <v>412</v>
      </c>
      <c r="B25" s="52" t="s">
        <v>421</v>
      </c>
      <c r="C25" s="52" t="s">
        <v>120</v>
      </c>
      <c r="D25" s="52">
        <v>1</v>
      </c>
      <c r="E25" s="52" t="s">
        <v>618</v>
      </c>
      <c r="F25" s="52" t="s">
        <v>6</v>
      </c>
    </row>
    <row r="26" spans="1:6" ht="14.25" customHeight="1">
      <c r="A26" s="61" t="s">
        <v>412</v>
      </c>
      <c r="B26" s="61" t="s">
        <v>422</v>
      </c>
      <c r="C26" s="61" t="s">
        <v>79</v>
      </c>
      <c r="D26" s="61">
        <v>1</v>
      </c>
      <c r="E26" s="61" t="s">
        <v>619</v>
      </c>
      <c r="F26" s="61" t="s">
        <v>6</v>
      </c>
    </row>
    <row r="27" spans="1:6" ht="14.25" customHeight="1">
      <c r="A27" s="52" t="s">
        <v>412</v>
      </c>
      <c r="B27" s="52" t="s">
        <v>422</v>
      </c>
      <c r="C27" s="52" t="s">
        <v>84</v>
      </c>
      <c r="D27" s="52">
        <v>1</v>
      </c>
      <c r="E27" s="52" t="s">
        <v>619</v>
      </c>
      <c r="F27" s="52" t="s">
        <v>6</v>
      </c>
    </row>
    <row r="28" spans="1:6" ht="14.25" customHeight="1">
      <c r="A28" s="61" t="s">
        <v>412</v>
      </c>
      <c r="B28" s="61" t="s">
        <v>423</v>
      </c>
      <c r="C28" s="61" t="s">
        <v>79</v>
      </c>
      <c r="D28" s="61">
        <v>1</v>
      </c>
      <c r="E28" s="61" t="s">
        <v>619</v>
      </c>
      <c r="F28" s="61" t="s">
        <v>6</v>
      </c>
    </row>
    <row r="29" spans="1:6" ht="14.25" customHeight="1">
      <c r="A29" s="52" t="s">
        <v>412</v>
      </c>
      <c r="B29" s="52" t="s">
        <v>423</v>
      </c>
      <c r="C29" s="52" t="s">
        <v>84</v>
      </c>
      <c r="D29" s="52">
        <v>1</v>
      </c>
      <c r="E29" s="52" t="s">
        <v>581</v>
      </c>
      <c r="F29" s="52" t="s">
        <v>6</v>
      </c>
    </row>
    <row r="30" spans="1:6" ht="14.25" customHeight="1">
      <c r="A30" s="61" t="s">
        <v>412</v>
      </c>
      <c r="B30" s="61" t="s">
        <v>424</v>
      </c>
      <c r="C30" s="61" t="s">
        <v>79</v>
      </c>
      <c r="D30" s="61">
        <v>1</v>
      </c>
      <c r="E30" s="61" t="s">
        <v>581</v>
      </c>
      <c r="F30" s="61" t="s">
        <v>6</v>
      </c>
    </row>
    <row r="31" spans="1:6" ht="14.25" customHeight="1">
      <c r="A31" s="52" t="s">
        <v>412</v>
      </c>
      <c r="B31" s="52" t="s">
        <v>424</v>
      </c>
      <c r="C31" s="52" t="s">
        <v>84</v>
      </c>
      <c r="D31" s="52">
        <v>1</v>
      </c>
      <c r="E31" s="52" t="s">
        <v>581</v>
      </c>
      <c r="F31" s="52" t="s">
        <v>6</v>
      </c>
    </row>
    <row r="32" spans="1:6" ht="14.25" customHeight="1">
      <c r="A32" s="61" t="s">
        <v>412</v>
      </c>
      <c r="B32" s="61" t="s">
        <v>425</v>
      </c>
      <c r="C32" s="61" t="s">
        <v>79</v>
      </c>
      <c r="D32" s="61">
        <v>1</v>
      </c>
      <c r="E32" s="61" t="s">
        <v>620</v>
      </c>
      <c r="F32" s="61" t="s">
        <v>6</v>
      </c>
    </row>
    <row r="33" spans="1:6" ht="14.25" customHeight="1">
      <c r="A33" s="52" t="s">
        <v>412</v>
      </c>
      <c r="B33" s="52" t="s">
        <v>425</v>
      </c>
      <c r="C33" s="52" t="s">
        <v>84</v>
      </c>
      <c r="D33" s="52">
        <v>1</v>
      </c>
      <c r="E33" s="52" t="s">
        <v>620</v>
      </c>
      <c r="F33" s="52" t="s">
        <v>6</v>
      </c>
    </row>
    <row r="34" spans="1:6" ht="14.25" customHeight="1">
      <c r="A34" s="61" t="s">
        <v>412</v>
      </c>
      <c r="B34" s="61" t="s">
        <v>426</v>
      </c>
      <c r="C34" s="61" t="s">
        <v>79</v>
      </c>
      <c r="D34" s="61">
        <v>1</v>
      </c>
      <c r="E34" s="61" t="s">
        <v>620</v>
      </c>
      <c r="F34" s="61" t="s">
        <v>6</v>
      </c>
    </row>
    <row r="35" spans="1:6" ht="14.25" customHeight="1">
      <c r="A35" s="52" t="s">
        <v>412</v>
      </c>
      <c r="B35" s="52" t="s">
        <v>426</v>
      </c>
      <c r="C35" s="52" t="s">
        <v>84</v>
      </c>
      <c r="D35" s="52">
        <v>1</v>
      </c>
      <c r="E35" s="52" t="s">
        <v>620</v>
      </c>
      <c r="F35" s="52" t="s">
        <v>6</v>
      </c>
    </row>
    <row r="36" spans="1:6" ht="14.25" customHeight="1">
      <c r="A36" s="61" t="s">
        <v>412</v>
      </c>
      <c r="B36" s="61" t="s">
        <v>427</v>
      </c>
      <c r="C36" s="61" t="s">
        <v>79</v>
      </c>
      <c r="D36" s="61">
        <v>1</v>
      </c>
      <c r="E36" s="61" t="s">
        <v>621</v>
      </c>
      <c r="F36" s="61" t="s">
        <v>6</v>
      </c>
    </row>
    <row r="37" spans="1:6" ht="14.25" customHeight="1">
      <c r="A37" s="52" t="s">
        <v>412</v>
      </c>
      <c r="B37" s="52" t="s">
        <v>427</v>
      </c>
      <c r="C37" s="52" t="s">
        <v>84</v>
      </c>
      <c r="D37" s="52">
        <v>1</v>
      </c>
      <c r="E37" s="52" t="s">
        <v>621</v>
      </c>
      <c r="F37" s="52" t="s">
        <v>6</v>
      </c>
    </row>
    <row r="38" spans="1:6" ht="14.25" customHeight="1">
      <c r="A38" s="61" t="s">
        <v>412</v>
      </c>
      <c r="B38" s="61" t="s">
        <v>428</v>
      </c>
      <c r="C38" s="61" t="s">
        <v>79</v>
      </c>
      <c r="D38" s="61">
        <v>1</v>
      </c>
      <c r="E38" s="61" t="s">
        <v>621</v>
      </c>
      <c r="F38" s="61" t="s">
        <v>6</v>
      </c>
    </row>
    <row r="39" spans="1:6" ht="14.25" customHeight="1">
      <c r="A39" s="52" t="s">
        <v>412</v>
      </c>
      <c r="B39" s="52" t="s">
        <v>429</v>
      </c>
      <c r="C39" s="52" t="s">
        <v>79</v>
      </c>
      <c r="D39" s="52">
        <v>1</v>
      </c>
      <c r="E39" s="52" t="s">
        <v>622</v>
      </c>
      <c r="F39" s="52" t="s">
        <v>6</v>
      </c>
    </row>
    <row r="40" spans="1:6" ht="14.25" customHeight="1">
      <c r="A40" s="61" t="s">
        <v>412</v>
      </c>
      <c r="B40" s="61" t="s">
        <v>430</v>
      </c>
      <c r="C40" s="61" t="s">
        <v>79</v>
      </c>
      <c r="D40" s="61">
        <v>1</v>
      </c>
      <c r="E40" s="61" t="s">
        <v>622</v>
      </c>
      <c r="F40" s="61" t="s">
        <v>6</v>
      </c>
    </row>
    <row r="41" spans="1:6" ht="14.25" customHeight="1">
      <c r="A41" s="52" t="s">
        <v>412</v>
      </c>
      <c r="B41" s="52" t="s">
        <v>431</v>
      </c>
      <c r="C41" s="52" t="s">
        <v>79</v>
      </c>
      <c r="D41" s="52">
        <v>1</v>
      </c>
      <c r="E41" s="52" t="s">
        <v>622</v>
      </c>
      <c r="F41" s="52" t="s">
        <v>6</v>
      </c>
    </row>
    <row r="42" spans="1:6" ht="14.25" customHeight="1">
      <c r="A42" s="61" t="s">
        <v>412</v>
      </c>
      <c r="B42" s="61" t="s">
        <v>431</v>
      </c>
      <c r="C42" s="61" t="s">
        <v>84</v>
      </c>
      <c r="D42" s="61">
        <v>1</v>
      </c>
      <c r="E42" s="61" t="s">
        <v>623</v>
      </c>
      <c r="F42" s="61" t="s">
        <v>6</v>
      </c>
    </row>
    <row r="43" spans="1:6" ht="14.25" customHeight="1">
      <c r="A43" s="52" t="s">
        <v>412</v>
      </c>
      <c r="B43" s="52" t="s">
        <v>432</v>
      </c>
      <c r="C43" s="52" t="s">
        <v>79</v>
      </c>
      <c r="D43" s="52">
        <v>1</v>
      </c>
      <c r="E43" s="52" t="s">
        <v>623</v>
      </c>
      <c r="F43" s="52" t="s">
        <v>6</v>
      </c>
    </row>
    <row r="44" spans="1:6" ht="14.25" customHeight="1">
      <c r="A44" s="61" t="s">
        <v>412</v>
      </c>
      <c r="B44" s="61" t="s">
        <v>432</v>
      </c>
      <c r="C44" s="61" t="s">
        <v>84</v>
      </c>
      <c r="D44" s="61">
        <v>1</v>
      </c>
      <c r="E44" s="61" t="s">
        <v>623</v>
      </c>
      <c r="F44" s="61" t="s">
        <v>6</v>
      </c>
    </row>
    <row r="45" spans="1:6" ht="14.25" customHeight="1">
      <c r="A45" s="52" t="s">
        <v>412</v>
      </c>
      <c r="B45" s="52" t="s">
        <v>432</v>
      </c>
      <c r="C45" s="52" t="s">
        <v>120</v>
      </c>
      <c r="D45" s="52">
        <v>1</v>
      </c>
      <c r="E45" s="52" t="s">
        <v>623</v>
      </c>
      <c r="F45" s="52" t="s">
        <v>6</v>
      </c>
    </row>
    <row r="46" spans="1:6" ht="14.25" customHeight="1">
      <c r="A46" s="61" t="s">
        <v>412</v>
      </c>
      <c r="B46" s="61" t="s">
        <v>433</v>
      </c>
      <c r="C46" s="61" t="s">
        <v>79</v>
      </c>
      <c r="D46" s="61">
        <v>1</v>
      </c>
      <c r="E46" s="61" t="s">
        <v>624</v>
      </c>
      <c r="F46" s="61" t="s">
        <v>6</v>
      </c>
    </row>
    <row r="47" spans="1:6" ht="14.25" customHeight="1">
      <c r="A47" s="52" t="s">
        <v>412</v>
      </c>
      <c r="B47" s="52" t="s">
        <v>433</v>
      </c>
      <c r="C47" s="52" t="s">
        <v>118</v>
      </c>
      <c r="D47" s="52">
        <v>1</v>
      </c>
      <c r="E47" s="52" t="s">
        <v>624</v>
      </c>
      <c r="F47" s="52" t="s">
        <v>6</v>
      </c>
    </row>
    <row r="48" spans="1:6" ht="14.25" customHeight="1">
      <c r="A48" s="61" t="s">
        <v>412</v>
      </c>
      <c r="B48" s="61" t="s">
        <v>434</v>
      </c>
      <c r="C48" s="61" t="s">
        <v>79</v>
      </c>
      <c r="D48" s="61">
        <v>1</v>
      </c>
      <c r="E48" s="61" t="s">
        <v>624</v>
      </c>
      <c r="F48" s="61" t="s">
        <v>6</v>
      </c>
    </row>
    <row r="49" spans="1:6" ht="14.25" customHeight="1">
      <c r="A49" s="52" t="s">
        <v>412</v>
      </c>
      <c r="B49" s="52" t="s">
        <v>434</v>
      </c>
      <c r="C49" s="52" t="s">
        <v>118</v>
      </c>
      <c r="D49" s="52">
        <v>1</v>
      </c>
      <c r="E49" s="52" t="s">
        <v>625</v>
      </c>
      <c r="F49" s="52" t="s">
        <v>6</v>
      </c>
    </row>
    <row r="50" spans="1:6" ht="14.25" customHeight="1">
      <c r="A50" s="61" t="s">
        <v>412</v>
      </c>
      <c r="B50" s="61" t="s">
        <v>435</v>
      </c>
      <c r="C50" s="61" t="s">
        <v>79</v>
      </c>
      <c r="D50" s="61">
        <v>1</v>
      </c>
      <c r="E50" s="61" t="s">
        <v>625</v>
      </c>
      <c r="F50" s="61" t="s">
        <v>6</v>
      </c>
    </row>
    <row r="51" spans="1:6" ht="14.25" customHeight="1">
      <c r="A51" s="52" t="s">
        <v>412</v>
      </c>
      <c r="B51" s="52" t="s">
        <v>435</v>
      </c>
      <c r="C51" s="52" t="s">
        <v>118</v>
      </c>
      <c r="D51" s="52">
        <v>1</v>
      </c>
      <c r="E51" s="52" t="s">
        <v>625</v>
      </c>
      <c r="F51" s="52" t="s">
        <v>6</v>
      </c>
    </row>
    <row r="52" spans="1:6" ht="14.25" customHeight="1">
      <c r="A52" s="61" t="s">
        <v>412</v>
      </c>
      <c r="B52" s="61" t="s">
        <v>436</v>
      </c>
      <c r="C52" s="61" t="s">
        <v>79</v>
      </c>
      <c r="D52" s="61">
        <v>1</v>
      </c>
      <c r="E52" s="61" t="s">
        <v>626</v>
      </c>
      <c r="F52" s="61" t="s">
        <v>6</v>
      </c>
    </row>
    <row r="53" spans="1:6" ht="14.25" customHeight="1">
      <c r="A53" s="52" t="s">
        <v>412</v>
      </c>
      <c r="B53" s="52" t="s">
        <v>436</v>
      </c>
      <c r="C53" s="52" t="s">
        <v>84</v>
      </c>
      <c r="D53" s="52">
        <v>1</v>
      </c>
      <c r="E53" s="52" t="s">
        <v>626</v>
      </c>
      <c r="F53" s="52" t="s">
        <v>6</v>
      </c>
    </row>
    <row r="54" spans="1:6" ht="14.25" customHeight="1">
      <c r="A54" s="61" t="s">
        <v>412</v>
      </c>
      <c r="B54" s="61" t="s">
        <v>436</v>
      </c>
      <c r="C54" s="61" t="s">
        <v>118</v>
      </c>
      <c r="D54" s="61">
        <v>1</v>
      </c>
      <c r="E54" s="61" t="s">
        <v>626</v>
      </c>
      <c r="F54" s="61" t="s">
        <v>6</v>
      </c>
    </row>
    <row r="55" spans="1:6" ht="14.25" customHeight="1">
      <c r="A55" s="52" t="s">
        <v>412</v>
      </c>
      <c r="B55" s="52" t="s">
        <v>437</v>
      </c>
      <c r="C55" s="52" t="s">
        <v>79</v>
      </c>
      <c r="D55" s="52">
        <v>1</v>
      </c>
      <c r="E55" s="52" t="s">
        <v>626</v>
      </c>
      <c r="F55" s="52" t="s">
        <v>6</v>
      </c>
    </row>
    <row r="56" spans="1:6" ht="14.25" customHeight="1">
      <c r="A56" s="61" t="s">
        <v>412</v>
      </c>
      <c r="B56" s="61" t="s">
        <v>437</v>
      </c>
      <c r="C56" s="61" t="s">
        <v>84</v>
      </c>
      <c r="D56" s="61">
        <v>1</v>
      </c>
      <c r="E56" s="61" t="s">
        <v>627</v>
      </c>
      <c r="F56" s="61" t="s">
        <v>6</v>
      </c>
    </row>
    <row r="57" spans="1:6" ht="14.25" customHeight="1">
      <c r="A57" s="52" t="s">
        <v>412</v>
      </c>
      <c r="B57" s="52" t="s">
        <v>438</v>
      </c>
      <c r="C57" s="52" t="s">
        <v>79</v>
      </c>
      <c r="D57" s="52">
        <v>1</v>
      </c>
      <c r="E57" s="52" t="s">
        <v>627</v>
      </c>
      <c r="F57" s="52" t="s">
        <v>6</v>
      </c>
    </row>
    <row r="58" spans="1:6" ht="14.25" customHeight="1">
      <c r="A58" s="61" t="s">
        <v>412</v>
      </c>
      <c r="B58" s="61" t="s">
        <v>439</v>
      </c>
      <c r="C58" s="61" t="s">
        <v>79</v>
      </c>
      <c r="D58" s="61">
        <v>1</v>
      </c>
      <c r="E58" s="61" t="s">
        <v>627</v>
      </c>
      <c r="F58" s="61" t="s">
        <v>6</v>
      </c>
    </row>
    <row r="59" spans="1:6" ht="14.25" customHeight="1">
      <c r="A59" s="52" t="s">
        <v>412</v>
      </c>
      <c r="B59" s="52" t="s">
        <v>440</v>
      </c>
      <c r="C59" s="52" t="s">
        <v>79</v>
      </c>
      <c r="D59" s="52">
        <v>1</v>
      </c>
      <c r="E59" s="52" t="s">
        <v>628</v>
      </c>
      <c r="F59" s="52" t="s">
        <v>6</v>
      </c>
    </row>
    <row r="60" spans="1:6" ht="14.25" customHeight="1">
      <c r="A60" s="61" t="s">
        <v>412</v>
      </c>
      <c r="B60" s="61" t="s">
        <v>441</v>
      </c>
      <c r="C60" s="61" t="s">
        <v>79</v>
      </c>
      <c r="D60" s="61">
        <v>1</v>
      </c>
      <c r="E60" s="61" t="s">
        <v>628</v>
      </c>
      <c r="F60" s="61" t="s">
        <v>6</v>
      </c>
    </row>
    <row r="61" spans="1:6" ht="14.25" customHeight="1">
      <c r="A61" s="52" t="s">
        <v>412</v>
      </c>
      <c r="B61" s="52" t="s">
        <v>441</v>
      </c>
      <c r="C61" s="52" t="s">
        <v>84</v>
      </c>
      <c r="D61" s="52">
        <v>1</v>
      </c>
      <c r="E61" s="52" t="s">
        <v>628</v>
      </c>
      <c r="F61" s="52" t="s">
        <v>6</v>
      </c>
    </row>
    <row r="62" spans="1:6" ht="14.25" customHeight="1">
      <c r="A62" s="61" t="s">
        <v>442</v>
      </c>
      <c r="B62" s="61" t="s">
        <v>443</v>
      </c>
      <c r="C62" s="61" t="s">
        <v>79</v>
      </c>
      <c r="D62" s="61">
        <v>2</v>
      </c>
      <c r="E62" s="61" t="s">
        <v>629</v>
      </c>
      <c r="F62" s="61" t="s">
        <v>6</v>
      </c>
    </row>
    <row r="63" spans="1:6" ht="14.25" customHeight="1">
      <c r="A63" s="52" t="s">
        <v>442</v>
      </c>
      <c r="B63" s="52" t="s">
        <v>443</v>
      </c>
      <c r="C63" s="52" t="s">
        <v>84</v>
      </c>
      <c r="D63" s="52">
        <v>1</v>
      </c>
      <c r="E63" s="52" t="s">
        <v>629</v>
      </c>
      <c r="F63" s="52" t="s">
        <v>6</v>
      </c>
    </row>
    <row r="64" spans="1:6" ht="14.25" customHeight="1">
      <c r="A64" s="61" t="s">
        <v>442</v>
      </c>
      <c r="B64" s="61" t="s">
        <v>443</v>
      </c>
      <c r="C64" s="61" t="s">
        <v>120</v>
      </c>
      <c r="D64" s="61">
        <v>1</v>
      </c>
      <c r="E64" s="61" t="s">
        <v>629</v>
      </c>
      <c r="F64" s="61" t="s">
        <v>6</v>
      </c>
    </row>
    <row r="65" spans="1:6" ht="14.25" customHeight="1">
      <c r="A65" s="52" t="s">
        <v>442</v>
      </c>
      <c r="B65" s="52" t="s">
        <v>444</v>
      </c>
      <c r="C65" s="52" t="s">
        <v>79</v>
      </c>
      <c r="D65" s="52">
        <v>1</v>
      </c>
      <c r="E65" s="52" t="s">
        <v>630</v>
      </c>
      <c r="F65" s="52" t="s">
        <v>6</v>
      </c>
    </row>
    <row r="66" spans="1:6" ht="14.25" customHeight="1">
      <c r="A66" s="61" t="s">
        <v>442</v>
      </c>
      <c r="B66" s="61" t="s">
        <v>444</v>
      </c>
      <c r="C66" s="61" t="s">
        <v>84</v>
      </c>
      <c r="D66" s="61">
        <v>1</v>
      </c>
      <c r="E66" s="61" t="s">
        <v>630</v>
      </c>
      <c r="F66" s="61" t="s">
        <v>6</v>
      </c>
    </row>
    <row r="67" spans="1:6" ht="14.25" customHeight="1">
      <c r="A67" s="52" t="s">
        <v>442</v>
      </c>
      <c r="B67" s="52" t="s">
        <v>444</v>
      </c>
      <c r="C67" s="52" t="s">
        <v>118</v>
      </c>
      <c r="D67" s="52">
        <v>1</v>
      </c>
      <c r="E67" s="52" t="s">
        <v>630</v>
      </c>
      <c r="F67" s="52" t="s">
        <v>6</v>
      </c>
    </row>
    <row r="68" spans="1:6" ht="14.25" customHeight="1">
      <c r="A68" s="61" t="s">
        <v>442</v>
      </c>
      <c r="B68" s="61" t="s">
        <v>445</v>
      </c>
      <c r="C68" s="61" t="s">
        <v>79</v>
      </c>
      <c r="D68" s="61">
        <v>1</v>
      </c>
      <c r="E68" s="61" t="s">
        <v>631</v>
      </c>
      <c r="F68" s="61" t="s">
        <v>6</v>
      </c>
    </row>
    <row r="69" spans="1:6" ht="14.25" customHeight="1">
      <c r="A69" s="52" t="s">
        <v>442</v>
      </c>
      <c r="B69" s="52" t="s">
        <v>445</v>
      </c>
      <c r="C69" s="52" t="s">
        <v>84</v>
      </c>
      <c r="D69" s="52">
        <v>1</v>
      </c>
      <c r="E69" s="52" t="s">
        <v>631</v>
      </c>
      <c r="F69" s="52" t="s">
        <v>6</v>
      </c>
    </row>
    <row r="70" spans="1:6" ht="14.25" customHeight="1">
      <c r="A70" s="61" t="s">
        <v>442</v>
      </c>
      <c r="B70" s="61" t="s">
        <v>445</v>
      </c>
      <c r="C70" s="61" t="s">
        <v>118</v>
      </c>
      <c r="D70" s="61">
        <v>1</v>
      </c>
      <c r="E70" s="61" t="s">
        <v>631</v>
      </c>
      <c r="F70" s="61" t="s">
        <v>6</v>
      </c>
    </row>
    <row r="71" spans="1:6" ht="14.25" customHeight="1">
      <c r="A71" s="52" t="s">
        <v>442</v>
      </c>
      <c r="B71" s="52" t="s">
        <v>446</v>
      </c>
      <c r="C71" s="52" t="s">
        <v>79</v>
      </c>
      <c r="D71" s="52">
        <v>1</v>
      </c>
      <c r="E71" s="52" t="s">
        <v>632</v>
      </c>
      <c r="F71" s="52" t="s">
        <v>6</v>
      </c>
    </row>
    <row r="72" spans="1:6" ht="14.25" customHeight="1">
      <c r="A72" s="61" t="s">
        <v>442</v>
      </c>
      <c r="B72" s="61" t="s">
        <v>446</v>
      </c>
      <c r="C72" s="61" t="s">
        <v>84</v>
      </c>
      <c r="D72" s="61">
        <v>1</v>
      </c>
      <c r="E72" s="61" t="s">
        <v>632</v>
      </c>
      <c r="F72" s="61" t="s">
        <v>6</v>
      </c>
    </row>
    <row r="73" spans="1:6" ht="14.25" customHeight="1">
      <c r="A73" s="52" t="s">
        <v>442</v>
      </c>
      <c r="B73" s="52" t="s">
        <v>446</v>
      </c>
      <c r="C73" s="52" t="s">
        <v>118</v>
      </c>
      <c r="D73" s="52">
        <v>1</v>
      </c>
      <c r="E73" s="52" t="s">
        <v>632</v>
      </c>
      <c r="F73" s="52" t="s">
        <v>6</v>
      </c>
    </row>
    <row r="74" spans="1:6" ht="14.25" customHeight="1">
      <c r="A74" s="61" t="s">
        <v>442</v>
      </c>
      <c r="B74" s="61" t="s">
        <v>447</v>
      </c>
      <c r="C74" s="61" t="s">
        <v>79</v>
      </c>
      <c r="D74" s="61">
        <v>1</v>
      </c>
      <c r="E74" s="61" t="s">
        <v>633</v>
      </c>
      <c r="F74" s="61" t="s">
        <v>6</v>
      </c>
    </row>
    <row r="75" spans="1:6" ht="14.25" customHeight="1">
      <c r="A75" s="52" t="s">
        <v>442</v>
      </c>
      <c r="B75" s="52" t="s">
        <v>447</v>
      </c>
      <c r="C75" s="52" t="s">
        <v>84</v>
      </c>
      <c r="D75" s="52">
        <v>2</v>
      </c>
      <c r="E75" s="52" t="s">
        <v>633</v>
      </c>
      <c r="F75" s="52" t="s">
        <v>6</v>
      </c>
    </row>
    <row r="76" spans="1:6" ht="14.25" customHeight="1">
      <c r="A76" s="61" t="s">
        <v>442</v>
      </c>
      <c r="B76" s="61" t="s">
        <v>447</v>
      </c>
      <c r="C76" s="61" t="s">
        <v>118</v>
      </c>
      <c r="D76" s="61">
        <v>1</v>
      </c>
      <c r="E76" s="61" t="s">
        <v>633</v>
      </c>
      <c r="F76" s="61" t="s">
        <v>6</v>
      </c>
    </row>
    <row r="77" spans="1:6" ht="14.25" customHeight="1">
      <c r="A77" s="52" t="s">
        <v>442</v>
      </c>
      <c r="B77" s="52" t="s">
        <v>448</v>
      </c>
      <c r="C77" s="52" t="s">
        <v>79</v>
      </c>
      <c r="D77" s="52">
        <v>1</v>
      </c>
      <c r="E77" s="52" t="s">
        <v>634</v>
      </c>
      <c r="F77" s="52" t="s">
        <v>6</v>
      </c>
    </row>
    <row r="78" spans="1:6" ht="14.25" customHeight="1">
      <c r="A78" s="61" t="s">
        <v>442</v>
      </c>
      <c r="B78" s="61" t="s">
        <v>448</v>
      </c>
      <c r="C78" s="61" t="s">
        <v>84</v>
      </c>
      <c r="D78" s="61">
        <v>1</v>
      </c>
      <c r="E78" s="61" t="s">
        <v>634</v>
      </c>
      <c r="F78" s="61" t="s">
        <v>6</v>
      </c>
    </row>
    <row r="79" spans="1:6" ht="14.25" customHeight="1">
      <c r="A79" s="52" t="s">
        <v>442</v>
      </c>
      <c r="B79" s="52" t="s">
        <v>449</v>
      </c>
      <c r="C79" s="52" t="s">
        <v>79</v>
      </c>
      <c r="D79" s="52">
        <v>1</v>
      </c>
      <c r="E79" s="52" t="s">
        <v>634</v>
      </c>
      <c r="F79" s="52" t="s">
        <v>6</v>
      </c>
    </row>
    <row r="80" spans="1:6" ht="14.25" customHeight="1">
      <c r="A80" s="61" t="s">
        <v>442</v>
      </c>
      <c r="B80" s="61" t="s">
        <v>449</v>
      </c>
      <c r="C80" s="61" t="s">
        <v>84</v>
      </c>
      <c r="D80" s="61">
        <v>1</v>
      </c>
      <c r="E80" s="61" t="s">
        <v>635</v>
      </c>
      <c r="F80" s="61" t="s">
        <v>6</v>
      </c>
    </row>
    <row r="81" spans="1:6" ht="14.25" customHeight="1">
      <c r="A81" s="52" t="s">
        <v>442</v>
      </c>
      <c r="B81" s="52" t="s">
        <v>450</v>
      </c>
      <c r="C81" s="52" t="s">
        <v>79</v>
      </c>
      <c r="D81" s="52">
        <v>1</v>
      </c>
      <c r="E81" s="52" t="s">
        <v>635</v>
      </c>
      <c r="F81" s="52" t="s">
        <v>6</v>
      </c>
    </row>
    <row r="82" spans="1:6" ht="14.25" customHeight="1">
      <c r="A82" s="61" t="s">
        <v>442</v>
      </c>
      <c r="B82" s="61" t="s">
        <v>450</v>
      </c>
      <c r="C82" s="61" t="s">
        <v>84</v>
      </c>
      <c r="D82" s="61">
        <v>1</v>
      </c>
      <c r="E82" s="61" t="s">
        <v>635</v>
      </c>
      <c r="F82" s="61" t="s">
        <v>6</v>
      </c>
    </row>
    <row r="83" spans="1:6" ht="14.25" customHeight="1">
      <c r="A83" s="52" t="s">
        <v>442</v>
      </c>
      <c r="B83" s="52" t="s">
        <v>451</v>
      </c>
      <c r="C83" s="52" t="s">
        <v>79</v>
      </c>
      <c r="D83" s="52">
        <v>1</v>
      </c>
      <c r="E83" s="52" t="s">
        <v>584</v>
      </c>
      <c r="F83" s="52" t="s">
        <v>6</v>
      </c>
    </row>
    <row r="84" spans="1:6" ht="14.25" customHeight="1">
      <c r="A84" s="61" t="s">
        <v>442</v>
      </c>
      <c r="B84" s="61" t="s">
        <v>451</v>
      </c>
      <c r="C84" s="61" t="s">
        <v>84</v>
      </c>
      <c r="D84" s="61">
        <v>1</v>
      </c>
      <c r="E84" s="61" t="s">
        <v>584</v>
      </c>
      <c r="F84" s="61" t="s">
        <v>6</v>
      </c>
    </row>
    <row r="85" spans="1:6" ht="14.25" customHeight="1">
      <c r="A85" s="52" t="s">
        <v>442</v>
      </c>
      <c r="B85" s="52" t="s">
        <v>452</v>
      </c>
      <c r="C85" s="52" t="s">
        <v>79</v>
      </c>
      <c r="D85" s="52">
        <v>1</v>
      </c>
      <c r="E85" s="52" t="s">
        <v>584</v>
      </c>
      <c r="F85" s="52" t="s">
        <v>6</v>
      </c>
    </row>
    <row r="86" spans="1:6" ht="14.25" customHeight="1">
      <c r="A86" s="61" t="s">
        <v>442</v>
      </c>
      <c r="B86" s="61" t="s">
        <v>452</v>
      </c>
      <c r="C86" s="61" t="s">
        <v>84</v>
      </c>
      <c r="D86" s="61">
        <v>1</v>
      </c>
      <c r="E86" s="61" t="s">
        <v>636</v>
      </c>
      <c r="F86" s="61" t="s">
        <v>6</v>
      </c>
    </row>
    <row r="87" spans="1:6" ht="14.25" customHeight="1">
      <c r="A87" s="52" t="s">
        <v>442</v>
      </c>
      <c r="B87" s="52" t="s">
        <v>453</v>
      </c>
      <c r="C87" s="52" t="s">
        <v>79</v>
      </c>
      <c r="D87" s="52">
        <v>1</v>
      </c>
      <c r="E87" s="52" t="s">
        <v>636</v>
      </c>
      <c r="F87" s="52" t="s">
        <v>6</v>
      </c>
    </row>
    <row r="88" spans="1:6" ht="14.25" customHeight="1">
      <c r="A88" s="61" t="s">
        <v>442</v>
      </c>
      <c r="B88" s="61" t="s">
        <v>453</v>
      </c>
      <c r="C88" s="61" t="s">
        <v>84</v>
      </c>
      <c r="D88" s="61">
        <v>1</v>
      </c>
      <c r="E88" s="61" t="s">
        <v>636</v>
      </c>
      <c r="F88" s="61" t="s">
        <v>6</v>
      </c>
    </row>
    <row r="89" spans="1:6" ht="14.25" customHeight="1">
      <c r="A89" s="52" t="s">
        <v>442</v>
      </c>
      <c r="B89" s="52" t="s">
        <v>454</v>
      </c>
      <c r="C89" s="52" t="s">
        <v>79</v>
      </c>
      <c r="D89" s="52">
        <v>2</v>
      </c>
      <c r="E89" s="52" t="s">
        <v>590</v>
      </c>
      <c r="F89" s="52" t="s">
        <v>6</v>
      </c>
    </row>
    <row r="90" spans="1:6" ht="14.25" customHeight="1">
      <c r="A90" s="61" t="s">
        <v>442</v>
      </c>
      <c r="B90" s="61" t="s">
        <v>454</v>
      </c>
      <c r="C90" s="61" t="s">
        <v>84</v>
      </c>
      <c r="D90" s="61">
        <v>2</v>
      </c>
      <c r="E90" s="61" t="s">
        <v>590</v>
      </c>
      <c r="F90" s="61" t="s">
        <v>6</v>
      </c>
    </row>
    <row r="91" spans="1:6" ht="14.25" customHeight="1">
      <c r="A91" s="52" t="s">
        <v>442</v>
      </c>
      <c r="B91" s="52" t="s">
        <v>454</v>
      </c>
      <c r="C91" s="52" t="s">
        <v>118</v>
      </c>
      <c r="D91" s="52">
        <v>1</v>
      </c>
      <c r="E91" s="52" t="s">
        <v>590</v>
      </c>
      <c r="F91" s="52" t="s">
        <v>6</v>
      </c>
    </row>
    <row r="92" spans="1:6" ht="14.25" customHeight="1">
      <c r="A92" s="61" t="s">
        <v>442</v>
      </c>
      <c r="B92" s="61" t="s">
        <v>455</v>
      </c>
      <c r="C92" s="61" t="s">
        <v>79</v>
      </c>
      <c r="D92" s="61">
        <v>1</v>
      </c>
      <c r="E92" s="61" t="s">
        <v>591</v>
      </c>
      <c r="F92" s="61" t="s">
        <v>6</v>
      </c>
    </row>
    <row r="93" spans="1:6" ht="14.25" customHeight="1">
      <c r="A93" s="52" t="s">
        <v>442</v>
      </c>
      <c r="B93" s="52" t="s">
        <v>455</v>
      </c>
      <c r="C93" s="52" t="s">
        <v>84</v>
      </c>
      <c r="D93" s="52">
        <v>1</v>
      </c>
      <c r="E93" s="52" t="s">
        <v>591</v>
      </c>
      <c r="F93" s="52" t="s">
        <v>6</v>
      </c>
    </row>
    <row r="94" spans="1:6" ht="14.25" customHeight="1">
      <c r="A94" s="61" t="s">
        <v>456</v>
      </c>
      <c r="B94" s="61" t="s">
        <v>457</v>
      </c>
      <c r="C94" s="61" t="s">
        <v>79</v>
      </c>
      <c r="D94" s="61">
        <v>2</v>
      </c>
      <c r="E94" s="61" t="s">
        <v>637</v>
      </c>
      <c r="F94" s="61" t="s">
        <v>6</v>
      </c>
    </row>
    <row r="95" spans="1:6" ht="14.25" customHeight="1">
      <c r="A95" s="52" t="s">
        <v>456</v>
      </c>
      <c r="B95" s="52" t="s">
        <v>457</v>
      </c>
      <c r="C95" s="52" t="s">
        <v>84</v>
      </c>
      <c r="D95" s="52">
        <v>1</v>
      </c>
      <c r="E95" s="52" t="s">
        <v>637</v>
      </c>
      <c r="F95" s="52" t="s">
        <v>6</v>
      </c>
    </row>
    <row r="96" spans="1:6" ht="14.25" customHeight="1">
      <c r="A96" s="61" t="s">
        <v>456</v>
      </c>
      <c r="B96" s="61" t="s">
        <v>457</v>
      </c>
      <c r="C96" s="61" t="s">
        <v>118</v>
      </c>
      <c r="D96" s="61">
        <v>1</v>
      </c>
      <c r="E96" s="61" t="s">
        <v>637</v>
      </c>
      <c r="F96" s="61" t="s">
        <v>6</v>
      </c>
    </row>
    <row r="97" spans="1:6" ht="14.25" customHeight="1">
      <c r="A97" s="52" t="s">
        <v>456</v>
      </c>
      <c r="B97" s="52" t="s">
        <v>458</v>
      </c>
      <c r="C97" s="52" t="s">
        <v>79</v>
      </c>
      <c r="D97" s="52">
        <v>1</v>
      </c>
      <c r="E97" s="52" t="s">
        <v>637</v>
      </c>
      <c r="F97" s="52" t="s">
        <v>6</v>
      </c>
    </row>
    <row r="98" spans="1:6" ht="14.25" customHeight="1">
      <c r="A98" s="61" t="s">
        <v>456</v>
      </c>
      <c r="B98" s="61" t="s">
        <v>458</v>
      </c>
      <c r="C98" s="61" t="s">
        <v>84</v>
      </c>
      <c r="D98" s="61">
        <v>1</v>
      </c>
      <c r="E98" s="61" t="s">
        <v>638</v>
      </c>
      <c r="F98" s="61" t="s">
        <v>6</v>
      </c>
    </row>
    <row r="99" spans="1:6" ht="14.25" customHeight="1">
      <c r="A99" s="52" t="s">
        <v>456</v>
      </c>
      <c r="B99" s="52" t="s">
        <v>458</v>
      </c>
      <c r="C99" s="52" t="s">
        <v>118</v>
      </c>
      <c r="D99" s="52">
        <v>1</v>
      </c>
      <c r="E99" s="52" t="s">
        <v>638</v>
      </c>
      <c r="F99" s="52" t="s">
        <v>6</v>
      </c>
    </row>
    <row r="100" spans="1:6" ht="14.25" customHeight="1">
      <c r="A100" s="61" t="s">
        <v>456</v>
      </c>
      <c r="B100" s="61" t="s">
        <v>459</v>
      </c>
      <c r="C100" s="61" t="s">
        <v>79</v>
      </c>
      <c r="D100" s="61">
        <v>1</v>
      </c>
      <c r="E100" s="61" t="s">
        <v>638</v>
      </c>
      <c r="F100" s="61" t="s">
        <v>6</v>
      </c>
    </row>
    <row r="101" spans="1:6" ht="14.25" customHeight="1">
      <c r="A101" s="52" t="s">
        <v>456</v>
      </c>
      <c r="B101" s="52" t="s">
        <v>459</v>
      </c>
      <c r="C101" s="52" t="s">
        <v>84</v>
      </c>
      <c r="D101" s="52">
        <v>1</v>
      </c>
      <c r="E101" s="52" t="s">
        <v>638</v>
      </c>
      <c r="F101" s="52" t="s">
        <v>6</v>
      </c>
    </row>
    <row r="102" spans="1:6" ht="14.25" customHeight="1">
      <c r="A102" s="61" t="s">
        <v>456</v>
      </c>
      <c r="B102" s="61" t="s">
        <v>459</v>
      </c>
      <c r="C102" s="61" t="s">
        <v>118</v>
      </c>
      <c r="D102" s="61">
        <v>1</v>
      </c>
      <c r="E102" s="61" t="s">
        <v>639</v>
      </c>
      <c r="F102" s="61" t="s">
        <v>6</v>
      </c>
    </row>
    <row r="103" spans="1:6" ht="14.25" customHeight="1">
      <c r="A103" s="52" t="s">
        <v>456</v>
      </c>
      <c r="B103" s="52" t="s">
        <v>460</v>
      </c>
      <c r="C103" s="52" t="s">
        <v>79</v>
      </c>
      <c r="D103" s="52">
        <v>1</v>
      </c>
      <c r="E103" s="52" t="s">
        <v>639</v>
      </c>
      <c r="F103" s="52" t="s">
        <v>6</v>
      </c>
    </row>
    <row r="104" spans="1:6" ht="14.25" customHeight="1">
      <c r="A104" s="61" t="s">
        <v>456</v>
      </c>
      <c r="B104" s="61" t="s">
        <v>460</v>
      </c>
      <c r="C104" s="61" t="s">
        <v>84</v>
      </c>
      <c r="D104" s="61">
        <v>1</v>
      </c>
      <c r="E104" s="61" t="s">
        <v>639</v>
      </c>
      <c r="F104" s="61" t="s">
        <v>6</v>
      </c>
    </row>
    <row r="105" spans="1:6" ht="14.25" customHeight="1">
      <c r="A105" s="52" t="s">
        <v>456</v>
      </c>
      <c r="B105" s="52" t="s">
        <v>461</v>
      </c>
      <c r="C105" s="52" t="s">
        <v>79</v>
      </c>
      <c r="D105" s="52">
        <v>1</v>
      </c>
      <c r="E105" s="52" t="s">
        <v>576</v>
      </c>
      <c r="F105" s="52" t="s">
        <v>6</v>
      </c>
    </row>
    <row r="106" spans="1:6" ht="14.25" customHeight="1">
      <c r="A106" s="61" t="s">
        <v>456</v>
      </c>
      <c r="B106" s="61" t="s">
        <v>461</v>
      </c>
      <c r="C106" s="61" t="s">
        <v>84</v>
      </c>
      <c r="D106" s="61">
        <v>1</v>
      </c>
      <c r="E106" s="61" t="s">
        <v>576</v>
      </c>
      <c r="F106" s="61" t="s">
        <v>6</v>
      </c>
    </row>
    <row r="107" spans="1:6" ht="14.25" customHeight="1">
      <c r="A107" s="52" t="s">
        <v>456</v>
      </c>
      <c r="B107" s="52" t="s">
        <v>462</v>
      </c>
      <c r="C107" s="52" t="s">
        <v>79</v>
      </c>
      <c r="D107" s="52">
        <v>1</v>
      </c>
      <c r="E107" s="52" t="s">
        <v>576</v>
      </c>
      <c r="F107" s="52" t="s">
        <v>6</v>
      </c>
    </row>
    <row r="108" spans="1:6" ht="14.25" customHeight="1">
      <c r="A108" s="61" t="s">
        <v>456</v>
      </c>
      <c r="B108" s="61" t="s">
        <v>462</v>
      </c>
      <c r="C108" s="61" t="s">
        <v>84</v>
      </c>
      <c r="D108" s="61">
        <v>1</v>
      </c>
      <c r="E108" s="61" t="s">
        <v>576</v>
      </c>
      <c r="F108" s="61" t="s">
        <v>6</v>
      </c>
    </row>
    <row r="109" spans="1:6" ht="14.25" customHeight="1">
      <c r="A109" s="52" t="s">
        <v>456</v>
      </c>
      <c r="B109" s="52" t="s">
        <v>463</v>
      </c>
      <c r="C109" s="52" t="s">
        <v>79</v>
      </c>
      <c r="D109" s="52">
        <v>1</v>
      </c>
      <c r="E109" s="52" t="s">
        <v>640</v>
      </c>
      <c r="F109" s="52" t="s">
        <v>6</v>
      </c>
    </row>
    <row r="110" spans="1:6" ht="14.25" customHeight="1">
      <c r="A110" s="61" t="s">
        <v>456</v>
      </c>
      <c r="B110" s="61" t="s">
        <v>463</v>
      </c>
      <c r="C110" s="61" t="s">
        <v>84</v>
      </c>
      <c r="D110" s="61">
        <v>1</v>
      </c>
      <c r="E110" s="61" t="s">
        <v>640</v>
      </c>
      <c r="F110" s="61" t="s">
        <v>6</v>
      </c>
    </row>
    <row r="111" spans="1:6" ht="14.25" customHeight="1">
      <c r="A111" s="52" t="s">
        <v>456</v>
      </c>
      <c r="B111" s="52" t="s">
        <v>464</v>
      </c>
      <c r="C111" s="52" t="s">
        <v>79</v>
      </c>
      <c r="D111" s="52">
        <v>1</v>
      </c>
      <c r="E111" s="52" t="s">
        <v>640</v>
      </c>
      <c r="F111" s="52" t="s">
        <v>6</v>
      </c>
    </row>
    <row r="112" spans="1:6" ht="14.25" customHeight="1">
      <c r="A112" s="61" t="s">
        <v>456</v>
      </c>
      <c r="B112" s="61" t="s">
        <v>464</v>
      </c>
      <c r="C112" s="61" t="s">
        <v>84</v>
      </c>
      <c r="D112" s="61">
        <v>1</v>
      </c>
      <c r="E112" s="61" t="s">
        <v>640</v>
      </c>
      <c r="F112" s="61" t="s">
        <v>6</v>
      </c>
    </row>
    <row r="113" spans="1:6" ht="14.25" customHeight="1">
      <c r="A113" s="52" t="s">
        <v>456</v>
      </c>
      <c r="B113" s="52" t="s">
        <v>464</v>
      </c>
      <c r="C113" s="52" t="s">
        <v>118</v>
      </c>
      <c r="D113" s="52">
        <v>1</v>
      </c>
      <c r="E113" s="52" t="s">
        <v>646</v>
      </c>
      <c r="F113" s="52" t="s">
        <v>6</v>
      </c>
    </row>
    <row r="114" spans="1:6" ht="14.25" customHeight="1">
      <c r="A114" s="61" t="s">
        <v>456</v>
      </c>
      <c r="B114" s="61" t="s">
        <v>465</v>
      </c>
      <c r="C114" s="61" t="s">
        <v>79</v>
      </c>
      <c r="D114" s="61">
        <v>1</v>
      </c>
      <c r="E114" s="61" t="s">
        <v>646</v>
      </c>
      <c r="F114" s="61" t="s">
        <v>6</v>
      </c>
    </row>
    <row r="115" spans="1:6" ht="14.25" customHeight="1">
      <c r="A115" s="52" t="s">
        <v>456</v>
      </c>
      <c r="B115" s="52" t="s">
        <v>465</v>
      </c>
      <c r="C115" s="52" t="s">
        <v>84</v>
      </c>
      <c r="D115" s="52">
        <v>1</v>
      </c>
      <c r="E115" s="52" t="s">
        <v>646</v>
      </c>
      <c r="F115" s="52" t="s">
        <v>6</v>
      </c>
    </row>
    <row r="116" spans="1:6" ht="14.25" customHeight="1">
      <c r="A116" s="62" t="s">
        <v>466</v>
      </c>
      <c r="B116" s="61" t="s">
        <v>73</v>
      </c>
      <c r="C116" s="61" t="s">
        <v>74</v>
      </c>
      <c r="D116" s="61">
        <v>11</v>
      </c>
      <c r="E116" s="61" t="s">
        <v>647</v>
      </c>
      <c r="F116" s="61" t="s">
        <v>6</v>
      </c>
    </row>
    <row r="117" spans="1:6" ht="14.25" customHeight="1">
      <c r="A117" s="60" t="s">
        <v>466</v>
      </c>
      <c r="B117" s="52" t="s">
        <v>227</v>
      </c>
      <c r="C117" s="52" t="s">
        <v>118</v>
      </c>
      <c r="D117" s="52">
        <v>1</v>
      </c>
      <c r="E117" s="52" t="s">
        <v>647</v>
      </c>
      <c r="F117" s="52" t="s">
        <v>6</v>
      </c>
    </row>
    <row r="118" spans="1:6" ht="14.25" customHeight="1">
      <c r="A118" s="62" t="s">
        <v>466</v>
      </c>
      <c r="B118" s="61" t="s">
        <v>467</v>
      </c>
      <c r="C118" s="61" t="s">
        <v>79</v>
      </c>
      <c r="D118" s="61">
        <v>1</v>
      </c>
      <c r="E118" s="61" t="s">
        <v>650</v>
      </c>
      <c r="F118" s="61" t="s">
        <v>6</v>
      </c>
    </row>
    <row r="119" spans="1:6" ht="14.25" customHeight="1">
      <c r="A119" s="60" t="s">
        <v>466</v>
      </c>
      <c r="B119" s="52" t="s">
        <v>468</v>
      </c>
      <c r="C119" s="52" t="s">
        <v>79</v>
      </c>
      <c r="D119" s="52">
        <v>1</v>
      </c>
      <c r="E119" s="52" t="s">
        <v>651</v>
      </c>
      <c r="F119" s="52" t="s">
        <v>6</v>
      </c>
    </row>
    <row r="120" spans="1:6" ht="14.25" customHeight="1">
      <c r="A120" s="62" t="s">
        <v>466</v>
      </c>
      <c r="B120" s="61" t="s">
        <v>468</v>
      </c>
      <c r="C120" s="61" t="s">
        <v>84</v>
      </c>
      <c r="D120" s="61">
        <v>1</v>
      </c>
      <c r="E120" s="61" t="s">
        <v>651</v>
      </c>
      <c r="F120" s="61" t="s">
        <v>6</v>
      </c>
    </row>
    <row r="121" spans="1:6" ht="14.25" customHeight="1">
      <c r="A121" s="60" t="s">
        <v>466</v>
      </c>
      <c r="B121" s="52" t="s">
        <v>469</v>
      </c>
      <c r="C121" s="52" t="s">
        <v>79</v>
      </c>
      <c r="D121" s="52">
        <v>1</v>
      </c>
      <c r="E121" s="52" t="s">
        <v>652</v>
      </c>
      <c r="F121" s="52" t="s">
        <v>6</v>
      </c>
    </row>
    <row r="122" spans="1:6" ht="14.25" customHeight="1">
      <c r="A122" s="62" t="s">
        <v>466</v>
      </c>
      <c r="B122" s="61" t="s">
        <v>469</v>
      </c>
      <c r="C122" s="61" t="s">
        <v>84</v>
      </c>
      <c r="D122" s="61">
        <v>1</v>
      </c>
      <c r="E122" s="61" t="s">
        <v>582</v>
      </c>
      <c r="F122" s="61" t="s">
        <v>6</v>
      </c>
    </row>
    <row r="123" spans="1:6" ht="14.25" customHeight="1">
      <c r="A123" s="60" t="s">
        <v>470</v>
      </c>
      <c r="B123" s="52" t="s">
        <v>471</v>
      </c>
      <c r="C123" s="52" t="s">
        <v>79</v>
      </c>
      <c r="D123" s="52">
        <v>2</v>
      </c>
      <c r="E123" s="52" t="s">
        <v>585</v>
      </c>
      <c r="F123" s="52" t="s">
        <v>6</v>
      </c>
    </row>
    <row r="124" spans="1:6" ht="14.25" customHeight="1">
      <c r="A124" s="62" t="s">
        <v>470</v>
      </c>
      <c r="B124" s="61" t="s">
        <v>471</v>
      </c>
      <c r="C124" s="61" t="s">
        <v>84</v>
      </c>
      <c r="D124" s="61">
        <v>1</v>
      </c>
      <c r="E124" s="61" t="s">
        <v>585</v>
      </c>
      <c r="F124" s="61" t="s">
        <v>6</v>
      </c>
    </row>
    <row r="125" spans="1:6" ht="14.25" customHeight="1">
      <c r="A125" s="52" t="s">
        <v>472</v>
      </c>
      <c r="B125" s="52" t="s">
        <v>472</v>
      </c>
      <c r="C125" s="52" t="s">
        <v>79</v>
      </c>
      <c r="D125" s="52">
        <v>1</v>
      </c>
      <c r="E125" s="52" t="s">
        <v>648</v>
      </c>
      <c r="F125" s="52" t="s">
        <v>6</v>
      </c>
    </row>
    <row r="126" spans="1:6" ht="14.25" customHeight="1">
      <c r="A126" s="61" t="s">
        <v>472</v>
      </c>
      <c r="B126" s="61" t="s">
        <v>472</v>
      </c>
      <c r="C126" s="61" t="s">
        <v>84</v>
      </c>
      <c r="D126" s="61">
        <v>1</v>
      </c>
      <c r="E126" s="61" t="s">
        <v>648</v>
      </c>
      <c r="F126" s="61" t="s">
        <v>6</v>
      </c>
    </row>
    <row r="127" spans="1:6" ht="14.25" customHeight="1">
      <c r="A127" s="60" t="s">
        <v>473</v>
      </c>
      <c r="B127" s="52" t="s">
        <v>471</v>
      </c>
      <c r="C127" s="52" t="s">
        <v>79</v>
      </c>
      <c r="D127" s="52">
        <v>1</v>
      </c>
      <c r="E127" s="52" t="s">
        <v>649</v>
      </c>
      <c r="F127" s="52" t="s">
        <v>6</v>
      </c>
    </row>
    <row r="128" spans="1:6" ht="14.25" customHeight="1">
      <c r="A128" s="62" t="s">
        <v>473</v>
      </c>
      <c r="B128" s="61" t="s">
        <v>471</v>
      </c>
      <c r="C128" s="61" t="s">
        <v>84</v>
      </c>
      <c r="D128" s="61">
        <v>1</v>
      </c>
      <c r="E128" s="61" t="s">
        <v>649</v>
      </c>
      <c r="F128" s="61" t="s">
        <v>6</v>
      </c>
    </row>
    <row r="129" spans="1:6" ht="14.25" customHeight="1">
      <c r="A129" s="52" t="s">
        <v>474</v>
      </c>
      <c r="B129" s="60" t="s">
        <v>475</v>
      </c>
      <c r="C129" s="52" t="s">
        <v>79</v>
      </c>
      <c r="D129" s="52">
        <v>1</v>
      </c>
      <c r="E129" s="52" t="s">
        <v>592</v>
      </c>
      <c r="F129" s="52" t="s">
        <v>6</v>
      </c>
    </row>
    <row r="130" spans="1:6" ht="14.25" customHeight="1">
      <c r="A130" s="62" t="s">
        <v>476</v>
      </c>
      <c r="B130" s="61" t="s">
        <v>477</v>
      </c>
      <c r="C130" s="61" t="s">
        <v>79</v>
      </c>
      <c r="D130" s="61">
        <v>1</v>
      </c>
      <c r="E130" s="61" t="s">
        <v>593</v>
      </c>
      <c r="F130" s="61" t="s">
        <v>6</v>
      </c>
    </row>
    <row r="131" spans="1:6" ht="14.25" customHeight="1">
      <c r="A131" s="60" t="s">
        <v>478</v>
      </c>
      <c r="B131" s="52" t="s">
        <v>479</v>
      </c>
      <c r="C131" s="52" t="s">
        <v>79</v>
      </c>
      <c r="D131" s="52">
        <v>1</v>
      </c>
      <c r="E131" s="52" t="s">
        <v>583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727</v>
      </c>
    </row>
    <row r="135" spans="1:6" ht="14.25" customHeight="1">
      <c r="A135" t="s">
        <v>79</v>
      </c>
      <c r="B135">
        <v>66</v>
      </c>
    </row>
    <row r="136" spans="1:6" ht="14.25" customHeight="1">
      <c r="A136" t="s">
        <v>84</v>
      </c>
      <c r="B136">
        <v>47</v>
      </c>
    </row>
    <row r="137" spans="1:6" ht="14.25" customHeight="1">
      <c r="A137" t="s">
        <v>118</v>
      </c>
      <c r="B137">
        <v>15</v>
      </c>
    </row>
    <row r="138" spans="1:6" ht="14.25" customHeight="1">
      <c r="A138" t="s">
        <v>74</v>
      </c>
      <c r="B138">
        <v>11</v>
      </c>
    </row>
    <row r="139" spans="1:6" ht="14.25" customHeight="1">
      <c r="A139" t="s">
        <v>120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738</v>
      </c>
    </row>
    <row r="2" spans="1:6" ht="14.25" customHeight="1">
      <c r="A2" t="s">
        <v>739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73</v>
      </c>
      <c r="C5" s="52" t="s">
        <v>74</v>
      </c>
      <c r="D5" s="52">
        <v>25</v>
      </c>
      <c r="E5" s="52" t="s">
        <v>581</v>
      </c>
      <c r="F5" s="52" t="s">
        <v>6</v>
      </c>
    </row>
    <row r="6" spans="1:6" ht="14.25" customHeight="1">
      <c r="A6" s="61" t="s">
        <v>24</v>
      </c>
      <c r="B6" s="61" t="s">
        <v>480</v>
      </c>
      <c r="C6" s="61" t="s">
        <v>79</v>
      </c>
      <c r="D6" s="61">
        <v>2</v>
      </c>
      <c r="E6" s="61" t="s">
        <v>581</v>
      </c>
      <c r="F6" s="61" t="s">
        <v>6</v>
      </c>
    </row>
    <row r="7" spans="1:6" ht="14.25" customHeight="1">
      <c r="A7" s="52" t="s">
        <v>24</v>
      </c>
      <c r="B7" s="52" t="s">
        <v>481</v>
      </c>
      <c r="C7" s="52" t="s">
        <v>79</v>
      </c>
      <c r="D7" s="52">
        <v>4</v>
      </c>
      <c r="E7" s="52" t="s">
        <v>620</v>
      </c>
      <c r="F7" s="52" t="s">
        <v>6</v>
      </c>
    </row>
    <row r="8" spans="1:6" ht="14.25" customHeight="1">
      <c r="A8" s="61" t="s">
        <v>24</v>
      </c>
      <c r="B8" s="61" t="s">
        <v>482</v>
      </c>
      <c r="C8" s="61" t="s">
        <v>84</v>
      </c>
      <c r="D8" s="61">
        <v>3</v>
      </c>
      <c r="E8" s="61" t="s">
        <v>621</v>
      </c>
      <c r="F8" s="61" t="s">
        <v>6</v>
      </c>
    </row>
    <row r="9" spans="1:6" ht="14.25" customHeight="1">
      <c r="A9" s="52" t="s">
        <v>24</v>
      </c>
      <c r="B9" s="52" t="s">
        <v>483</v>
      </c>
      <c r="C9" s="52" t="s">
        <v>84</v>
      </c>
      <c r="D9" s="52">
        <v>1</v>
      </c>
      <c r="E9" s="52" t="s">
        <v>622</v>
      </c>
      <c r="F9" s="52" t="s">
        <v>6</v>
      </c>
    </row>
    <row r="10" spans="1:6" ht="14.25" customHeight="1">
      <c r="A10" s="61" t="s">
        <v>24</v>
      </c>
      <c r="B10" s="61" t="s">
        <v>484</v>
      </c>
      <c r="C10" s="61" t="s">
        <v>126</v>
      </c>
      <c r="D10" s="61">
        <v>2</v>
      </c>
      <c r="E10" s="61" t="s">
        <v>623</v>
      </c>
      <c r="F10" s="61" t="s">
        <v>6</v>
      </c>
    </row>
    <row r="11" spans="1:6" ht="14.25" customHeight="1">
      <c r="A11" s="52" t="s">
        <v>24</v>
      </c>
      <c r="B11" s="52" t="s">
        <v>485</v>
      </c>
      <c r="C11" s="52" t="s">
        <v>83</v>
      </c>
      <c r="D11" s="52">
        <v>1</v>
      </c>
      <c r="E11" s="52" t="s">
        <v>624</v>
      </c>
      <c r="F11" s="52" t="s">
        <v>6</v>
      </c>
    </row>
    <row r="12" spans="1:6" ht="14.25" customHeight="1">
      <c r="A12" s="61" t="s">
        <v>24</v>
      </c>
      <c r="B12" s="61" t="s">
        <v>485</v>
      </c>
      <c r="C12" s="61" t="s">
        <v>129</v>
      </c>
      <c r="D12" s="61">
        <v>2</v>
      </c>
      <c r="E12" s="61" t="s">
        <v>625</v>
      </c>
      <c r="F12" s="61" t="s">
        <v>6</v>
      </c>
    </row>
    <row r="13" spans="1:6" ht="14.25" customHeight="1">
      <c r="A13" s="52" t="s">
        <v>24</v>
      </c>
      <c r="B13" s="52" t="s">
        <v>486</v>
      </c>
      <c r="C13" s="52" t="s">
        <v>83</v>
      </c>
      <c r="D13" s="52">
        <v>2</v>
      </c>
      <c r="E13" s="52" t="s">
        <v>626</v>
      </c>
      <c r="F13" s="52" t="s">
        <v>6</v>
      </c>
    </row>
    <row r="14" spans="1:6" ht="14.25" customHeight="1">
      <c r="A14" s="61" t="s">
        <v>24</v>
      </c>
      <c r="B14" s="62" t="s">
        <v>487</v>
      </c>
      <c r="C14" s="61" t="s">
        <v>84</v>
      </c>
      <c r="D14" s="61">
        <v>1</v>
      </c>
      <c r="E14" s="61" t="s">
        <v>627</v>
      </c>
      <c r="F14" s="61" t="s">
        <v>6</v>
      </c>
    </row>
    <row r="15" spans="1:6" ht="14.25" customHeight="1">
      <c r="A15" s="52" t="s">
        <v>24</v>
      </c>
      <c r="B15" s="60" t="s">
        <v>488</v>
      </c>
      <c r="C15" s="52" t="s">
        <v>120</v>
      </c>
      <c r="D15" s="52">
        <v>1</v>
      </c>
      <c r="E15" s="52" t="s">
        <v>628</v>
      </c>
      <c r="F15" s="52" t="s">
        <v>6</v>
      </c>
    </row>
    <row r="16" spans="1:6" ht="14.25" customHeight="1">
      <c r="A16" s="61" t="s">
        <v>24</v>
      </c>
      <c r="B16" s="62" t="s">
        <v>489</v>
      </c>
      <c r="C16" s="61" t="s">
        <v>84</v>
      </c>
      <c r="D16" s="61">
        <v>1</v>
      </c>
      <c r="E16" s="61" t="s">
        <v>629</v>
      </c>
      <c r="F16" s="61" t="s">
        <v>6</v>
      </c>
    </row>
    <row r="17" spans="1:6" ht="14.25" customHeight="1">
      <c r="A17" s="52" t="s">
        <v>24</v>
      </c>
      <c r="B17" s="60" t="s">
        <v>490</v>
      </c>
      <c r="C17" s="52" t="s">
        <v>84</v>
      </c>
      <c r="D17" s="52">
        <v>1</v>
      </c>
      <c r="E17" s="52" t="s">
        <v>630</v>
      </c>
      <c r="F17" s="52" t="s">
        <v>6</v>
      </c>
    </row>
    <row r="18" spans="1:6" ht="14.25" customHeight="1">
      <c r="A18" s="61" t="s">
        <v>24</v>
      </c>
      <c r="B18" s="62" t="s">
        <v>491</v>
      </c>
      <c r="C18" s="61" t="s">
        <v>84</v>
      </c>
      <c r="D18" s="61">
        <v>2</v>
      </c>
      <c r="E18" s="61" t="s">
        <v>631</v>
      </c>
      <c r="F18" s="61" t="s">
        <v>6</v>
      </c>
    </row>
    <row r="19" spans="1:6" ht="14.25" customHeight="1">
      <c r="A19" s="52" t="s">
        <v>24</v>
      </c>
      <c r="B19" s="60" t="s">
        <v>492</v>
      </c>
      <c r="C19" s="52" t="s">
        <v>84</v>
      </c>
      <c r="D19" s="52">
        <v>1</v>
      </c>
      <c r="E19" s="52" t="s">
        <v>632</v>
      </c>
      <c r="F19" s="52" t="s">
        <v>6</v>
      </c>
    </row>
    <row r="20" spans="1:6" ht="14.25" customHeight="1">
      <c r="A20" s="62" t="s">
        <v>493</v>
      </c>
      <c r="B20" s="61" t="s">
        <v>73</v>
      </c>
      <c r="C20" s="61" t="s">
        <v>74</v>
      </c>
      <c r="D20" s="61">
        <v>5</v>
      </c>
      <c r="E20" s="61" t="s">
        <v>633</v>
      </c>
      <c r="F20" s="61" t="s">
        <v>6</v>
      </c>
    </row>
    <row r="21" spans="1:6" ht="14.25" customHeight="1">
      <c r="A21" s="60" t="s">
        <v>493</v>
      </c>
      <c r="B21" s="52" t="s">
        <v>494</v>
      </c>
      <c r="C21" s="52" t="s">
        <v>79</v>
      </c>
      <c r="D21" s="52">
        <v>3</v>
      </c>
      <c r="E21" s="52" t="s">
        <v>633</v>
      </c>
      <c r="F21" s="52" t="s">
        <v>6</v>
      </c>
    </row>
    <row r="22" spans="1:6" ht="14.25" customHeight="1">
      <c r="A22" s="62" t="s">
        <v>493</v>
      </c>
      <c r="B22" s="61" t="s">
        <v>495</v>
      </c>
      <c r="C22" s="61" t="s">
        <v>84</v>
      </c>
      <c r="D22" s="61">
        <v>2</v>
      </c>
      <c r="E22" s="61" t="s">
        <v>634</v>
      </c>
      <c r="F22" s="61" t="s">
        <v>6</v>
      </c>
    </row>
    <row r="23" spans="1:6" ht="14.25" customHeight="1">
      <c r="A23" s="60" t="s">
        <v>493</v>
      </c>
      <c r="B23" s="52" t="s">
        <v>496</v>
      </c>
      <c r="C23" s="52" t="s">
        <v>118</v>
      </c>
      <c r="D23" s="52">
        <v>2</v>
      </c>
      <c r="E23" s="52" t="s">
        <v>635</v>
      </c>
      <c r="F23" s="52" t="s">
        <v>6</v>
      </c>
    </row>
    <row r="24" spans="1:6" ht="14.25" customHeight="1">
      <c r="A24" s="62" t="s">
        <v>493</v>
      </c>
      <c r="B24" s="61" t="s">
        <v>480</v>
      </c>
      <c r="C24" s="61" t="s">
        <v>79</v>
      </c>
      <c r="D24" s="61">
        <v>4</v>
      </c>
      <c r="E24" s="61" t="s">
        <v>635</v>
      </c>
      <c r="F24" s="61" t="s">
        <v>6</v>
      </c>
    </row>
    <row r="25" spans="1:6" ht="14.25" customHeight="1">
      <c r="A25" s="60" t="s">
        <v>493</v>
      </c>
      <c r="B25" s="52" t="s">
        <v>497</v>
      </c>
      <c r="C25" s="52" t="s">
        <v>84</v>
      </c>
      <c r="D25" s="52">
        <v>1</v>
      </c>
      <c r="E25" s="52" t="s">
        <v>584</v>
      </c>
      <c r="F25" s="52" t="s">
        <v>6</v>
      </c>
    </row>
    <row r="26" spans="1:6" ht="14.25" customHeight="1">
      <c r="A26" s="62" t="s">
        <v>493</v>
      </c>
      <c r="B26" s="62" t="s">
        <v>498</v>
      </c>
      <c r="C26" s="61" t="s">
        <v>84</v>
      </c>
      <c r="D26" s="61">
        <v>2</v>
      </c>
      <c r="E26" s="61" t="s">
        <v>636</v>
      </c>
      <c r="F26" s="61" t="s">
        <v>6</v>
      </c>
    </row>
    <row r="27" spans="1:6" ht="14.25" customHeight="1">
      <c r="A27" s="60" t="s">
        <v>493</v>
      </c>
      <c r="B27" s="60" t="s">
        <v>499</v>
      </c>
      <c r="C27" s="52" t="s">
        <v>84</v>
      </c>
      <c r="D27" s="52">
        <v>2</v>
      </c>
      <c r="E27" s="52" t="s">
        <v>636</v>
      </c>
      <c r="F27" s="52" t="s">
        <v>6</v>
      </c>
    </row>
    <row r="28" spans="1:6" ht="14.25" customHeight="1">
      <c r="A28" s="62" t="s">
        <v>493</v>
      </c>
      <c r="B28" s="62" t="s">
        <v>500</v>
      </c>
      <c r="C28" s="61" t="s">
        <v>79</v>
      </c>
      <c r="D28" s="61">
        <v>2</v>
      </c>
      <c r="E28" s="61" t="s">
        <v>590</v>
      </c>
      <c r="F28" s="61" t="s">
        <v>6</v>
      </c>
    </row>
    <row r="29" spans="1:6" ht="14.25" customHeight="1">
      <c r="A29" s="52" t="s">
        <v>501</v>
      </c>
      <c r="B29" s="52" t="s">
        <v>73</v>
      </c>
      <c r="C29" s="52" t="s">
        <v>74</v>
      </c>
      <c r="D29" s="52">
        <v>1</v>
      </c>
      <c r="E29" s="52" t="s">
        <v>591</v>
      </c>
      <c r="F29" s="52" t="s">
        <v>6</v>
      </c>
    </row>
    <row r="30" spans="1:6" ht="14.25" customHeight="1">
      <c r="A30" s="61" t="s">
        <v>501</v>
      </c>
      <c r="B30" s="61" t="s">
        <v>496</v>
      </c>
      <c r="C30" s="61" t="s">
        <v>79</v>
      </c>
      <c r="D30" s="61">
        <v>2</v>
      </c>
      <c r="E30" s="61" t="s">
        <v>591</v>
      </c>
      <c r="F30" s="61" t="s">
        <v>6</v>
      </c>
    </row>
    <row r="31" spans="1:6" ht="14.25" customHeight="1">
      <c r="A31" s="52" t="s">
        <v>502</v>
      </c>
      <c r="B31" s="52" t="s">
        <v>73</v>
      </c>
      <c r="C31" s="52" t="s">
        <v>74</v>
      </c>
      <c r="D31" s="52">
        <v>1</v>
      </c>
      <c r="E31" s="52" t="s">
        <v>637</v>
      </c>
      <c r="F31" s="52" t="s">
        <v>6</v>
      </c>
    </row>
    <row r="32" spans="1:6" ht="14.25" customHeight="1">
      <c r="A32" s="61" t="s">
        <v>502</v>
      </c>
      <c r="B32" s="61" t="s">
        <v>496</v>
      </c>
      <c r="C32" s="61" t="s">
        <v>79</v>
      </c>
      <c r="D32" s="61">
        <v>2</v>
      </c>
      <c r="E32" s="61" t="s">
        <v>637</v>
      </c>
      <c r="F32" s="61" t="s">
        <v>6</v>
      </c>
    </row>
    <row r="33" spans="1:6" ht="14.25" customHeight="1">
      <c r="A33" s="52" t="s">
        <v>503</v>
      </c>
      <c r="B33" s="52" t="s">
        <v>496</v>
      </c>
      <c r="C33" s="52" t="s">
        <v>79</v>
      </c>
      <c r="D33" s="52">
        <v>2</v>
      </c>
      <c r="E33" s="52" t="s">
        <v>638</v>
      </c>
      <c r="F33" s="52" t="s">
        <v>6</v>
      </c>
    </row>
    <row r="34" spans="1:6" ht="14.25" customHeight="1">
      <c r="A34" s="61" t="s">
        <v>504</v>
      </c>
      <c r="B34" s="61" t="s">
        <v>505</v>
      </c>
      <c r="C34" s="61" t="s">
        <v>79</v>
      </c>
      <c r="D34" s="61">
        <v>2</v>
      </c>
      <c r="E34" s="61" t="s">
        <v>639</v>
      </c>
      <c r="F34" s="61" t="s">
        <v>6</v>
      </c>
    </row>
    <row r="35" spans="1:6" ht="14.25" customHeight="1">
      <c r="A35" s="52" t="s">
        <v>506</v>
      </c>
      <c r="B35" s="52" t="s">
        <v>507</v>
      </c>
      <c r="C35" s="52" t="s">
        <v>79</v>
      </c>
      <c r="D35" s="52">
        <v>2</v>
      </c>
      <c r="E35" s="52" t="s">
        <v>576</v>
      </c>
      <c r="F35" s="52" t="s">
        <v>6</v>
      </c>
    </row>
    <row r="36" spans="1:6" ht="14.25" customHeight="1">
      <c r="A36" s="61" t="s">
        <v>508</v>
      </c>
      <c r="B36" s="61" t="s">
        <v>308</v>
      </c>
      <c r="C36" s="61" t="s">
        <v>79</v>
      </c>
      <c r="D36" s="61">
        <v>2</v>
      </c>
      <c r="E36" s="61" t="s">
        <v>640</v>
      </c>
      <c r="F36" s="61" t="s">
        <v>6</v>
      </c>
    </row>
    <row r="37" spans="1:6" ht="14.25" customHeight="1">
      <c r="A37" s="52" t="s">
        <v>509</v>
      </c>
      <c r="B37" s="52" t="s">
        <v>510</v>
      </c>
      <c r="C37" s="52" t="s">
        <v>79</v>
      </c>
      <c r="D37" s="52">
        <v>2</v>
      </c>
      <c r="E37" s="52" t="s">
        <v>646</v>
      </c>
      <c r="F37" s="52" t="s">
        <v>6</v>
      </c>
    </row>
    <row r="38" spans="1:6" ht="14.25" customHeight="1">
      <c r="A38" s="61" t="s">
        <v>511</v>
      </c>
      <c r="B38" s="61" t="s">
        <v>467</v>
      </c>
      <c r="C38" s="61" t="s">
        <v>79</v>
      </c>
      <c r="D38" s="61">
        <v>2</v>
      </c>
      <c r="E38" s="61" t="s">
        <v>647</v>
      </c>
      <c r="F38" s="61" t="s">
        <v>6</v>
      </c>
    </row>
    <row r="39" spans="1:6" ht="14.25" customHeight="1">
      <c r="A39" s="52" t="s">
        <v>512</v>
      </c>
      <c r="B39" s="52" t="s">
        <v>513</v>
      </c>
      <c r="C39" s="52" t="s">
        <v>79</v>
      </c>
      <c r="D39" s="52">
        <v>2</v>
      </c>
      <c r="E39" s="52" t="s">
        <v>650</v>
      </c>
      <c r="F39" s="52" t="s">
        <v>6</v>
      </c>
    </row>
    <row r="40" spans="1:6" ht="14.25" customHeight="1">
      <c r="A40" s="61" t="s">
        <v>514</v>
      </c>
      <c r="B40" s="61" t="s">
        <v>515</v>
      </c>
      <c r="C40" s="61" t="s">
        <v>79</v>
      </c>
      <c r="D40" s="61">
        <v>2</v>
      </c>
      <c r="E40" s="61" t="s">
        <v>651</v>
      </c>
      <c r="F40" s="61" t="s">
        <v>6</v>
      </c>
    </row>
    <row r="41" spans="1:6" ht="14.25" customHeight="1">
      <c r="A41" s="52" t="s">
        <v>516</v>
      </c>
      <c r="B41" s="52" t="s">
        <v>517</v>
      </c>
      <c r="C41" s="52" t="s">
        <v>79</v>
      </c>
      <c r="D41" s="52">
        <v>2</v>
      </c>
      <c r="E41" s="52" t="s">
        <v>652</v>
      </c>
      <c r="F41" s="52" t="s">
        <v>6</v>
      </c>
    </row>
    <row r="42" spans="1:6" ht="14.25" customHeight="1">
      <c r="A42" s="61" t="s">
        <v>518</v>
      </c>
      <c r="B42" s="61" t="s">
        <v>519</v>
      </c>
      <c r="C42" s="61" t="s">
        <v>79</v>
      </c>
      <c r="D42" s="61">
        <v>2</v>
      </c>
      <c r="E42" s="61" t="s">
        <v>582</v>
      </c>
      <c r="F42" s="61" t="s">
        <v>6</v>
      </c>
    </row>
    <row r="43" spans="1:6" ht="14.25" customHeight="1">
      <c r="A43" s="52" t="s">
        <v>520</v>
      </c>
      <c r="B43" s="52" t="s">
        <v>521</v>
      </c>
      <c r="C43" s="52" t="s">
        <v>79</v>
      </c>
      <c r="D43" s="52">
        <v>1</v>
      </c>
      <c r="E43" s="52" t="s">
        <v>582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727</v>
      </c>
    </row>
    <row r="47" spans="1:6" ht="14.25" customHeight="1">
      <c r="A47" t="s">
        <v>79</v>
      </c>
      <c r="B47">
        <v>40</v>
      </c>
    </row>
    <row r="48" spans="1:6" ht="14.25" customHeight="1">
      <c r="A48" t="s">
        <v>74</v>
      </c>
      <c r="B48">
        <v>32</v>
      </c>
    </row>
    <row r="49" spans="1:2" ht="14.25" customHeight="1">
      <c r="A49" t="s">
        <v>84</v>
      </c>
      <c r="B49">
        <v>17</v>
      </c>
    </row>
    <row r="50" spans="1:2" ht="14.25" customHeight="1">
      <c r="A50" t="s">
        <v>83</v>
      </c>
      <c r="B50">
        <v>3</v>
      </c>
    </row>
    <row r="51" spans="1:2" ht="14.25" customHeight="1">
      <c r="A51" t="s">
        <v>118</v>
      </c>
      <c r="B51">
        <v>2</v>
      </c>
    </row>
    <row r="52" spans="1:2" ht="14.25" customHeight="1">
      <c r="A52" t="s">
        <v>126</v>
      </c>
      <c r="B52">
        <v>2</v>
      </c>
    </row>
    <row r="53" spans="1:2" ht="14.25" customHeight="1">
      <c r="A53" t="s">
        <v>129</v>
      </c>
      <c r="B53">
        <v>2</v>
      </c>
    </row>
    <row r="54" spans="1:2" ht="14.25" customHeight="1">
      <c r="A54" t="s">
        <v>120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740</v>
      </c>
    </row>
    <row r="2" spans="1:6" ht="14.25" customHeight="1">
      <c r="A2" t="s">
        <v>741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522</v>
      </c>
      <c r="B5" s="52" t="s">
        <v>73</v>
      </c>
      <c r="C5" s="52" t="s">
        <v>74</v>
      </c>
      <c r="D5" s="52">
        <v>18</v>
      </c>
      <c r="E5" s="52" t="s">
        <v>581</v>
      </c>
      <c r="F5" s="52" t="s">
        <v>6</v>
      </c>
    </row>
    <row r="6" spans="1:6" ht="14.25" customHeight="1">
      <c r="A6" s="61" t="s">
        <v>522</v>
      </c>
      <c r="B6" s="61" t="s">
        <v>523</v>
      </c>
      <c r="C6" s="61" t="s">
        <v>126</v>
      </c>
      <c r="D6" s="61">
        <v>2</v>
      </c>
      <c r="E6" s="61" t="s">
        <v>620</v>
      </c>
      <c r="F6" s="61" t="s">
        <v>6</v>
      </c>
    </row>
    <row r="7" spans="1:6" ht="14.25" customHeight="1">
      <c r="A7" s="52" t="s">
        <v>522</v>
      </c>
      <c r="B7" s="52" t="s">
        <v>523</v>
      </c>
      <c r="C7" s="52" t="s">
        <v>129</v>
      </c>
      <c r="D7" s="52">
        <v>2</v>
      </c>
      <c r="E7" s="52" t="s">
        <v>621</v>
      </c>
      <c r="F7" s="52" t="s">
        <v>6</v>
      </c>
    </row>
    <row r="8" spans="1:6" ht="14.25" customHeight="1">
      <c r="A8" s="61" t="s">
        <v>522</v>
      </c>
      <c r="B8" s="61" t="s">
        <v>524</v>
      </c>
      <c r="C8" s="61" t="s">
        <v>79</v>
      </c>
      <c r="D8" s="61">
        <v>2</v>
      </c>
      <c r="E8" s="61" t="s">
        <v>622</v>
      </c>
      <c r="F8" s="61" t="s">
        <v>6</v>
      </c>
    </row>
    <row r="9" spans="1:6" ht="14.25" customHeight="1">
      <c r="A9" s="52" t="s">
        <v>522</v>
      </c>
      <c r="B9" s="52" t="s">
        <v>525</v>
      </c>
      <c r="C9" s="52" t="s">
        <v>79</v>
      </c>
      <c r="D9" s="52">
        <v>1</v>
      </c>
      <c r="E9" s="52" t="s">
        <v>623</v>
      </c>
      <c r="F9" s="52" t="s">
        <v>6</v>
      </c>
    </row>
    <row r="10" spans="1:6" ht="14.25" customHeight="1">
      <c r="A10" s="61" t="s">
        <v>522</v>
      </c>
      <c r="B10" s="61" t="s">
        <v>525</v>
      </c>
      <c r="C10" s="61" t="s">
        <v>76</v>
      </c>
      <c r="D10" s="61">
        <v>1</v>
      </c>
      <c r="E10" s="61" t="s">
        <v>624</v>
      </c>
      <c r="F10" s="61" t="s">
        <v>6</v>
      </c>
    </row>
    <row r="11" spans="1:6" ht="14.25" customHeight="1">
      <c r="A11" s="52" t="s">
        <v>522</v>
      </c>
      <c r="B11" s="52" t="s">
        <v>526</v>
      </c>
      <c r="C11" s="52" t="s">
        <v>76</v>
      </c>
      <c r="D11" s="52">
        <v>2</v>
      </c>
      <c r="E11" s="52" t="s">
        <v>625</v>
      </c>
      <c r="F11" s="52" t="s">
        <v>6</v>
      </c>
    </row>
    <row r="12" spans="1:6" ht="14.25" customHeight="1">
      <c r="A12" s="61" t="s">
        <v>522</v>
      </c>
      <c r="B12" s="61" t="s">
        <v>527</v>
      </c>
      <c r="C12" s="61" t="s">
        <v>120</v>
      </c>
      <c r="D12" s="61">
        <v>2</v>
      </c>
      <c r="E12" s="61" t="s">
        <v>627</v>
      </c>
      <c r="F12" s="61" t="s">
        <v>6</v>
      </c>
    </row>
    <row r="13" spans="1:6" ht="14.25" customHeight="1">
      <c r="A13" s="52" t="s">
        <v>522</v>
      </c>
      <c r="B13" s="52" t="s">
        <v>528</v>
      </c>
      <c r="C13" s="52" t="s">
        <v>83</v>
      </c>
      <c r="D13" s="52">
        <v>2</v>
      </c>
      <c r="E13" s="52" t="s">
        <v>628</v>
      </c>
      <c r="F13" s="52" t="s">
        <v>6</v>
      </c>
    </row>
    <row r="14" spans="1:6" ht="14.25" customHeight="1">
      <c r="A14" s="61" t="s">
        <v>522</v>
      </c>
      <c r="B14" s="61" t="s">
        <v>528</v>
      </c>
      <c r="C14" s="61" t="s">
        <v>76</v>
      </c>
      <c r="D14" s="61">
        <v>2</v>
      </c>
      <c r="E14" s="61" t="s">
        <v>629</v>
      </c>
      <c r="F14" s="61" t="s">
        <v>6</v>
      </c>
    </row>
    <row r="15" spans="1:6" ht="14.25" customHeight="1">
      <c r="A15" s="52" t="s">
        <v>522</v>
      </c>
      <c r="B15" s="52" t="s">
        <v>529</v>
      </c>
      <c r="C15" s="52" t="s">
        <v>79</v>
      </c>
      <c r="D15" s="52">
        <v>3</v>
      </c>
      <c r="E15" s="52" t="s">
        <v>630</v>
      </c>
      <c r="F15" s="52" t="s">
        <v>6</v>
      </c>
    </row>
    <row r="16" spans="1:6" ht="14.25" customHeight="1">
      <c r="A16" s="61" t="s">
        <v>522</v>
      </c>
      <c r="B16" s="61" t="s">
        <v>530</v>
      </c>
      <c r="C16" s="61" t="s">
        <v>79</v>
      </c>
      <c r="D16" s="61">
        <v>11</v>
      </c>
      <c r="E16" s="61" t="s">
        <v>631</v>
      </c>
      <c r="F16" s="61" t="s">
        <v>6</v>
      </c>
    </row>
    <row r="17" spans="1:6" ht="14.25" customHeight="1">
      <c r="A17" s="52" t="s">
        <v>522</v>
      </c>
      <c r="B17" s="52" t="s">
        <v>530</v>
      </c>
      <c r="C17" s="52" t="s">
        <v>84</v>
      </c>
      <c r="D17" s="52">
        <v>1</v>
      </c>
      <c r="E17" s="52" t="s">
        <v>632</v>
      </c>
      <c r="F17" s="52" t="s">
        <v>6</v>
      </c>
    </row>
    <row r="18" spans="1:6" ht="14.25" customHeight="1">
      <c r="A18" s="61" t="s">
        <v>522</v>
      </c>
      <c r="B18" s="62" t="s">
        <v>531</v>
      </c>
      <c r="C18" s="61" t="s">
        <v>84</v>
      </c>
      <c r="D18" s="61">
        <v>1</v>
      </c>
      <c r="E18" s="61" t="s">
        <v>633</v>
      </c>
      <c r="F18" s="61" t="s">
        <v>6</v>
      </c>
    </row>
    <row r="19" spans="1:6" ht="14.25" customHeight="1">
      <c r="A19" s="52" t="s">
        <v>532</v>
      </c>
      <c r="B19" s="52" t="s">
        <v>73</v>
      </c>
      <c r="C19" s="52" t="s">
        <v>74</v>
      </c>
      <c r="D19" s="52">
        <v>8</v>
      </c>
      <c r="E19" s="52" t="s">
        <v>635</v>
      </c>
      <c r="F19" s="52" t="s">
        <v>6</v>
      </c>
    </row>
    <row r="20" spans="1:6" ht="14.25" customHeight="1">
      <c r="A20" s="61" t="s">
        <v>532</v>
      </c>
      <c r="B20" s="61" t="s">
        <v>533</v>
      </c>
      <c r="C20" s="61" t="s">
        <v>79</v>
      </c>
      <c r="D20" s="61">
        <v>2</v>
      </c>
      <c r="E20" s="61" t="s">
        <v>635</v>
      </c>
      <c r="F20" s="61" t="s">
        <v>6</v>
      </c>
    </row>
    <row r="21" spans="1:6" ht="14.25" customHeight="1">
      <c r="A21" s="52" t="s">
        <v>532</v>
      </c>
      <c r="B21" s="60" t="s">
        <v>691</v>
      </c>
      <c r="C21" s="52" t="s">
        <v>84</v>
      </c>
      <c r="D21" s="52">
        <v>1</v>
      </c>
      <c r="E21" s="52" t="s">
        <v>584</v>
      </c>
      <c r="F21" s="52" t="s">
        <v>6</v>
      </c>
    </row>
    <row r="22" spans="1:6" ht="14.25" customHeight="1">
      <c r="A22" s="61" t="s">
        <v>532</v>
      </c>
      <c r="B22" s="62" t="s">
        <v>535</v>
      </c>
      <c r="C22" s="61" t="s">
        <v>84</v>
      </c>
      <c r="D22" s="61">
        <v>2</v>
      </c>
      <c r="E22" s="61" t="s">
        <v>636</v>
      </c>
      <c r="F22" s="61" t="s">
        <v>6</v>
      </c>
    </row>
    <row r="23" spans="1:6" ht="14.25" customHeight="1">
      <c r="A23" s="52" t="s">
        <v>532</v>
      </c>
      <c r="B23" s="60" t="s">
        <v>536</v>
      </c>
      <c r="C23" s="52" t="s">
        <v>79</v>
      </c>
      <c r="D23" s="52">
        <v>3</v>
      </c>
      <c r="E23" s="52" t="s">
        <v>590</v>
      </c>
      <c r="F23" s="52" t="s">
        <v>6</v>
      </c>
    </row>
    <row r="24" spans="1:6" ht="14.25" customHeight="1">
      <c r="A24" s="61" t="s">
        <v>537</v>
      </c>
      <c r="B24" s="61" t="s">
        <v>73</v>
      </c>
      <c r="C24" s="61" t="s">
        <v>74</v>
      </c>
      <c r="D24" s="61">
        <v>6</v>
      </c>
      <c r="E24" s="61" t="s">
        <v>591</v>
      </c>
      <c r="F24" s="61" t="s">
        <v>6</v>
      </c>
    </row>
    <row r="25" spans="1:6" ht="14.25" customHeight="1">
      <c r="A25" s="52" t="s">
        <v>537</v>
      </c>
      <c r="B25" s="60" t="s">
        <v>538</v>
      </c>
      <c r="C25" s="52" t="s">
        <v>79</v>
      </c>
      <c r="D25" s="52">
        <v>1</v>
      </c>
      <c r="E25" s="52" t="s">
        <v>591</v>
      </c>
      <c r="F25" s="52" t="s">
        <v>6</v>
      </c>
    </row>
    <row r="26" spans="1:6" ht="14.25" customHeight="1">
      <c r="A26" s="61" t="s">
        <v>537</v>
      </c>
      <c r="B26" s="62" t="s">
        <v>539</v>
      </c>
      <c r="C26" s="61" t="s">
        <v>84</v>
      </c>
      <c r="D26" s="61">
        <v>1</v>
      </c>
      <c r="E26" s="61" t="s">
        <v>637</v>
      </c>
      <c r="F26" s="61" t="s">
        <v>6</v>
      </c>
    </row>
    <row r="27" spans="1:6" ht="14.25" customHeight="1">
      <c r="A27" s="52" t="s">
        <v>537</v>
      </c>
      <c r="B27" s="60" t="s">
        <v>540</v>
      </c>
      <c r="C27" s="52" t="s">
        <v>84</v>
      </c>
      <c r="D27" s="52">
        <v>1</v>
      </c>
      <c r="E27" s="52" t="s">
        <v>638</v>
      </c>
      <c r="F27" s="52" t="s">
        <v>6</v>
      </c>
    </row>
    <row r="28" spans="1:6" ht="14.25" customHeight="1">
      <c r="A28" s="61" t="s">
        <v>537</v>
      </c>
      <c r="B28" s="62" t="s">
        <v>541</v>
      </c>
      <c r="C28" s="61" t="s">
        <v>79</v>
      </c>
      <c r="D28" s="61">
        <v>4</v>
      </c>
      <c r="E28" s="61" t="s">
        <v>638</v>
      </c>
      <c r="F28" s="61" t="s">
        <v>6</v>
      </c>
    </row>
    <row r="29" spans="1:6" ht="14.25" customHeight="1">
      <c r="A29" s="52" t="s">
        <v>537</v>
      </c>
      <c r="B29" s="60" t="s">
        <v>541</v>
      </c>
      <c r="C29" s="52" t="s">
        <v>84</v>
      </c>
      <c r="D29" s="52">
        <v>2</v>
      </c>
      <c r="E29" s="52" t="s">
        <v>639</v>
      </c>
      <c r="F29" s="52" t="s">
        <v>6</v>
      </c>
    </row>
    <row r="30" spans="1:6" ht="14.25" customHeight="1">
      <c r="A30" s="61" t="s">
        <v>542</v>
      </c>
      <c r="B30" s="61" t="s">
        <v>73</v>
      </c>
      <c r="C30" s="61" t="s">
        <v>74</v>
      </c>
      <c r="D30" s="61">
        <v>5</v>
      </c>
      <c r="E30" s="61" t="s">
        <v>576</v>
      </c>
      <c r="F30" s="61" t="s">
        <v>6</v>
      </c>
    </row>
    <row r="31" spans="1:6" ht="14.25" customHeight="1">
      <c r="A31" s="52" t="s">
        <v>542</v>
      </c>
      <c r="B31" s="60" t="s">
        <v>692</v>
      </c>
      <c r="C31" s="52" t="s">
        <v>79</v>
      </c>
      <c r="D31" s="52">
        <v>2</v>
      </c>
      <c r="E31" s="52" t="s">
        <v>576</v>
      </c>
      <c r="F31" s="52" t="s">
        <v>6</v>
      </c>
    </row>
    <row r="32" spans="1:6" ht="14.25" customHeight="1">
      <c r="A32" s="61" t="s">
        <v>544</v>
      </c>
      <c r="B32" s="61" t="s">
        <v>73</v>
      </c>
      <c r="C32" s="61" t="s">
        <v>74</v>
      </c>
      <c r="D32" s="61">
        <v>2</v>
      </c>
      <c r="E32" s="61" t="s">
        <v>640</v>
      </c>
      <c r="F32" s="61" t="s">
        <v>6</v>
      </c>
    </row>
    <row r="33" spans="1:6" ht="14.25" customHeight="1">
      <c r="A33" s="52" t="s">
        <v>544</v>
      </c>
      <c r="B33" s="52" t="s">
        <v>545</v>
      </c>
      <c r="C33" s="52" t="s">
        <v>84</v>
      </c>
      <c r="D33" s="52">
        <v>2</v>
      </c>
      <c r="E33" s="52" t="s">
        <v>640</v>
      </c>
      <c r="F33" s="52" t="s">
        <v>6</v>
      </c>
    </row>
    <row r="34" spans="1:6" ht="14.25" customHeight="1">
      <c r="A34" s="61" t="s">
        <v>544</v>
      </c>
      <c r="B34" s="62" t="s">
        <v>546</v>
      </c>
      <c r="C34" s="61" t="s">
        <v>79</v>
      </c>
      <c r="D34" s="61">
        <v>2</v>
      </c>
      <c r="E34" s="61" t="s">
        <v>640</v>
      </c>
      <c r="F34" s="61" t="s">
        <v>6</v>
      </c>
    </row>
    <row r="35" spans="1:6" ht="14.25" customHeight="1">
      <c r="A35" s="52" t="s">
        <v>547</v>
      </c>
      <c r="B35" s="52" t="s">
        <v>73</v>
      </c>
      <c r="C35" s="52" t="s">
        <v>74</v>
      </c>
      <c r="D35" s="52">
        <v>3</v>
      </c>
      <c r="E35" s="52" t="s">
        <v>646</v>
      </c>
      <c r="F35" s="52" t="s">
        <v>6</v>
      </c>
    </row>
    <row r="36" spans="1:6" ht="14.25" customHeight="1">
      <c r="A36" s="61" t="s">
        <v>547</v>
      </c>
      <c r="B36" s="61" t="s">
        <v>548</v>
      </c>
      <c r="C36" s="61" t="s">
        <v>79</v>
      </c>
      <c r="D36" s="61">
        <v>1</v>
      </c>
      <c r="E36" s="61" t="s">
        <v>646</v>
      </c>
      <c r="F36" s="61" t="s">
        <v>6</v>
      </c>
    </row>
    <row r="37" spans="1:6" ht="14.25" customHeight="1">
      <c r="A37" s="52" t="s">
        <v>547</v>
      </c>
      <c r="B37" s="60" t="s">
        <v>549</v>
      </c>
      <c r="C37" s="52" t="s">
        <v>84</v>
      </c>
      <c r="D37" s="52">
        <v>1</v>
      </c>
      <c r="E37" s="52" t="s">
        <v>646</v>
      </c>
      <c r="F37" s="52" t="s">
        <v>6</v>
      </c>
    </row>
    <row r="38" spans="1:6" ht="14.25" customHeight="1">
      <c r="A38" s="61" t="s">
        <v>550</v>
      </c>
      <c r="B38" s="61" t="s">
        <v>73</v>
      </c>
      <c r="C38" s="61" t="s">
        <v>74</v>
      </c>
      <c r="D38" s="61">
        <v>1</v>
      </c>
      <c r="E38" s="61" t="s">
        <v>647</v>
      </c>
      <c r="F38" s="61" t="s">
        <v>6</v>
      </c>
    </row>
    <row r="39" spans="1:6" ht="14.25" customHeight="1">
      <c r="A39" s="52" t="s">
        <v>550</v>
      </c>
      <c r="B39" s="52" t="s">
        <v>551</v>
      </c>
      <c r="C39" s="52" t="s">
        <v>79</v>
      </c>
      <c r="D39" s="52">
        <v>1</v>
      </c>
      <c r="E39" s="52" t="s">
        <v>647</v>
      </c>
      <c r="F39" s="52" t="s">
        <v>6</v>
      </c>
    </row>
    <row r="40" spans="1:6" ht="14.25" customHeight="1">
      <c r="A40" s="61" t="s">
        <v>550</v>
      </c>
      <c r="B40" s="61" t="s">
        <v>551</v>
      </c>
      <c r="C40" s="61" t="s">
        <v>84</v>
      </c>
      <c r="D40" s="61">
        <v>1</v>
      </c>
      <c r="E40" s="61" t="s">
        <v>647</v>
      </c>
      <c r="F40" s="61" t="s">
        <v>6</v>
      </c>
    </row>
    <row r="41" spans="1:6" ht="14.25" customHeight="1">
      <c r="A41" s="52" t="s">
        <v>550</v>
      </c>
      <c r="B41" s="52" t="s">
        <v>552</v>
      </c>
      <c r="C41" s="52" t="s">
        <v>79</v>
      </c>
      <c r="D41" s="52">
        <v>1</v>
      </c>
      <c r="E41" s="52" t="s">
        <v>647</v>
      </c>
      <c r="F41" s="52" t="s">
        <v>6</v>
      </c>
    </row>
    <row r="42" spans="1:6" ht="14.25" customHeight="1">
      <c r="A42" s="62" t="s">
        <v>553</v>
      </c>
      <c r="B42" s="61" t="s">
        <v>554</v>
      </c>
      <c r="C42" s="61" t="s">
        <v>79</v>
      </c>
      <c r="D42" s="61">
        <v>1</v>
      </c>
      <c r="E42" s="61" t="s">
        <v>650</v>
      </c>
      <c r="F42" s="61" t="s">
        <v>6</v>
      </c>
    </row>
    <row r="43" spans="1:6" ht="14.25" customHeight="1">
      <c r="A43" s="60" t="s">
        <v>553</v>
      </c>
      <c r="B43" s="52" t="s">
        <v>554</v>
      </c>
      <c r="C43" s="52" t="s">
        <v>118</v>
      </c>
      <c r="D43" s="52">
        <v>1</v>
      </c>
      <c r="E43" s="52" t="s">
        <v>650</v>
      </c>
      <c r="F43" s="52" t="s">
        <v>6</v>
      </c>
    </row>
    <row r="44" spans="1:6" ht="14.25" customHeight="1">
      <c r="A44" s="62" t="s">
        <v>553</v>
      </c>
      <c r="B44" s="61" t="s">
        <v>555</v>
      </c>
      <c r="C44" s="61" t="s">
        <v>79</v>
      </c>
      <c r="D44" s="61">
        <v>1</v>
      </c>
      <c r="E44" s="61" t="s">
        <v>650</v>
      </c>
      <c r="F44" s="61" t="s">
        <v>6</v>
      </c>
    </row>
    <row r="45" spans="1:6" ht="14.25" customHeight="1">
      <c r="A45" s="60" t="s">
        <v>553</v>
      </c>
      <c r="B45" s="60" t="s">
        <v>556</v>
      </c>
      <c r="C45" s="52" t="s">
        <v>84</v>
      </c>
      <c r="D45" s="52">
        <v>1</v>
      </c>
      <c r="E45" s="52" t="s">
        <v>650</v>
      </c>
      <c r="F45" s="52" t="s">
        <v>6</v>
      </c>
    </row>
    <row r="46" spans="1:6" ht="14.25" customHeight="1">
      <c r="A46" s="61" t="s">
        <v>557</v>
      </c>
      <c r="B46" s="61" t="s">
        <v>467</v>
      </c>
      <c r="C46" s="61" t="s">
        <v>79</v>
      </c>
      <c r="D46" s="61">
        <v>2</v>
      </c>
      <c r="E46" s="61" t="s">
        <v>651</v>
      </c>
      <c r="F46" s="61" t="s">
        <v>6</v>
      </c>
    </row>
    <row r="47" spans="1:6" ht="14.25" customHeight="1">
      <c r="A47" s="52" t="s">
        <v>558</v>
      </c>
      <c r="B47" s="52" t="s">
        <v>559</v>
      </c>
      <c r="C47" s="52" t="s">
        <v>79</v>
      </c>
      <c r="D47" s="52">
        <v>2</v>
      </c>
      <c r="E47" s="52" t="s">
        <v>652</v>
      </c>
      <c r="F47" s="52" t="s">
        <v>6</v>
      </c>
    </row>
    <row r="48" spans="1:6" ht="14.25" customHeight="1">
      <c r="A48" s="62" t="s">
        <v>560</v>
      </c>
      <c r="B48" s="61" t="s">
        <v>551</v>
      </c>
      <c r="C48" s="61" t="s">
        <v>118</v>
      </c>
      <c r="D48" s="61">
        <v>2</v>
      </c>
      <c r="E48" s="61" t="s">
        <v>582</v>
      </c>
      <c r="F48" s="61" t="s">
        <v>6</v>
      </c>
    </row>
    <row r="49" spans="1:6" ht="14.25" customHeight="1">
      <c r="A49" s="60" t="s">
        <v>561</v>
      </c>
      <c r="B49" s="60" t="s">
        <v>543</v>
      </c>
      <c r="C49" s="52" t="s">
        <v>84</v>
      </c>
      <c r="D49" s="52">
        <v>1</v>
      </c>
      <c r="E49" s="52" t="s">
        <v>585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727</v>
      </c>
    </row>
    <row r="53" spans="1:6" ht="14.25" customHeight="1">
      <c r="A53" t="s">
        <v>74</v>
      </c>
      <c r="B53">
        <v>43</v>
      </c>
    </row>
    <row r="54" spans="1:6" ht="14.25" customHeight="1">
      <c r="A54" t="s">
        <v>79</v>
      </c>
      <c r="B54">
        <v>40</v>
      </c>
    </row>
    <row r="55" spans="1:6" ht="14.25" customHeight="1">
      <c r="A55" t="s">
        <v>84</v>
      </c>
      <c r="B55">
        <v>15</v>
      </c>
    </row>
    <row r="56" spans="1:6" ht="14.25" customHeight="1">
      <c r="A56" t="s">
        <v>76</v>
      </c>
      <c r="B56">
        <v>5</v>
      </c>
    </row>
    <row r="57" spans="1:6" ht="14.25" customHeight="1">
      <c r="A57" t="s">
        <v>118</v>
      </c>
      <c r="B57">
        <v>3</v>
      </c>
    </row>
    <row r="58" spans="1:6" ht="14.25" customHeight="1">
      <c r="A58" t="s">
        <v>83</v>
      </c>
      <c r="B58">
        <v>2</v>
      </c>
    </row>
    <row r="59" spans="1:6" ht="14.25" customHeight="1">
      <c r="A59" t="s">
        <v>120</v>
      </c>
      <c r="B59">
        <v>2</v>
      </c>
    </row>
    <row r="60" spans="1:6" ht="14.25" customHeight="1">
      <c r="A60" t="s">
        <v>126</v>
      </c>
      <c r="B60">
        <v>2</v>
      </c>
    </row>
    <row r="61" spans="1:6" ht="14.25" customHeight="1">
      <c r="A61" t="s">
        <v>129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530</v>
      </c>
      <c r="C5" s="52" t="s">
        <v>79</v>
      </c>
      <c r="D5" s="52">
        <v>2</v>
      </c>
      <c r="E5" s="52" t="s">
        <v>584</v>
      </c>
      <c r="F5" s="52" t="s">
        <v>6</v>
      </c>
    </row>
    <row r="6" spans="1:6" ht="14.25" customHeight="1">
      <c r="A6" s="61" t="s">
        <v>26</v>
      </c>
      <c r="B6" s="61" t="s">
        <v>562</v>
      </c>
      <c r="C6" s="61" t="s">
        <v>275</v>
      </c>
      <c r="D6" s="61">
        <v>2</v>
      </c>
      <c r="E6" s="61" t="s">
        <v>637</v>
      </c>
      <c r="F6" s="61" t="s">
        <v>6</v>
      </c>
    </row>
    <row r="7" spans="1:6" ht="14.25" customHeight="1">
      <c r="A7" s="52" t="s">
        <v>26</v>
      </c>
      <c r="B7" s="52" t="s">
        <v>562</v>
      </c>
      <c r="C7" s="52" t="s">
        <v>129</v>
      </c>
      <c r="D7" s="52">
        <v>2</v>
      </c>
      <c r="E7" s="52" t="s">
        <v>640</v>
      </c>
      <c r="F7" s="52" t="s">
        <v>6</v>
      </c>
    </row>
    <row r="8" spans="1:6" ht="14.25" customHeight="1">
      <c r="A8" s="61" t="s">
        <v>563</v>
      </c>
      <c r="B8" s="61" t="s">
        <v>564</v>
      </c>
      <c r="C8" s="61" t="s">
        <v>79</v>
      </c>
      <c r="D8" s="61">
        <v>2</v>
      </c>
      <c r="E8" s="61" t="s">
        <v>651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727</v>
      </c>
    </row>
    <row r="12" spans="1:6" ht="14.25" customHeight="1">
      <c r="A12" t="s">
        <v>79</v>
      </c>
      <c r="B12">
        <v>4</v>
      </c>
    </row>
    <row r="13" spans="1:6" ht="14.25" customHeight="1">
      <c r="A13" t="s">
        <v>275</v>
      </c>
      <c r="B13">
        <v>2</v>
      </c>
    </row>
    <row r="14" spans="1:6" ht="14.25" customHeight="1">
      <c r="A14" t="s">
        <v>129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744</v>
      </c>
    </row>
    <row r="2" spans="1:3" ht="15" customHeight="1"/>
    <row r="3" spans="1:3" ht="14.25" customHeight="1">
      <c r="A3" s="58" t="s">
        <v>745</v>
      </c>
      <c r="B3" s="58" t="s">
        <v>746</v>
      </c>
      <c r="C3" s="58" t="s">
        <v>747</v>
      </c>
    </row>
    <row r="4" spans="1:3" ht="14.25" customHeight="1">
      <c r="A4" s="61">
        <v>1</v>
      </c>
      <c r="B4" s="62" t="s">
        <v>721</v>
      </c>
      <c r="C4" s="61">
        <v>4</v>
      </c>
    </row>
    <row r="5" spans="1:3" ht="14.25" customHeight="1">
      <c r="A5" s="52">
        <v>2</v>
      </c>
      <c r="B5" s="60" t="s">
        <v>708</v>
      </c>
      <c r="C5" s="52">
        <v>10</v>
      </c>
    </row>
    <row r="6" spans="1:3" ht="14.25" customHeight="1">
      <c r="A6" s="61">
        <v>3</v>
      </c>
      <c r="B6" s="62" t="s">
        <v>716</v>
      </c>
      <c r="C6" s="61">
        <v>4</v>
      </c>
    </row>
    <row r="7" spans="1:3" ht="14.25" customHeight="1">
      <c r="A7" s="52">
        <v>4</v>
      </c>
      <c r="B7" s="60" t="s">
        <v>724</v>
      </c>
      <c r="C7" s="52">
        <v>2</v>
      </c>
    </row>
    <row r="8" spans="1:3" ht="14.25" customHeight="1">
      <c r="A8" s="61">
        <v>5</v>
      </c>
      <c r="B8" s="62" t="s">
        <v>711</v>
      </c>
      <c r="C8" s="61">
        <v>47</v>
      </c>
    </row>
    <row r="9" spans="1:3" ht="14.25" customHeight="1">
      <c r="A9" s="52">
        <v>6</v>
      </c>
      <c r="B9" s="60" t="s">
        <v>714</v>
      </c>
      <c r="C9" s="52">
        <v>62</v>
      </c>
    </row>
    <row r="10" spans="1:3" ht="14.25" customHeight="1">
      <c r="A10" s="61">
        <v>7</v>
      </c>
      <c r="B10" s="62" t="s">
        <v>712</v>
      </c>
      <c r="C10" s="61">
        <v>45</v>
      </c>
    </row>
    <row r="11" spans="1:3" ht="14.25" customHeight="1">
      <c r="A11" s="52">
        <v>8</v>
      </c>
      <c r="B11" s="60" t="s">
        <v>706</v>
      </c>
      <c r="C11" s="52">
        <v>584</v>
      </c>
    </row>
    <row r="12" spans="1:3" ht="14.25" customHeight="1">
      <c r="A12" s="61">
        <v>9</v>
      </c>
      <c r="B12" s="62" t="s">
        <v>710</v>
      </c>
      <c r="C12" s="61">
        <v>37</v>
      </c>
    </row>
    <row r="13" spans="1:3" ht="14.25" customHeight="1">
      <c r="A13" s="52">
        <v>10</v>
      </c>
      <c r="B13" s="60" t="s">
        <v>713</v>
      </c>
      <c r="C13" s="52">
        <v>320</v>
      </c>
    </row>
    <row r="14" spans="1:3" ht="14.25" customHeight="1">
      <c r="A14" s="61">
        <v>11</v>
      </c>
      <c r="B14" s="62" t="s">
        <v>707</v>
      </c>
      <c r="C14" s="61">
        <v>445</v>
      </c>
    </row>
    <row r="15" spans="1:3" ht="14.25" customHeight="1">
      <c r="A15" s="52">
        <v>12</v>
      </c>
      <c r="B15" s="60" t="s">
        <v>709</v>
      </c>
      <c r="C15" s="52">
        <v>14</v>
      </c>
    </row>
    <row r="16" spans="1:3" ht="14.25" customHeight="1">
      <c r="A16" s="61">
        <v>13</v>
      </c>
      <c r="B16" s="62" t="s">
        <v>722</v>
      </c>
      <c r="C16" s="61">
        <v>2</v>
      </c>
    </row>
    <row r="17" spans="1:3" ht="14.25" customHeight="1">
      <c r="A17" s="52">
        <v>14</v>
      </c>
      <c r="B17" s="60" t="s">
        <v>719</v>
      </c>
      <c r="C17" s="52">
        <v>3</v>
      </c>
    </row>
    <row r="18" spans="1:3" ht="14.25" customHeight="1">
      <c r="A18" s="61">
        <v>15</v>
      </c>
      <c r="B18" s="62" t="s">
        <v>720</v>
      </c>
      <c r="C18" s="61">
        <v>1</v>
      </c>
    </row>
    <row r="19" spans="1:3" ht="14.25" customHeight="1">
      <c r="A19" s="52">
        <v>16</v>
      </c>
      <c r="B19" s="60" t="s">
        <v>717</v>
      </c>
      <c r="C19" s="52">
        <v>4</v>
      </c>
    </row>
    <row r="20" spans="1:3" ht="14.25" customHeight="1">
      <c r="A20" s="61">
        <v>17</v>
      </c>
      <c r="B20" s="62" t="s">
        <v>748</v>
      </c>
      <c r="C20" s="61" t="s">
        <v>749</v>
      </c>
    </row>
    <row r="21" spans="1:3" ht="14.25" customHeight="1">
      <c r="A21" s="52">
        <v>18</v>
      </c>
      <c r="B21" s="60" t="s">
        <v>715</v>
      </c>
      <c r="C21" s="52">
        <v>4</v>
      </c>
    </row>
    <row r="22" spans="1:3" ht="14.25" customHeight="1">
      <c r="A22" s="61">
        <v>19</v>
      </c>
      <c r="B22" s="62" t="s">
        <v>750</v>
      </c>
      <c r="C22" s="61" t="s">
        <v>73</v>
      </c>
    </row>
    <row r="23" spans="1:3" ht="14.25" customHeight="1">
      <c r="A23" s="52">
        <v>20</v>
      </c>
      <c r="B23" s="60" t="s">
        <v>751</v>
      </c>
      <c r="C23" s="52">
        <v>2</v>
      </c>
    </row>
    <row r="24" spans="1:3" ht="14.25" customHeight="1">
      <c r="A24" s="61">
        <v>21</v>
      </c>
      <c r="B24" s="62" t="s">
        <v>752</v>
      </c>
      <c r="C24" s="61">
        <v>2</v>
      </c>
    </row>
    <row r="25" spans="1:3" ht="14.25" customHeight="1">
      <c r="A25" s="52">
        <v>22</v>
      </c>
      <c r="B25" s="60" t="s">
        <v>753</v>
      </c>
      <c r="C25" s="52">
        <v>1</v>
      </c>
    </row>
    <row r="26" spans="1:3" ht="14.25" customHeight="1">
      <c r="A26" s="61">
        <v>23</v>
      </c>
      <c r="B26" s="62" t="s">
        <v>754</v>
      </c>
      <c r="C26" s="61">
        <v>165</v>
      </c>
    </row>
    <row r="27" spans="1:3" ht="14.25" customHeight="1">
      <c r="A27" s="52" t="s">
        <v>755</v>
      </c>
      <c r="B27" s="52" t="s">
        <v>756</v>
      </c>
      <c r="C27" s="52">
        <v>16</v>
      </c>
    </row>
    <row r="28" spans="1:3" ht="14.25" customHeight="1">
      <c r="A28" s="61" t="s">
        <v>757</v>
      </c>
      <c r="B28" s="61" t="s">
        <v>758</v>
      </c>
      <c r="C28" s="61">
        <v>16</v>
      </c>
    </row>
    <row r="29" spans="1:3" ht="14.25" customHeight="1">
      <c r="A29" s="52">
        <v>24</v>
      </c>
      <c r="B29" s="60" t="s">
        <v>759</v>
      </c>
      <c r="C29" s="52" t="s">
        <v>73</v>
      </c>
    </row>
    <row r="30" spans="1:3" ht="14.25" customHeight="1">
      <c r="A30" s="61" t="s">
        <v>760</v>
      </c>
      <c r="B30" s="62" t="s">
        <v>761</v>
      </c>
      <c r="C30" s="61">
        <v>4</v>
      </c>
    </row>
    <row r="31" spans="1:3" ht="14.25" customHeight="1">
      <c r="A31" s="52" t="s">
        <v>762</v>
      </c>
      <c r="B31" s="60" t="s">
        <v>763</v>
      </c>
      <c r="C31" s="52">
        <v>8</v>
      </c>
    </row>
    <row r="32" spans="1:3" ht="14.25" customHeight="1">
      <c r="A32" s="61" t="s">
        <v>764</v>
      </c>
      <c r="B32" s="62" t="s">
        <v>765</v>
      </c>
      <c r="C32" s="61">
        <v>32</v>
      </c>
    </row>
    <row r="33" spans="1:4" ht="14.25" customHeight="1">
      <c r="A33" s="52" t="s">
        <v>766</v>
      </c>
      <c r="B33" s="60" t="s">
        <v>767</v>
      </c>
      <c r="C33" s="52">
        <v>4054</v>
      </c>
    </row>
    <row r="34" spans="1:4" ht="14.25" customHeight="1">
      <c r="A34" s="61" t="s">
        <v>768</v>
      </c>
      <c r="B34" s="62" t="s">
        <v>769</v>
      </c>
      <c r="C34" s="61">
        <v>88</v>
      </c>
    </row>
    <row r="35" spans="1:4" ht="14.25" customHeight="1">
      <c r="A35" s="52" t="s">
        <v>770</v>
      </c>
      <c r="B35" s="60" t="s">
        <v>771</v>
      </c>
      <c r="C35" s="52">
        <v>88</v>
      </c>
    </row>
    <row r="36" spans="1:4" ht="14.25" customHeight="1">
      <c r="A36" s="61" t="s">
        <v>772</v>
      </c>
      <c r="B36" s="62" t="s">
        <v>773</v>
      </c>
      <c r="C36" s="61">
        <v>20</v>
      </c>
    </row>
    <row r="37" spans="1:4" ht="14.25" customHeight="1">
      <c r="A37" s="52" t="s">
        <v>774</v>
      </c>
      <c r="B37" s="60" t="s">
        <v>775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776</v>
      </c>
    </row>
    <row r="41" spans="1:4" ht="14.25" customHeight="1">
      <c r="A41" s="48" t="s">
        <v>58</v>
      </c>
      <c r="B41" s="48" t="s">
        <v>777</v>
      </c>
      <c r="C41" s="48" t="s">
        <v>778</v>
      </c>
      <c r="D41" s="48" t="s">
        <v>779</v>
      </c>
    </row>
    <row r="42" spans="1:4" ht="14.25" customHeight="1">
      <c r="A42" s="52" t="s">
        <v>125</v>
      </c>
      <c r="B42" s="52">
        <v>4</v>
      </c>
      <c r="C42" s="52">
        <v>4</v>
      </c>
      <c r="D42" s="52" t="s">
        <v>780</v>
      </c>
    </row>
    <row r="43" spans="1:4" ht="14.25" customHeight="1">
      <c r="A43" s="52" t="s">
        <v>79</v>
      </c>
      <c r="B43" s="52">
        <v>584</v>
      </c>
      <c r="C43" s="52">
        <v>584</v>
      </c>
      <c r="D43" s="52" t="s">
        <v>780</v>
      </c>
    </row>
    <row r="44" spans="1:4" ht="14.25" customHeight="1">
      <c r="A44" s="52" t="s">
        <v>84</v>
      </c>
      <c r="B44" s="52">
        <v>320</v>
      </c>
      <c r="C44" s="52">
        <v>320</v>
      </c>
      <c r="D44" s="52" t="s">
        <v>780</v>
      </c>
    </row>
    <row r="45" spans="1:4" ht="14.25" customHeight="1">
      <c r="A45" s="52" t="s">
        <v>74</v>
      </c>
      <c r="B45" s="52">
        <v>445</v>
      </c>
      <c r="C45" s="52">
        <v>445</v>
      </c>
      <c r="D45" s="52" t="s">
        <v>780</v>
      </c>
    </row>
    <row r="46" spans="1:4" ht="14.25" customHeight="1">
      <c r="A46" s="52" t="s">
        <v>129</v>
      </c>
      <c r="B46" s="52">
        <v>14</v>
      </c>
      <c r="C46" s="52">
        <v>14</v>
      </c>
      <c r="D46" s="52" t="s">
        <v>780</v>
      </c>
    </row>
    <row r="47" spans="1:4" ht="14.25" customHeight="1">
      <c r="A47" s="52" t="s">
        <v>781</v>
      </c>
      <c r="B47" s="52">
        <v>2</v>
      </c>
      <c r="C47" s="52">
        <v>2</v>
      </c>
      <c r="D47" s="52" t="s">
        <v>780</v>
      </c>
    </row>
    <row r="48" spans="1:4" ht="14.25" customHeight="1">
      <c r="A48" s="52" t="s">
        <v>782</v>
      </c>
      <c r="B48" s="52">
        <v>2</v>
      </c>
      <c r="C48" s="52">
        <v>2</v>
      </c>
      <c r="D48" s="52" t="s">
        <v>780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783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784</v>
      </c>
    </row>
    <row r="3" spans="1:26" ht="14.25" customHeight="1">
      <c r="F3" s="78" t="s">
        <v>785</v>
      </c>
      <c r="G3" s="78" t="s">
        <v>785</v>
      </c>
      <c r="H3" s="78" t="s">
        <v>785</v>
      </c>
      <c r="I3" s="78" t="s">
        <v>786</v>
      </c>
      <c r="J3" s="78" t="s">
        <v>786</v>
      </c>
      <c r="K3" s="78" t="s">
        <v>786</v>
      </c>
      <c r="L3" s="78" t="s">
        <v>786</v>
      </c>
      <c r="M3" s="78" t="s">
        <v>787</v>
      </c>
      <c r="N3" s="78" t="s">
        <v>787</v>
      </c>
      <c r="O3" s="78" t="s">
        <v>787</v>
      </c>
      <c r="P3" s="78" t="s">
        <v>787</v>
      </c>
      <c r="Q3" s="78" t="s">
        <v>788</v>
      </c>
      <c r="R3" s="78" t="s">
        <v>788</v>
      </c>
      <c r="S3" s="78" t="s">
        <v>788</v>
      </c>
      <c r="T3" s="78" t="s">
        <v>788</v>
      </c>
      <c r="U3" s="78" t="s">
        <v>788</v>
      </c>
      <c r="V3" s="78" t="s">
        <v>789</v>
      </c>
    </row>
    <row r="4" spans="1:26" ht="14.25" customHeight="1">
      <c r="A4" s="48" t="s">
        <v>12</v>
      </c>
      <c r="B4" s="48" t="s">
        <v>790</v>
      </c>
      <c r="C4" s="48" t="s">
        <v>589</v>
      </c>
      <c r="D4" s="48" t="s">
        <v>791</v>
      </c>
      <c r="E4" s="48" t="s">
        <v>792</v>
      </c>
      <c r="F4" s="48" t="s">
        <v>793</v>
      </c>
      <c r="G4" s="48" t="s">
        <v>794</v>
      </c>
      <c r="H4" s="48" t="s">
        <v>795</v>
      </c>
      <c r="I4" s="48" t="s">
        <v>796</v>
      </c>
      <c r="J4" s="48" t="s">
        <v>793</v>
      </c>
      <c r="K4" s="48" t="s">
        <v>794</v>
      </c>
      <c r="L4" s="48" t="s">
        <v>795</v>
      </c>
      <c r="M4" s="48" t="s">
        <v>797</v>
      </c>
      <c r="N4" s="48" t="s">
        <v>798</v>
      </c>
      <c r="O4" s="48" t="s">
        <v>799</v>
      </c>
      <c r="P4" s="48" t="s">
        <v>800</v>
      </c>
      <c r="Q4" s="48" t="s">
        <v>801</v>
      </c>
      <c r="R4" s="48" t="s">
        <v>802</v>
      </c>
      <c r="S4" s="48" t="s">
        <v>803</v>
      </c>
      <c r="T4" s="48" t="s">
        <v>804</v>
      </c>
      <c r="U4" s="48" t="s">
        <v>805</v>
      </c>
      <c r="V4" s="48" t="s">
        <v>806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573</v>
      </c>
      <c r="E5" s="52" t="s">
        <v>574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575</v>
      </c>
      <c r="E6" s="52" t="s">
        <v>576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577</v>
      </c>
      <c r="E7" s="52" t="s">
        <v>578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579</v>
      </c>
      <c r="E8" s="52" t="s">
        <v>580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581</v>
      </c>
      <c r="E9" s="52" t="s">
        <v>582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581</v>
      </c>
      <c r="E10" s="52" t="s">
        <v>583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584</v>
      </c>
      <c r="E11" s="52" t="s">
        <v>585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807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808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784</v>
      </c>
    </row>
    <row r="3" spans="1:26" ht="14.25" customHeight="1">
      <c r="F3" s="78" t="s">
        <v>785</v>
      </c>
      <c r="G3" s="78" t="s">
        <v>785</v>
      </c>
      <c r="H3" s="78" t="s">
        <v>785</v>
      </c>
      <c r="I3" s="78" t="s">
        <v>786</v>
      </c>
      <c r="J3" s="78" t="s">
        <v>786</v>
      </c>
      <c r="K3" s="78" t="s">
        <v>786</v>
      </c>
      <c r="L3" s="78" t="s">
        <v>786</v>
      </c>
      <c r="M3" s="78" t="s">
        <v>787</v>
      </c>
      <c r="N3" s="78" t="s">
        <v>787</v>
      </c>
      <c r="O3" s="78" t="s">
        <v>787</v>
      </c>
      <c r="P3" s="78" t="s">
        <v>787</v>
      </c>
      <c r="Q3" s="78" t="s">
        <v>788</v>
      </c>
      <c r="R3" s="78" t="s">
        <v>788</v>
      </c>
      <c r="S3" s="78" t="s">
        <v>788</v>
      </c>
      <c r="T3" s="78" t="s">
        <v>788</v>
      </c>
      <c r="U3" s="78" t="s">
        <v>788</v>
      </c>
      <c r="V3" s="78" t="s">
        <v>789</v>
      </c>
    </row>
    <row r="4" spans="1:26" ht="14.25" customHeight="1">
      <c r="A4" s="48" t="s">
        <v>12</v>
      </c>
      <c r="B4" s="48" t="s">
        <v>56</v>
      </c>
      <c r="C4" s="48" t="s">
        <v>790</v>
      </c>
      <c r="D4" s="48" t="s">
        <v>791</v>
      </c>
      <c r="E4" s="48" t="s">
        <v>792</v>
      </c>
      <c r="F4" s="48" t="s">
        <v>793</v>
      </c>
      <c r="G4" s="48" t="s">
        <v>794</v>
      </c>
      <c r="H4" s="48" t="s">
        <v>795</v>
      </c>
      <c r="I4" s="48" t="s">
        <v>796</v>
      </c>
      <c r="J4" s="48" t="s">
        <v>793</v>
      </c>
      <c r="K4" s="48" t="s">
        <v>794</v>
      </c>
      <c r="L4" s="48" t="s">
        <v>795</v>
      </c>
      <c r="M4" s="48" t="s">
        <v>797</v>
      </c>
      <c r="N4" s="48" t="s">
        <v>798</v>
      </c>
      <c r="O4" s="48" t="s">
        <v>799</v>
      </c>
      <c r="P4" s="48" t="s">
        <v>800</v>
      </c>
      <c r="Q4" s="48" t="s">
        <v>801</v>
      </c>
      <c r="R4" s="48" t="s">
        <v>802</v>
      </c>
      <c r="S4" s="48" t="s">
        <v>803</v>
      </c>
      <c r="T4" s="48" t="s">
        <v>804</v>
      </c>
      <c r="U4" s="48" t="s">
        <v>805</v>
      </c>
      <c r="V4" s="48" t="s">
        <v>806</v>
      </c>
    </row>
    <row r="5" spans="1:26" ht="14.25" customHeight="1">
      <c r="A5" s="52" t="s">
        <v>20</v>
      </c>
      <c r="B5" s="60" t="s">
        <v>809</v>
      </c>
      <c r="C5" s="52">
        <v>318</v>
      </c>
      <c r="D5" s="52" t="s">
        <v>573</v>
      </c>
      <c r="E5" s="52" t="s">
        <v>590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116</v>
      </c>
      <c r="C6" s="52">
        <v>106</v>
      </c>
      <c r="D6" s="52" t="s">
        <v>591</v>
      </c>
      <c r="E6" s="52" t="s">
        <v>592</v>
      </c>
      <c r="M6" s="79"/>
      <c r="N6" s="79"/>
      <c r="O6" s="79"/>
    </row>
    <row r="7" spans="1:26" ht="14.25" customHeight="1">
      <c r="A7" s="52" t="s">
        <v>20</v>
      </c>
      <c r="B7" s="52" t="s">
        <v>153</v>
      </c>
      <c r="C7" s="52">
        <v>71</v>
      </c>
      <c r="D7" s="52" t="s">
        <v>593</v>
      </c>
      <c r="E7" s="52" t="s">
        <v>594</v>
      </c>
      <c r="O7" s="79"/>
      <c r="P7" s="79"/>
    </row>
    <row r="8" spans="1:26" ht="14.25" customHeight="1">
      <c r="A8" s="52" t="s">
        <v>20</v>
      </c>
      <c r="B8" s="52" t="s">
        <v>188</v>
      </c>
      <c r="C8" s="52">
        <v>64</v>
      </c>
      <c r="D8" s="52" t="s">
        <v>595</v>
      </c>
      <c r="E8" s="52" t="s">
        <v>596</v>
      </c>
      <c r="P8" s="79"/>
      <c r="Q8" s="79"/>
      <c r="R8" s="79"/>
    </row>
    <row r="9" spans="1:26" ht="14.25" customHeight="1">
      <c r="A9" s="52" t="s">
        <v>20</v>
      </c>
      <c r="B9" s="52" t="s">
        <v>201</v>
      </c>
      <c r="C9" s="52">
        <v>35</v>
      </c>
      <c r="D9" s="52" t="s">
        <v>578</v>
      </c>
      <c r="E9" s="52" t="s">
        <v>597</v>
      </c>
      <c r="R9" s="79"/>
    </row>
    <row r="10" spans="1:26" ht="14.25" customHeight="1">
      <c r="A10" s="52" t="s">
        <v>20</v>
      </c>
      <c r="B10" s="52" t="s">
        <v>215</v>
      </c>
      <c r="C10" s="52">
        <v>26</v>
      </c>
      <c r="D10" s="52" t="s">
        <v>598</v>
      </c>
      <c r="E10" s="52" t="s">
        <v>599</v>
      </c>
      <c r="S10" s="79"/>
    </row>
    <row r="11" spans="1:26" ht="14.25" customHeight="1">
      <c r="A11" s="52" t="s">
        <v>20</v>
      </c>
      <c r="B11" s="60" t="s">
        <v>810</v>
      </c>
      <c r="C11" s="52">
        <v>18</v>
      </c>
      <c r="D11" s="52" t="s">
        <v>600</v>
      </c>
      <c r="E11" s="52" t="s">
        <v>601</v>
      </c>
      <c r="S11" s="79"/>
    </row>
    <row r="12" spans="1:26" ht="14.25" customHeight="1">
      <c r="A12" s="52" t="s">
        <v>20</v>
      </c>
      <c r="B12" s="60" t="s">
        <v>811</v>
      </c>
      <c r="C12" s="52">
        <v>14</v>
      </c>
      <c r="D12" s="52" t="s">
        <v>602</v>
      </c>
      <c r="E12" s="52" t="s">
        <v>602</v>
      </c>
      <c r="S12" s="79"/>
    </row>
    <row r="13" spans="1:26" ht="14.25" customHeight="1">
      <c r="A13" s="52" t="s">
        <v>20</v>
      </c>
      <c r="B13" s="60" t="s">
        <v>811</v>
      </c>
      <c r="C13" s="52">
        <v>13</v>
      </c>
      <c r="D13" s="52" t="s">
        <v>603</v>
      </c>
      <c r="E13" s="52" t="s">
        <v>603</v>
      </c>
      <c r="S13" s="79"/>
    </row>
    <row r="14" spans="1:26" ht="14.25" customHeight="1">
      <c r="A14" s="52" t="s">
        <v>20</v>
      </c>
      <c r="B14" s="60" t="s">
        <v>811</v>
      </c>
      <c r="C14" s="52">
        <v>12</v>
      </c>
      <c r="D14" s="52" t="s">
        <v>604</v>
      </c>
      <c r="E14" s="52" t="s">
        <v>604</v>
      </c>
      <c r="T14" s="79"/>
    </row>
    <row r="15" spans="1:26" ht="14.25" customHeight="1">
      <c r="A15" s="52" t="s">
        <v>20</v>
      </c>
      <c r="B15" s="60" t="s">
        <v>811</v>
      </c>
      <c r="C15" s="52">
        <v>10</v>
      </c>
      <c r="D15" s="52" t="s">
        <v>605</v>
      </c>
      <c r="E15" s="52" t="s">
        <v>605</v>
      </c>
      <c r="T15" s="79"/>
    </row>
    <row r="16" spans="1:26" ht="14.25" customHeight="1">
      <c r="A16" s="52" t="s">
        <v>20</v>
      </c>
      <c r="B16" s="60" t="s">
        <v>811</v>
      </c>
      <c r="C16" s="52">
        <v>10</v>
      </c>
      <c r="D16" s="52" t="s">
        <v>606</v>
      </c>
      <c r="E16" s="52" t="s">
        <v>606</v>
      </c>
      <c r="T16" s="79"/>
    </row>
    <row r="17" spans="1:21" ht="14.25" customHeight="1">
      <c r="A17" s="52" t="s">
        <v>20</v>
      </c>
      <c r="B17" s="60" t="s">
        <v>811</v>
      </c>
      <c r="C17" s="52">
        <v>6</v>
      </c>
      <c r="D17" s="52" t="s">
        <v>607</v>
      </c>
      <c r="E17" s="52" t="s">
        <v>607</v>
      </c>
      <c r="T17" s="79"/>
    </row>
    <row r="18" spans="1:21" ht="14.25" customHeight="1">
      <c r="A18" s="52" t="s">
        <v>20</v>
      </c>
      <c r="B18" s="52" t="s">
        <v>242</v>
      </c>
      <c r="C18" s="52">
        <v>2</v>
      </c>
      <c r="D18" s="52" t="s">
        <v>608</v>
      </c>
      <c r="E18" s="52" t="s">
        <v>608</v>
      </c>
      <c r="T18" s="79"/>
    </row>
    <row r="19" spans="1:21" ht="14.25" customHeight="1">
      <c r="A19" s="52" t="s">
        <v>20</v>
      </c>
      <c r="B19" s="52" t="s">
        <v>243</v>
      </c>
      <c r="C19" s="52">
        <v>2</v>
      </c>
      <c r="D19" s="52" t="s">
        <v>609</v>
      </c>
      <c r="E19" s="52" t="s">
        <v>609</v>
      </c>
      <c r="T19" s="79"/>
    </row>
    <row r="20" spans="1:21" ht="14.25" customHeight="1">
      <c r="A20" s="52" t="s">
        <v>20</v>
      </c>
      <c r="B20" s="52" t="s">
        <v>244</v>
      </c>
      <c r="C20" s="52">
        <v>2</v>
      </c>
      <c r="D20" s="52" t="s">
        <v>610</v>
      </c>
      <c r="E20" s="52" t="s">
        <v>610</v>
      </c>
      <c r="T20" s="79"/>
    </row>
    <row r="21" spans="1:21" ht="14.25" customHeight="1">
      <c r="A21" s="52" t="s">
        <v>20</v>
      </c>
      <c r="B21" s="52" t="s">
        <v>245</v>
      </c>
      <c r="C21" s="52">
        <v>1</v>
      </c>
      <c r="D21" s="52" t="s">
        <v>611</v>
      </c>
      <c r="E21" s="52" t="s">
        <v>611</v>
      </c>
      <c r="U21" s="79"/>
    </row>
    <row r="22" spans="1:21" ht="14.25" customHeight="1">
      <c r="A22" s="52" t="s">
        <v>20</v>
      </c>
      <c r="B22" s="60" t="s">
        <v>811</v>
      </c>
      <c r="C22" s="52">
        <v>1</v>
      </c>
      <c r="D22" s="52" t="s">
        <v>612</v>
      </c>
      <c r="E22" s="52" t="s">
        <v>612</v>
      </c>
      <c r="U22" s="79"/>
    </row>
    <row r="23" spans="1:21" ht="14.25" customHeight="1">
      <c r="A23" s="52" t="s">
        <v>20</v>
      </c>
      <c r="B23" s="60" t="s">
        <v>249</v>
      </c>
      <c r="C23" s="52">
        <v>1</v>
      </c>
      <c r="D23" s="52" t="s">
        <v>613</v>
      </c>
      <c r="E23" s="52" t="s">
        <v>613</v>
      </c>
      <c r="U23" s="79"/>
    </row>
    <row r="24" spans="1:21" ht="14.25" customHeight="1">
      <c r="A24" s="52" t="s">
        <v>21</v>
      </c>
      <c r="B24" s="60" t="s">
        <v>250</v>
      </c>
      <c r="C24" s="52">
        <v>59</v>
      </c>
      <c r="D24" s="52" t="s">
        <v>575</v>
      </c>
      <c r="E24" s="52" t="s">
        <v>614</v>
      </c>
      <c r="G24" s="80"/>
      <c r="H24" s="80"/>
    </row>
    <row r="25" spans="1:21" ht="14.25" customHeight="1">
      <c r="A25" s="52" t="s">
        <v>21</v>
      </c>
      <c r="B25" s="60" t="s">
        <v>260</v>
      </c>
      <c r="C25" s="52">
        <v>35</v>
      </c>
      <c r="D25" s="52" t="s">
        <v>615</v>
      </c>
      <c r="E25" s="52" t="s">
        <v>616</v>
      </c>
      <c r="H25" s="80"/>
      <c r="I25" s="80"/>
    </row>
    <row r="26" spans="1:21" ht="14.25" customHeight="1">
      <c r="A26" s="52" t="s">
        <v>21</v>
      </c>
      <c r="B26" s="60" t="s">
        <v>273</v>
      </c>
      <c r="C26" s="52">
        <v>17</v>
      </c>
      <c r="D26" s="52" t="s">
        <v>617</v>
      </c>
      <c r="E26" s="52" t="s">
        <v>618</v>
      </c>
      <c r="I26" s="80"/>
    </row>
    <row r="27" spans="1:21" ht="14.25" customHeight="1">
      <c r="A27" s="52" t="s">
        <v>21</v>
      </c>
      <c r="B27" s="60" t="s">
        <v>278</v>
      </c>
      <c r="C27" s="52">
        <v>14</v>
      </c>
      <c r="D27" s="52" t="s">
        <v>619</v>
      </c>
      <c r="E27" s="52" t="s">
        <v>581</v>
      </c>
      <c r="J27" s="80"/>
    </row>
    <row r="28" spans="1:21" ht="14.25" customHeight="1">
      <c r="A28" s="52" t="s">
        <v>21</v>
      </c>
      <c r="B28" s="60" t="s">
        <v>283</v>
      </c>
      <c r="C28" s="52">
        <v>11</v>
      </c>
      <c r="D28" s="52" t="s">
        <v>620</v>
      </c>
      <c r="E28" s="52" t="s">
        <v>621</v>
      </c>
      <c r="J28" s="80"/>
    </row>
    <row r="29" spans="1:21" ht="14.25" customHeight="1">
      <c r="A29" s="52" t="s">
        <v>21</v>
      </c>
      <c r="B29" s="60" t="s">
        <v>286</v>
      </c>
      <c r="C29" s="52">
        <v>7</v>
      </c>
      <c r="D29" s="52" t="s">
        <v>622</v>
      </c>
      <c r="E29" s="52" t="s">
        <v>622</v>
      </c>
      <c r="J29" s="80"/>
    </row>
    <row r="30" spans="1:21" ht="14.25" customHeight="1">
      <c r="A30" s="52" t="s">
        <v>21</v>
      </c>
      <c r="B30" s="60" t="s">
        <v>291</v>
      </c>
      <c r="C30" s="52">
        <v>4</v>
      </c>
      <c r="D30" s="52" t="s">
        <v>623</v>
      </c>
      <c r="E30" s="52" t="s">
        <v>623</v>
      </c>
      <c r="J30" s="80"/>
    </row>
    <row r="31" spans="1:21" ht="14.25" customHeight="1">
      <c r="A31" s="52" t="s">
        <v>21</v>
      </c>
      <c r="B31" s="60" t="s">
        <v>294</v>
      </c>
      <c r="C31" s="52">
        <v>3</v>
      </c>
      <c r="D31" s="52" t="s">
        <v>624</v>
      </c>
      <c r="E31" s="52" t="s">
        <v>624</v>
      </c>
      <c r="J31" s="80"/>
    </row>
    <row r="32" spans="1:21" ht="14.25" customHeight="1">
      <c r="A32" s="52" t="s">
        <v>21</v>
      </c>
      <c r="B32" s="52" t="s">
        <v>296</v>
      </c>
      <c r="C32" s="52">
        <v>3</v>
      </c>
      <c r="D32" s="52" t="s">
        <v>625</v>
      </c>
      <c r="E32" s="52" t="s">
        <v>625</v>
      </c>
      <c r="K32" s="80"/>
    </row>
    <row r="33" spans="1:13" ht="14.25" customHeight="1">
      <c r="A33" s="52" t="s">
        <v>21</v>
      </c>
      <c r="B33" s="60" t="s">
        <v>298</v>
      </c>
      <c r="C33" s="52">
        <v>3</v>
      </c>
      <c r="D33" s="52" t="s">
        <v>626</v>
      </c>
      <c r="E33" s="52" t="s">
        <v>626</v>
      </c>
      <c r="K33" s="80"/>
    </row>
    <row r="34" spans="1:13" ht="14.25" customHeight="1">
      <c r="A34" s="52" t="s">
        <v>21</v>
      </c>
      <c r="B34" s="60" t="s">
        <v>302</v>
      </c>
      <c r="C34" s="52">
        <v>3</v>
      </c>
      <c r="D34" s="52" t="s">
        <v>627</v>
      </c>
      <c r="E34" s="52" t="s">
        <v>627</v>
      </c>
      <c r="K34" s="80"/>
    </row>
    <row r="35" spans="1:13" ht="14.25" customHeight="1">
      <c r="A35" s="52" t="s">
        <v>21</v>
      </c>
      <c r="B35" s="60" t="s">
        <v>305</v>
      </c>
      <c r="C35" s="52">
        <v>2</v>
      </c>
      <c r="D35" s="52" t="s">
        <v>628</v>
      </c>
      <c r="E35" s="52" t="s">
        <v>628</v>
      </c>
      <c r="K35" s="80"/>
    </row>
    <row r="36" spans="1:13" ht="14.25" customHeight="1">
      <c r="A36" s="52" t="s">
        <v>21</v>
      </c>
      <c r="B36" s="52" t="s">
        <v>307</v>
      </c>
      <c r="C36" s="52">
        <v>2</v>
      </c>
      <c r="D36" s="52" t="s">
        <v>629</v>
      </c>
      <c r="E36" s="52" t="s">
        <v>629</v>
      </c>
      <c r="K36" s="80"/>
    </row>
    <row r="37" spans="1:13" ht="14.25" customHeight="1">
      <c r="A37" s="52" t="s">
        <v>21</v>
      </c>
      <c r="B37" s="52" t="s">
        <v>309</v>
      </c>
      <c r="C37" s="52">
        <v>2</v>
      </c>
      <c r="D37" s="52" t="s">
        <v>630</v>
      </c>
      <c r="E37" s="52" t="s">
        <v>630</v>
      </c>
      <c r="K37" s="80"/>
    </row>
    <row r="38" spans="1:13" ht="14.25" customHeight="1">
      <c r="A38" s="52" t="s">
        <v>21</v>
      </c>
      <c r="B38" s="60" t="s">
        <v>311</v>
      </c>
      <c r="C38" s="52">
        <v>2</v>
      </c>
      <c r="D38" s="52" t="s">
        <v>631</v>
      </c>
      <c r="E38" s="52" t="s">
        <v>631</v>
      </c>
      <c r="K38" s="80"/>
    </row>
    <row r="39" spans="1:13" ht="14.25" customHeight="1">
      <c r="A39" s="52" t="s">
        <v>21</v>
      </c>
      <c r="B39" s="52" t="s">
        <v>313</v>
      </c>
      <c r="C39" s="52">
        <v>2</v>
      </c>
      <c r="D39" s="52" t="s">
        <v>632</v>
      </c>
      <c r="E39" s="52" t="s">
        <v>632</v>
      </c>
      <c r="L39" s="80"/>
    </row>
    <row r="40" spans="1:13" ht="14.25" customHeight="1">
      <c r="A40" s="52" t="s">
        <v>21</v>
      </c>
      <c r="B40" s="52" t="s">
        <v>315</v>
      </c>
      <c r="C40" s="52">
        <v>2</v>
      </c>
      <c r="D40" s="52" t="s">
        <v>633</v>
      </c>
      <c r="E40" s="52" t="s">
        <v>633</v>
      </c>
      <c r="L40" s="80"/>
    </row>
    <row r="41" spans="1:13" ht="14.25" customHeight="1">
      <c r="A41" s="52" t="s">
        <v>21</v>
      </c>
      <c r="B41" s="52" t="s">
        <v>317</v>
      </c>
      <c r="C41" s="52">
        <v>2</v>
      </c>
      <c r="D41" s="52" t="s">
        <v>634</v>
      </c>
      <c r="E41" s="52" t="s">
        <v>634</v>
      </c>
      <c r="L41" s="80"/>
    </row>
    <row r="42" spans="1:13" ht="14.25" customHeight="1">
      <c r="A42" s="52" t="s">
        <v>21</v>
      </c>
      <c r="B42" s="60" t="s">
        <v>319</v>
      </c>
      <c r="C42" s="52">
        <v>2</v>
      </c>
      <c r="D42" s="52" t="s">
        <v>635</v>
      </c>
      <c r="E42" s="52" t="s">
        <v>635</v>
      </c>
      <c r="L42" s="80"/>
    </row>
    <row r="43" spans="1:13" ht="14.25" customHeight="1">
      <c r="A43" s="52" t="s">
        <v>21</v>
      </c>
      <c r="B43" s="60" t="s">
        <v>320</v>
      </c>
      <c r="C43" s="52">
        <v>1</v>
      </c>
      <c r="D43" s="52" t="s">
        <v>584</v>
      </c>
      <c r="E43" s="52" t="s">
        <v>584</v>
      </c>
      <c r="L43" s="80"/>
    </row>
    <row r="44" spans="1:13" ht="14.25" customHeight="1">
      <c r="A44" s="52" t="s">
        <v>21</v>
      </c>
      <c r="B44" s="60" t="s">
        <v>322</v>
      </c>
      <c r="C44" s="52">
        <v>1</v>
      </c>
      <c r="D44" s="52" t="s">
        <v>636</v>
      </c>
      <c r="E44" s="52" t="s">
        <v>636</v>
      </c>
      <c r="L44" s="80"/>
    </row>
    <row r="45" spans="1:13" ht="14.25" customHeight="1">
      <c r="A45" s="52" t="s">
        <v>21</v>
      </c>
      <c r="B45" s="60" t="s">
        <v>324</v>
      </c>
      <c r="C45" s="52">
        <v>1</v>
      </c>
      <c r="D45" s="52" t="s">
        <v>590</v>
      </c>
      <c r="E45" s="52" t="s">
        <v>590</v>
      </c>
      <c r="L45" s="80"/>
    </row>
    <row r="46" spans="1:13" ht="14.25" customHeight="1">
      <c r="A46" s="52" t="s">
        <v>21</v>
      </c>
      <c r="B46" s="60" t="s">
        <v>326</v>
      </c>
      <c r="C46" s="52">
        <v>1</v>
      </c>
      <c r="D46" s="52" t="s">
        <v>591</v>
      </c>
      <c r="E46" s="52" t="s">
        <v>591</v>
      </c>
      <c r="M46" s="80"/>
    </row>
    <row r="47" spans="1:13" ht="14.25" customHeight="1">
      <c r="A47" s="52" t="s">
        <v>21</v>
      </c>
      <c r="B47" s="60" t="s">
        <v>328</v>
      </c>
      <c r="C47" s="52">
        <v>1</v>
      </c>
      <c r="D47" s="52" t="s">
        <v>637</v>
      </c>
      <c r="E47" s="52" t="s">
        <v>637</v>
      </c>
      <c r="M47" s="80"/>
    </row>
    <row r="48" spans="1:13" ht="14.25" customHeight="1">
      <c r="A48" s="52" t="s">
        <v>21</v>
      </c>
      <c r="B48" s="60" t="s">
        <v>330</v>
      </c>
      <c r="C48" s="52">
        <v>1</v>
      </c>
      <c r="D48" s="52" t="s">
        <v>638</v>
      </c>
      <c r="E48" s="52" t="s">
        <v>638</v>
      </c>
      <c r="M48" s="80"/>
    </row>
    <row r="49" spans="1:17" ht="14.25" customHeight="1">
      <c r="A49" s="52" t="s">
        <v>21</v>
      </c>
      <c r="B49" s="60" t="s">
        <v>332</v>
      </c>
      <c r="C49" s="52">
        <v>1</v>
      </c>
      <c r="D49" s="52" t="s">
        <v>639</v>
      </c>
      <c r="E49" s="52" t="s">
        <v>639</v>
      </c>
      <c r="M49" s="80"/>
    </row>
    <row r="50" spans="1:17" ht="14.25" customHeight="1">
      <c r="A50" s="52" t="s">
        <v>21</v>
      </c>
      <c r="B50" s="60" t="s">
        <v>334</v>
      </c>
      <c r="C50" s="52">
        <v>1</v>
      </c>
      <c r="D50" s="52" t="s">
        <v>576</v>
      </c>
      <c r="E50" s="52" t="s">
        <v>576</v>
      </c>
      <c r="M50" s="80"/>
    </row>
    <row r="51" spans="1:17" ht="14.25" customHeight="1">
      <c r="A51" s="52" t="s">
        <v>21</v>
      </c>
      <c r="B51" s="60" t="s">
        <v>336</v>
      </c>
      <c r="C51" s="52">
        <v>1</v>
      </c>
      <c r="D51" s="52" t="s">
        <v>640</v>
      </c>
      <c r="E51" s="52" t="s">
        <v>576</v>
      </c>
      <c r="M51" s="80"/>
    </row>
    <row r="52" spans="1:17" ht="14.25" customHeight="1">
      <c r="A52" s="52" t="s">
        <v>21</v>
      </c>
      <c r="B52" s="60" t="s">
        <v>338</v>
      </c>
      <c r="C52" s="52">
        <v>1</v>
      </c>
      <c r="D52" s="52" t="s">
        <v>640</v>
      </c>
      <c r="E52" s="52" t="s">
        <v>576</v>
      </c>
      <c r="M52" s="80"/>
    </row>
    <row r="53" spans="1:17" ht="14.25" customHeight="1">
      <c r="A53" s="52" t="s">
        <v>21</v>
      </c>
      <c r="B53" s="60" t="s">
        <v>340</v>
      </c>
      <c r="C53" s="52">
        <v>1</v>
      </c>
      <c r="D53" s="52" t="s">
        <v>640</v>
      </c>
      <c r="E53" s="52" t="s">
        <v>576</v>
      </c>
      <c r="M53" s="80"/>
    </row>
    <row r="54" spans="1:17" ht="14.25" customHeight="1">
      <c r="A54" s="52" t="s">
        <v>21</v>
      </c>
      <c r="B54" s="60" t="s">
        <v>342</v>
      </c>
      <c r="C54" s="52">
        <v>1</v>
      </c>
      <c r="D54" s="52" t="s">
        <v>640</v>
      </c>
      <c r="E54" s="52" t="s">
        <v>576</v>
      </c>
      <c r="M54" s="80"/>
    </row>
    <row r="55" spans="1:17" ht="14.25" customHeight="1">
      <c r="A55" s="52" t="s">
        <v>22</v>
      </c>
      <c r="B55" s="60" t="s">
        <v>344</v>
      </c>
      <c r="C55" s="52">
        <v>232</v>
      </c>
      <c r="D55" s="52" t="s">
        <v>577</v>
      </c>
      <c r="E55" s="52" t="s">
        <v>592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401</v>
      </c>
      <c r="C56" s="52">
        <v>44</v>
      </c>
      <c r="D56" s="52" t="s">
        <v>593</v>
      </c>
      <c r="E56" s="52" t="s">
        <v>641</v>
      </c>
      <c r="O56" s="81"/>
      <c r="P56" s="81"/>
    </row>
    <row r="57" spans="1:17" ht="14.25" customHeight="1">
      <c r="A57" s="52" t="s">
        <v>22</v>
      </c>
      <c r="B57" s="52" t="s">
        <v>405</v>
      </c>
      <c r="C57" s="52">
        <v>39</v>
      </c>
      <c r="D57" s="52" t="s">
        <v>642</v>
      </c>
      <c r="E57" s="52" t="s">
        <v>643</v>
      </c>
      <c r="P57" s="81"/>
      <c r="Q57" s="81"/>
    </row>
    <row r="58" spans="1:17" ht="14.25" customHeight="1">
      <c r="A58" s="52" t="s">
        <v>22</v>
      </c>
      <c r="B58" s="60" t="s">
        <v>812</v>
      </c>
      <c r="C58" s="52">
        <v>8</v>
      </c>
      <c r="D58" s="52" t="s">
        <v>644</v>
      </c>
      <c r="E58" s="52" t="s">
        <v>644</v>
      </c>
      <c r="Q58" s="81"/>
    </row>
    <row r="59" spans="1:17" ht="14.25" customHeight="1">
      <c r="A59" s="52" t="s">
        <v>22</v>
      </c>
      <c r="B59" s="52" t="s">
        <v>411</v>
      </c>
      <c r="C59" s="52">
        <v>4</v>
      </c>
      <c r="D59" s="52" t="s">
        <v>645</v>
      </c>
      <c r="E59" s="52" t="s">
        <v>645</v>
      </c>
      <c r="Q59" s="81"/>
    </row>
    <row r="60" spans="1:17" ht="14.25" customHeight="1">
      <c r="A60" s="52" t="s">
        <v>23</v>
      </c>
      <c r="B60" s="52" t="s">
        <v>412</v>
      </c>
      <c r="C60" s="52">
        <v>59</v>
      </c>
      <c r="D60" s="52" t="s">
        <v>579</v>
      </c>
      <c r="E60" s="52" t="s">
        <v>628</v>
      </c>
      <c r="I60" s="82"/>
      <c r="J60" s="82"/>
      <c r="K60" s="82"/>
    </row>
    <row r="61" spans="1:17" ht="14.25" customHeight="1">
      <c r="A61" s="52" t="s">
        <v>23</v>
      </c>
      <c r="B61" s="52" t="s">
        <v>442</v>
      </c>
      <c r="C61" s="52">
        <v>36</v>
      </c>
      <c r="D61" s="52" t="s">
        <v>629</v>
      </c>
      <c r="E61" s="52" t="s">
        <v>591</v>
      </c>
      <c r="K61" s="82"/>
      <c r="L61" s="82"/>
      <c r="M61" s="82"/>
    </row>
    <row r="62" spans="1:17" ht="14.25" customHeight="1">
      <c r="A62" s="52" t="s">
        <v>23</v>
      </c>
      <c r="B62" s="52" t="s">
        <v>456</v>
      </c>
      <c r="C62" s="52">
        <v>23</v>
      </c>
      <c r="D62" s="52" t="s">
        <v>637</v>
      </c>
      <c r="E62" s="52" t="s">
        <v>646</v>
      </c>
      <c r="M62" s="82"/>
    </row>
    <row r="63" spans="1:17" ht="14.25" customHeight="1">
      <c r="A63" s="52" t="s">
        <v>23</v>
      </c>
      <c r="B63" s="60" t="s">
        <v>810</v>
      </c>
      <c r="C63" s="52">
        <v>17</v>
      </c>
      <c r="D63" s="52" t="s">
        <v>647</v>
      </c>
      <c r="E63" s="52" t="s">
        <v>582</v>
      </c>
      <c r="N63" s="82"/>
    </row>
    <row r="64" spans="1:17" ht="14.25" customHeight="1">
      <c r="A64" s="52" t="s">
        <v>23</v>
      </c>
      <c r="B64" s="60" t="s">
        <v>470</v>
      </c>
      <c r="C64" s="52">
        <v>3</v>
      </c>
      <c r="D64" s="52" t="s">
        <v>585</v>
      </c>
      <c r="E64" s="52" t="s">
        <v>585</v>
      </c>
      <c r="N64" s="82"/>
    </row>
    <row r="65" spans="1:15" ht="14.25" customHeight="1">
      <c r="A65" s="52" t="s">
        <v>23</v>
      </c>
      <c r="B65" s="52" t="s">
        <v>472</v>
      </c>
      <c r="C65" s="52">
        <v>2</v>
      </c>
      <c r="D65" s="52" t="s">
        <v>648</v>
      </c>
      <c r="E65" s="52" t="s">
        <v>648</v>
      </c>
      <c r="N65" s="82"/>
    </row>
    <row r="66" spans="1:15" ht="14.25" customHeight="1">
      <c r="A66" s="52" t="s">
        <v>23</v>
      </c>
      <c r="B66" s="60" t="s">
        <v>473</v>
      </c>
      <c r="C66" s="52">
        <v>2</v>
      </c>
      <c r="D66" s="52" t="s">
        <v>649</v>
      </c>
      <c r="E66" s="52" t="s">
        <v>649</v>
      </c>
      <c r="O66" s="82"/>
    </row>
    <row r="67" spans="1:15" ht="14.25" customHeight="1">
      <c r="A67" s="52" t="s">
        <v>23</v>
      </c>
      <c r="B67" s="52" t="s">
        <v>474</v>
      </c>
      <c r="C67" s="52">
        <v>1</v>
      </c>
      <c r="D67" s="52" t="s">
        <v>592</v>
      </c>
      <c r="E67" s="52" t="s">
        <v>592</v>
      </c>
      <c r="O67" s="82"/>
    </row>
    <row r="68" spans="1:15" ht="14.25" customHeight="1">
      <c r="A68" s="52" t="s">
        <v>23</v>
      </c>
      <c r="B68" s="60" t="s">
        <v>813</v>
      </c>
      <c r="C68" s="52">
        <v>1</v>
      </c>
      <c r="D68" s="52" t="s">
        <v>593</v>
      </c>
      <c r="E68" s="52" t="s">
        <v>593</v>
      </c>
      <c r="O68" s="82"/>
    </row>
    <row r="69" spans="1:15" ht="14.25" customHeight="1">
      <c r="A69" s="52" t="s">
        <v>23</v>
      </c>
      <c r="B69" s="60" t="s">
        <v>814</v>
      </c>
      <c r="C69" s="52">
        <v>1</v>
      </c>
      <c r="D69" s="52" t="s">
        <v>583</v>
      </c>
      <c r="E69" s="52" t="s">
        <v>583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581</v>
      </c>
      <c r="E70" s="52" t="s">
        <v>632</v>
      </c>
      <c r="J70" s="83"/>
      <c r="K70" s="83"/>
      <c r="L70" s="83"/>
    </row>
    <row r="71" spans="1:15" ht="14.25" customHeight="1">
      <c r="A71" s="52" t="s">
        <v>24</v>
      </c>
      <c r="B71" s="60" t="s">
        <v>493</v>
      </c>
      <c r="C71" s="52">
        <v>23</v>
      </c>
      <c r="D71" s="52" t="s">
        <v>633</v>
      </c>
      <c r="E71" s="52" t="s">
        <v>590</v>
      </c>
      <c r="L71" s="83"/>
    </row>
    <row r="72" spans="1:15" ht="14.25" customHeight="1">
      <c r="A72" s="52" t="s">
        <v>24</v>
      </c>
      <c r="B72" s="52" t="s">
        <v>501</v>
      </c>
      <c r="C72" s="52">
        <v>3</v>
      </c>
      <c r="D72" s="52" t="s">
        <v>591</v>
      </c>
      <c r="E72" s="52" t="s">
        <v>591</v>
      </c>
      <c r="M72" s="83"/>
    </row>
    <row r="73" spans="1:15" ht="14.25" customHeight="1">
      <c r="A73" s="52" t="s">
        <v>24</v>
      </c>
      <c r="B73" s="52" t="s">
        <v>502</v>
      </c>
      <c r="C73" s="52">
        <v>3</v>
      </c>
      <c r="D73" s="52" t="s">
        <v>637</v>
      </c>
      <c r="E73" s="52" t="s">
        <v>637</v>
      </c>
      <c r="M73" s="83"/>
    </row>
    <row r="74" spans="1:15" ht="14.25" customHeight="1">
      <c r="A74" s="52" t="s">
        <v>24</v>
      </c>
      <c r="B74" s="52" t="s">
        <v>503</v>
      </c>
      <c r="C74" s="52">
        <v>2</v>
      </c>
      <c r="D74" s="52" t="s">
        <v>638</v>
      </c>
      <c r="E74" s="52" t="s">
        <v>638</v>
      </c>
      <c r="M74" s="83"/>
    </row>
    <row r="75" spans="1:15" ht="14.25" customHeight="1">
      <c r="A75" s="52" t="s">
        <v>24</v>
      </c>
      <c r="B75" s="52" t="s">
        <v>504</v>
      </c>
      <c r="C75" s="52">
        <v>2</v>
      </c>
      <c r="D75" s="52" t="s">
        <v>639</v>
      </c>
      <c r="E75" s="52" t="s">
        <v>639</v>
      </c>
      <c r="M75" s="83"/>
    </row>
    <row r="76" spans="1:15" ht="14.25" customHeight="1">
      <c r="A76" s="52" t="s">
        <v>24</v>
      </c>
      <c r="B76" s="52" t="s">
        <v>506</v>
      </c>
      <c r="C76" s="52">
        <v>2</v>
      </c>
      <c r="D76" s="52" t="s">
        <v>576</v>
      </c>
      <c r="E76" s="52" t="s">
        <v>576</v>
      </c>
      <c r="M76" s="83"/>
    </row>
    <row r="77" spans="1:15" ht="14.25" customHeight="1">
      <c r="A77" s="52" t="s">
        <v>24</v>
      </c>
      <c r="B77" s="52" t="s">
        <v>508</v>
      </c>
      <c r="C77" s="52">
        <v>2</v>
      </c>
      <c r="D77" s="52" t="s">
        <v>640</v>
      </c>
      <c r="E77" s="52" t="s">
        <v>640</v>
      </c>
      <c r="M77" s="83"/>
    </row>
    <row r="78" spans="1:15" ht="14.25" customHeight="1">
      <c r="A78" s="52" t="s">
        <v>24</v>
      </c>
      <c r="B78" s="52" t="s">
        <v>509</v>
      </c>
      <c r="C78" s="52">
        <v>2</v>
      </c>
      <c r="D78" s="52" t="s">
        <v>646</v>
      </c>
      <c r="E78" s="52" t="s">
        <v>646</v>
      </c>
      <c r="M78" s="83"/>
    </row>
    <row r="79" spans="1:15" ht="14.25" customHeight="1">
      <c r="A79" s="52" t="s">
        <v>24</v>
      </c>
      <c r="B79" s="52" t="s">
        <v>511</v>
      </c>
      <c r="C79" s="52">
        <v>2</v>
      </c>
      <c r="D79" s="52" t="s">
        <v>647</v>
      </c>
      <c r="E79" s="52" t="s">
        <v>647</v>
      </c>
      <c r="N79" s="83"/>
    </row>
    <row r="80" spans="1:15" ht="14.25" customHeight="1">
      <c r="A80" s="52" t="s">
        <v>24</v>
      </c>
      <c r="B80" s="52" t="s">
        <v>512</v>
      </c>
      <c r="C80" s="52">
        <v>2</v>
      </c>
      <c r="D80" s="52" t="s">
        <v>650</v>
      </c>
      <c r="E80" s="52" t="s">
        <v>650</v>
      </c>
      <c r="N80" s="83"/>
    </row>
    <row r="81" spans="1:14" ht="14.25" customHeight="1">
      <c r="A81" s="52" t="s">
        <v>24</v>
      </c>
      <c r="B81" s="52" t="s">
        <v>514</v>
      </c>
      <c r="C81" s="52">
        <v>2</v>
      </c>
      <c r="D81" s="52" t="s">
        <v>651</v>
      </c>
      <c r="E81" s="52" t="s">
        <v>651</v>
      </c>
      <c r="N81" s="83"/>
    </row>
    <row r="82" spans="1:14" ht="14.25" customHeight="1">
      <c r="A82" s="52" t="s">
        <v>24</v>
      </c>
      <c r="B82" s="52" t="s">
        <v>516</v>
      </c>
      <c r="C82" s="52">
        <v>2</v>
      </c>
      <c r="D82" s="52" t="s">
        <v>652</v>
      </c>
      <c r="E82" s="52" t="s">
        <v>652</v>
      </c>
      <c r="N82" s="83"/>
    </row>
    <row r="83" spans="1:14" ht="14.25" customHeight="1">
      <c r="A83" s="52" t="s">
        <v>24</v>
      </c>
      <c r="B83" s="52" t="s">
        <v>518</v>
      </c>
      <c r="C83" s="52">
        <v>2</v>
      </c>
      <c r="D83" s="52" t="s">
        <v>582</v>
      </c>
      <c r="E83" s="52" t="s">
        <v>582</v>
      </c>
      <c r="N83" s="83"/>
    </row>
    <row r="84" spans="1:14" ht="14.25" customHeight="1">
      <c r="A84" s="52" t="s">
        <v>24</v>
      </c>
      <c r="B84" s="52" t="s">
        <v>520</v>
      </c>
      <c r="C84" s="52">
        <v>1</v>
      </c>
      <c r="D84" s="52" t="s">
        <v>585</v>
      </c>
      <c r="E84" s="52" t="s">
        <v>582</v>
      </c>
      <c r="N84" s="83"/>
    </row>
    <row r="85" spans="1:14" ht="14.25" customHeight="1">
      <c r="A85" s="52" t="s">
        <v>25</v>
      </c>
      <c r="B85" s="52" t="s">
        <v>522</v>
      </c>
      <c r="C85" s="52">
        <v>50</v>
      </c>
      <c r="D85" s="52" t="s">
        <v>581</v>
      </c>
      <c r="E85" s="52" t="s">
        <v>634</v>
      </c>
      <c r="J85" s="84"/>
      <c r="K85" s="84"/>
      <c r="L85" s="84"/>
    </row>
    <row r="86" spans="1:14" ht="14.25" customHeight="1">
      <c r="A86" s="52" t="s">
        <v>25</v>
      </c>
      <c r="B86" s="52" t="s">
        <v>532</v>
      </c>
      <c r="C86" s="52">
        <v>16</v>
      </c>
      <c r="D86" s="52" t="s">
        <v>635</v>
      </c>
      <c r="E86" s="52" t="s">
        <v>590</v>
      </c>
      <c r="L86" s="84"/>
    </row>
    <row r="87" spans="1:14" ht="14.25" customHeight="1">
      <c r="A87" s="52" t="s">
        <v>25</v>
      </c>
      <c r="B87" s="52" t="s">
        <v>537</v>
      </c>
      <c r="C87" s="52">
        <v>15</v>
      </c>
      <c r="D87" s="52" t="s">
        <v>591</v>
      </c>
      <c r="E87" s="52" t="s">
        <v>639</v>
      </c>
      <c r="M87" s="84"/>
    </row>
    <row r="88" spans="1:14" ht="14.25" customHeight="1">
      <c r="A88" s="52" t="s">
        <v>25</v>
      </c>
      <c r="B88" s="52" t="s">
        <v>542</v>
      </c>
      <c r="C88" s="52">
        <v>7</v>
      </c>
      <c r="D88" s="52" t="s">
        <v>576</v>
      </c>
      <c r="E88" s="52" t="s">
        <v>576</v>
      </c>
      <c r="M88" s="84"/>
    </row>
    <row r="89" spans="1:14" ht="14.25" customHeight="1">
      <c r="A89" s="52" t="s">
        <v>25</v>
      </c>
      <c r="B89" s="52" t="s">
        <v>544</v>
      </c>
      <c r="C89" s="52">
        <v>6</v>
      </c>
      <c r="D89" s="52" t="s">
        <v>640</v>
      </c>
      <c r="E89" s="52" t="s">
        <v>640</v>
      </c>
      <c r="M89" s="84"/>
    </row>
    <row r="90" spans="1:14" ht="14.25" customHeight="1">
      <c r="A90" s="52" t="s">
        <v>25</v>
      </c>
      <c r="B90" s="52" t="s">
        <v>547</v>
      </c>
      <c r="C90" s="52">
        <v>5</v>
      </c>
      <c r="D90" s="52" t="s">
        <v>646</v>
      </c>
      <c r="E90" s="52" t="s">
        <v>646</v>
      </c>
      <c r="M90" s="84"/>
    </row>
    <row r="91" spans="1:14" ht="14.25" customHeight="1">
      <c r="A91" s="52" t="s">
        <v>25</v>
      </c>
      <c r="B91" s="52" t="s">
        <v>550</v>
      </c>
      <c r="C91" s="52">
        <v>4</v>
      </c>
      <c r="D91" s="52" t="s">
        <v>647</v>
      </c>
      <c r="E91" s="52" t="s">
        <v>647</v>
      </c>
      <c r="N91" s="84"/>
    </row>
    <row r="92" spans="1:14" ht="14.25" customHeight="1">
      <c r="A92" s="52" t="s">
        <v>25</v>
      </c>
      <c r="B92" s="60" t="s">
        <v>553</v>
      </c>
      <c r="C92" s="52">
        <v>4</v>
      </c>
      <c r="D92" s="52" t="s">
        <v>650</v>
      </c>
      <c r="E92" s="52" t="s">
        <v>650</v>
      </c>
      <c r="N92" s="84"/>
    </row>
    <row r="93" spans="1:14" ht="14.25" customHeight="1">
      <c r="A93" s="52" t="s">
        <v>25</v>
      </c>
      <c r="B93" s="52" t="s">
        <v>557</v>
      </c>
      <c r="C93" s="52">
        <v>2</v>
      </c>
      <c r="D93" s="52" t="s">
        <v>651</v>
      </c>
      <c r="E93" s="52" t="s">
        <v>651</v>
      </c>
      <c r="N93" s="84"/>
    </row>
    <row r="94" spans="1:14" ht="14.25" customHeight="1">
      <c r="A94" s="52" t="s">
        <v>25</v>
      </c>
      <c r="B94" s="52" t="s">
        <v>558</v>
      </c>
      <c r="C94" s="52">
        <v>2</v>
      </c>
      <c r="D94" s="52" t="s">
        <v>652</v>
      </c>
      <c r="E94" s="52" t="s">
        <v>652</v>
      </c>
      <c r="N94" s="84"/>
    </row>
    <row r="95" spans="1:14" ht="14.25" customHeight="1">
      <c r="A95" s="52" t="s">
        <v>25</v>
      </c>
      <c r="B95" s="60" t="s">
        <v>815</v>
      </c>
      <c r="C95" s="52">
        <v>2</v>
      </c>
      <c r="D95" s="52" t="s">
        <v>582</v>
      </c>
      <c r="E95" s="52" t="s">
        <v>582</v>
      </c>
      <c r="N95" s="84"/>
    </row>
    <row r="96" spans="1:14" ht="14.25" customHeight="1">
      <c r="A96" s="52" t="s">
        <v>25</v>
      </c>
      <c r="B96" s="60" t="s">
        <v>561</v>
      </c>
      <c r="C96" s="52">
        <v>1</v>
      </c>
      <c r="D96" s="52" t="s">
        <v>585</v>
      </c>
      <c r="E96" s="52" t="s">
        <v>585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584</v>
      </c>
      <c r="E97" s="52" t="s">
        <v>650</v>
      </c>
      <c r="L97" s="85"/>
      <c r="M97" s="85"/>
      <c r="N97" s="85"/>
    </row>
    <row r="98" spans="1:14" ht="14.25" customHeight="1">
      <c r="A98" s="52" t="s">
        <v>26</v>
      </c>
      <c r="B98" s="52" t="s">
        <v>563</v>
      </c>
      <c r="C98" s="52">
        <v>2</v>
      </c>
      <c r="D98" s="52" t="s">
        <v>651</v>
      </c>
      <c r="E98" s="52" t="s">
        <v>585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816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784</v>
      </c>
    </row>
    <row r="3" spans="1:26" ht="14.25" customHeight="1">
      <c r="F3" s="78" t="s">
        <v>785</v>
      </c>
      <c r="G3" s="78" t="s">
        <v>785</v>
      </c>
      <c r="H3" s="78" t="s">
        <v>785</v>
      </c>
      <c r="I3" s="78" t="s">
        <v>786</v>
      </c>
      <c r="J3" s="78" t="s">
        <v>786</v>
      </c>
      <c r="K3" s="78" t="s">
        <v>786</v>
      </c>
      <c r="L3" s="78" t="s">
        <v>786</v>
      </c>
      <c r="M3" s="78" t="s">
        <v>787</v>
      </c>
      <c r="N3" s="78" t="s">
        <v>787</v>
      </c>
      <c r="O3" s="78" t="s">
        <v>787</v>
      </c>
      <c r="P3" s="78" t="s">
        <v>787</v>
      </c>
      <c r="Q3" s="78" t="s">
        <v>788</v>
      </c>
      <c r="R3" s="78" t="s">
        <v>788</v>
      </c>
      <c r="S3" s="78" t="s">
        <v>788</v>
      </c>
      <c r="T3" s="78" t="s">
        <v>788</v>
      </c>
      <c r="U3" s="78" t="s">
        <v>788</v>
      </c>
      <c r="V3" s="78" t="s">
        <v>789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817</v>
      </c>
      <c r="E4" s="48" t="s">
        <v>791</v>
      </c>
      <c r="F4" s="48" t="s">
        <v>793</v>
      </c>
      <c r="G4" s="48" t="s">
        <v>794</v>
      </c>
      <c r="H4" s="48" t="s">
        <v>795</v>
      </c>
      <c r="I4" s="48" t="s">
        <v>796</v>
      </c>
      <c r="J4" s="48" t="s">
        <v>793</v>
      </c>
      <c r="K4" s="48" t="s">
        <v>794</v>
      </c>
      <c r="L4" s="48" t="s">
        <v>795</v>
      </c>
      <c r="M4" s="48" t="s">
        <v>797</v>
      </c>
      <c r="N4" s="48" t="s">
        <v>798</v>
      </c>
      <c r="O4" s="48" t="s">
        <v>799</v>
      </c>
      <c r="P4" s="48" t="s">
        <v>800</v>
      </c>
      <c r="Q4" s="48" t="s">
        <v>801</v>
      </c>
      <c r="R4" s="48" t="s">
        <v>802</v>
      </c>
      <c r="S4" s="48" t="s">
        <v>803</v>
      </c>
      <c r="T4" s="48" t="s">
        <v>804</v>
      </c>
      <c r="U4" s="48" t="s">
        <v>805</v>
      </c>
      <c r="V4" s="48" t="s">
        <v>806</v>
      </c>
    </row>
    <row r="5" spans="1:26" ht="14.25" customHeight="1">
      <c r="A5" s="52" t="s">
        <v>20</v>
      </c>
      <c r="B5" s="60" t="s">
        <v>818</v>
      </c>
      <c r="C5" s="52" t="s">
        <v>73</v>
      </c>
      <c r="D5" s="52">
        <v>219</v>
      </c>
      <c r="E5" s="52" t="s">
        <v>819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344</v>
      </c>
      <c r="C6" s="52" t="s">
        <v>73</v>
      </c>
      <c r="D6" s="52">
        <v>44</v>
      </c>
      <c r="E6" s="52" t="s">
        <v>820</v>
      </c>
      <c r="H6" s="81"/>
      <c r="I6" s="81"/>
    </row>
    <row r="7" spans="1:26" ht="14.25" customHeight="1">
      <c r="A7" s="52" t="s">
        <v>22</v>
      </c>
      <c r="B7" s="52" t="s">
        <v>401</v>
      </c>
      <c r="C7" s="52" t="s">
        <v>402</v>
      </c>
      <c r="D7" s="52">
        <v>39</v>
      </c>
      <c r="E7" s="52" t="s">
        <v>821</v>
      </c>
      <c r="O7" s="81"/>
      <c r="P7" s="81"/>
    </row>
    <row r="8" spans="1:26" ht="14.25" customHeight="1">
      <c r="A8" s="52" t="s">
        <v>22</v>
      </c>
      <c r="B8" s="52" t="s">
        <v>405</v>
      </c>
      <c r="C8" s="52" t="s">
        <v>406</v>
      </c>
      <c r="D8" s="52">
        <v>37</v>
      </c>
      <c r="E8" s="52" t="s">
        <v>822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73</v>
      </c>
      <c r="D9" s="52">
        <v>25</v>
      </c>
      <c r="E9" s="52" t="s">
        <v>823</v>
      </c>
      <c r="J9" s="83"/>
      <c r="K9" s="83"/>
    </row>
    <row r="10" spans="1:26" ht="14.25" customHeight="1">
      <c r="A10" s="52" t="s">
        <v>20</v>
      </c>
      <c r="B10" s="52" t="s">
        <v>188</v>
      </c>
      <c r="C10" s="52" t="s">
        <v>192</v>
      </c>
      <c r="D10" s="52">
        <v>24</v>
      </c>
      <c r="E10" s="52" t="s">
        <v>824</v>
      </c>
      <c r="P10" s="79"/>
      <c r="Q10" s="79"/>
    </row>
    <row r="11" spans="1:26" ht="14.25" customHeight="1">
      <c r="A11" s="52" t="s">
        <v>21</v>
      </c>
      <c r="B11" s="60" t="s">
        <v>250</v>
      </c>
      <c r="C11" s="52" t="s">
        <v>73</v>
      </c>
      <c r="D11" s="52">
        <v>24</v>
      </c>
      <c r="E11" s="52" t="s">
        <v>825</v>
      </c>
      <c r="G11" s="80"/>
    </row>
    <row r="12" spans="1:26" ht="14.25" customHeight="1">
      <c r="A12" s="52" t="s">
        <v>20</v>
      </c>
      <c r="B12" s="52" t="s">
        <v>116</v>
      </c>
      <c r="C12" s="52" t="s">
        <v>20</v>
      </c>
      <c r="D12" s="52">
        <v>21</v>
      </c>
      <c r="E12" s="52" t="s">
        <v>826</v>
      </c>
      <c r="M12" s="79"/>
    </row>
    <row r="13" spans="1:26" ht="14.25" customHeight="1">
      <c r="A13" s="52" t="s">
        <v>20</v>
      </c>
      <c r="B13" s="52" t="s">
        <v>188</v>
      </c>
      <c r="C13" s="52" t="s">
        <v>73</v>
      </c>
      <c r="D13" s="52">
        <v>19</v>
      </c>
      <c r="E13" s="52" t="s">
        <v>827</v>
      </c>
      <c r="Q13" s="79"/>
    </row>
    <row r="14" spans="1:26" ht="14.25" customHeight="1">
      <c r="A14" s="52" t="s">
        <v>25</v>
      </c>
      <c r="B14" s="52" t="s">
        <v>522</v>
      </c>
      <c r="C14" s="52" t="s">
        <v>73</v>
      </c>
      <c r="D14" s="52">
        <v>18</v>
      </c>
      <c r="E14" s="52" t="s">
        <v>823</v>
      </c>
      <c r="J14" s="84"/>
    </row>
    <row r="15" spans="1:26" ht="14.25" customHeight="1">
      <c r="A15" s="52" t="s">
        <v>20</v>
      </c>
      <c r="B15" s="52" t="s">
        <v>116</v>
      </c>
      <c r="C15" s="52" t="s">
        <v>23</v>
      </c>
      <c r="D15" s="52">
        <v>17</v>
      </c>
      <c r="E15" s="52" t="s">
        <v>826</v>
      </c>
      <c r="M15" s="79"/>
    </row>
    <row r="16" spans="1:26" ht="14.25" customHeight="1">
      <c r="A16" s="52" t="s">
        <v>21</v>
      </c>
      <c r="B16" s="60" t="s">
        <v>250</v>
      </c>
      <c r="C16" s="52" t="s">
        <v>252</v>
      </c>
      <c r="D16" s="52">
        <v>12</v>
      </c>
      <c r="E16" s="52" t="s">
        <v>828</v>
      </c>
      <c r="G16" s="80"/>
    </row>
    <row r="17" spans="1:20" ht="14.25" customHeight="1">
      <c r="A17" s="52" t="s">
        <v>25</v>
      </c>
      <c r="B17" s="52" t="s">
        <v>522</v>
      </c>
      <c r="C17" s="52" t="s">
        <v>530</v>
      </c>
      <c r="D17" s="52">
        <v>12</v>
      </c>
      <c r="E17" s="52" t="s">
        <v>829</v>
      </c>
      <c r="J17" s="84"/>
    </row>
    <row r="18" spans="1:20" ht="14.25" customHeight="1">
      <c r="A18" s="52" t="s">
        <v>20</v>
      </c>
      <c r="B18" s="60" t="s">
        <v>830</v>
      </c>
      <c r="C18" s="52" t="s">
        <v>73</v>
      </c>
      <c r="D18" s="52">
        <v>11</v>
      </c>
      <c r="E18" s="52" t="s">
        <v>831</v>
      </c>
      <c r="S18" s="79"/>
    </row>
    <row r="19" spans="1:20" ht="14.25" customHeight="1">
      <c r="A19" s="52" t="s">
        <v>23</v>
      </c>
      <c r="B19" s="60" t="s">
        <v>830</v>
      </c>
      <c r="C19" s="52" t="s">
        <v>73</v>
      </c>
      <c r="D19" s="52">
        <v>11</v>
      </c>
      <c r="E19" s="52" t="s">
        <v>832</v>
      </c>
      <c r="N19" s="82"/>
    </row>
    <row r="20" spans="1:20" ht="14.25" customHeight="1">
      <c r="A20" s="52" t="s">
        <v>20</v>
      </c>
      <c r="B20" s="60" t="s">
        <v>818</v>
      </c>
      <c r="C20" s="52" t="s">
        <v>86</v>
      </c>
      <c r="D20" s="52">
        <v>10</v>
      </c>
      <c r="E20" s="52" t="s">
        <v>833</v>
      </c>
      <c r="F20" s="79"/>
    </row>
    <row r="21" spans="1:20" ht="14.25" customHeight="1">
      <c r="A21" s="52" t="s">
        <v>20</v>
      </c>
      <c r="B21" s="60" t="s">
        <v>834</v>
      </c>
      <c r="C21" s="52" t="s">
        <v>835</v>
      </c>
      <c r="D21" s="52">
        <v>10</v>
      </c>
      <c r="E21" s="52" t="s">
        <v>836</v>
      </c>
      <c r="S21" s="79"/>
    </row>
    <row r="22" spans="1:20" ht="14.25" customHeight="1">
      <c r="A22" s="52" t="s">
        <v>20</v>
      </c>
      <c r="B22" s="60" t="s">
        <v>834</v>
      </c>
      <c r="C22" s="52" t="s">
        <v>73</v>
      </c>
      <c r="D22" s="52">
        <v>10</v>
      </c>
      <c r="E22" s="52" t="s">
        <v>837</v>
      </c>
      <c r="T22" s="79"/>
    </row>
    <row r="23" spans="1:20" ht="14.25" customHeight="1">
      <c r="A23" s="52" t="s">
        <v>21</v>
      </c>
      <c r="B23" s="60" t="s">
        <v>250</v>
      </c>
      <c r="C23" s="52" t="s">
        <v>192</v>
      </c>
      <c r="D23" s="52">
        <v>10</v>
      </c>
      <c r="E23" s="52" t="s">
        <v>838</v>
      </c>
      <c r="G23" s="80"/>
    </row>
    <row r="24" spans="1:20" ht="14.25" customHeight="1">
      <c r="A24" s="52" t="s">
        <v>20</v>
      </c>
      <c r="B24" s="60" t="s">
        <v>834</v>
      </c>
      <c r="C24" s="52" t="s">
        <v>73</v>
      </c>
      <c r="D24" s="52">
        <v>9</v>
      </c>
      <c r="E24" s="52" t="s">
        <v>839</v>
      </c>
      <c r="S24" s="79"/>
    </row>
    <row r="25" spans="1:20" ht="14.25" customHeight="1">
      <c r="A25" s="52" t="s">
        <v>20</v>
      </c>
      <c r="B25" s="60" t="s">
        <v>834</v>
      </c>
      <c r="C25" s="52" t="s">
        <v>73</v>
      </c>
      <c r="D25" s="52">
        <v>9</v>
      </c>
      <c r="E25" s="52" t="s">
        <v>840</v>
      </c>
      <c r="T25" s="79"/>
    </row>
    <row r="26" spans="1:20" ht="14.25" customHeight="1">
      <c r="A26" s="52" t="s">
        <v>21</v>
      </c>
      <c r="B26" s="60" t="s">
        <v>273</v>
      </c>
      <c r="C26" s="52" t="s">
        <v>690</v>
      </c>
      <c r="D26" s="52">
        <v>9</v>
      </c>
      <c r="E26" s="52" t="s">
        <v>841</v>
      </c>
      <c r="I26" s="80"/>
    </row>
    <row r="27" spans="1:20" ht="14.25" customHeight="1">
      <c r="A27" s="52" t="s">
        <v>22</v>
      </c>
      <c r="B27" s="60" t="s">
        <v>344</v>
      </c>
      <c r="C27" s="52" t="s">
        <v>362</v>
      </c>
      <c r="D27" s="52">
        <v>9</v>
      </c>
      <c r="E27" s="52" t="s">
        <v>820</v>
      </c>
      <c r="H27" s="81"/>
    </row>
    <row r="28" spans="1:20" ht="14.25" customHeight="1">
      <c r="A28" s="52" t="s">
        <v>20</v>
      </c>
      <c r="B28" s="60" t="s">
        <v>818</v>
      </c>
      <c r="C28" s="52" t="s">
        <v>87</v>
      </c>
      <c r="D28" s="52">
        <v>8</v>
      </c>
      <c r="E28" s="52" t="s">
        <v>842</v>
      </c>
      <c r="F28" s="79"/>
    </row>
    <row r="29" spans="1:20" ht="14.25" customHeight="1">
      <c r="A29" s="52" t="s">
        <v>20</v>
      </c>
      <c r="B29" s="52" t="s">
        <v>188</v>
      </c>
      <c r="C29" s="60" t="s">
        <v>843</v>
      </c>
      <c r="D29" s="52">
        <v>8</v>
      </c>
      <c r="E29" s="52" t="s">
        <v>844</v>
      </c>
      <c r="Q29" s="79"/>
    </row>
    <row r="30" spans="1:20" ht="14.25" customHeight="1">
      <c r="A30" s="52" t="s">
        <v>21</v>
      </c>
      <c r="B30" s="60" t="s">
        <v>283</v>
      </c>
      <c r="C30" s="52" t="s">
        <v>279</v>
      </c>
      <c r="D30" s="52">
        <v>8</v>
      </c>
      <c r="E30" s="52" t="s">
        <v>829</v>
      </c>
      <c r="J30" s="80"/>
    </row>
    <row r="31" spans="1:20" ht="14.25" customHeight="1">
      <c r="A31" s="52" t="s">
        <v>25</v>
      </c>
      <c r="B31" s="52" t="s">
        <v>532</v>
      </c>
      <c r="C31" s="52" t="s">
        <v>73</v>
      </c>
      <c r="D31" s="52">
        <v>8</v>
      </c>
      <c r="E31" s="52" t="s">
        <v>845</v>
      </c>
      <c r="L31" s="84"/>
    </row>
    <row r="32" spans="1:20" ht="14.25" customHeight="1">
      <c r="A32" s="52" t="s">
        <v>20</v>
      </c>
      <c r="B32" s="60" t="s">
        <v>818</v>
      </c>
      <c r="C32" s="52" t="s">
        <v>95</v>
      </c>
      <c r="D32" s="52">
        <v>7</v>
      </c>
      <c r="E32" s="52" t="s">
        <v>846</v>
      </c>
      <c r="F32" s="79"/>
    </row>
    <row r="33" spans="1:20" ht="14.25" customHeight="1">
      <c r="A33" s="52" t="s">
        <v>20</v>
      </c>
      <c r="B33" s="60" t="s">
        <v>818</v>
      </c>
      <c r="C33" s="60" t="s">
        <v>847</v>
      </c>
      <c r="D33" s="52">
        <v>7</v>
      </c>
      <c r="E33" s="52" t="s">
        <v>848</v>
      </c>
      <c r="G33" s="79"/>
    </row>
    <row r="34" spans="1:20" ht="14.25" customHeight="1">
      <c r="A34" s="52" t="s">
        <v>21</v>
      </c>
      <c r="B34" s="60" t="s">
        <v>273</v>
      </c>
      <c r="C34" s="52" t="s">
        <v>276</v>
      </c>
      <c r="D34" s="52">
        <v>7</v>
      </c>
      <c r="E34" s="52" t="s">
        <v>849</v>
      </c>
      <c r="I34" s="80"/>
    </row>
    <row r="35" spans="1:20" ht="14.25" customHeight="1">
      <c r="A35" s="52" t="s">
        <v>21</v>
      </c>
      <c r="B35" s="60" t="s">
        <v>278</v>
      </c>
      <c r="C35" s="52" t="s">
        <v>281</v>
      </c>
      <c r="D35" s="52">
        <v>7</v>
      </c>
      <c r="E35" s="52" t="s">
        <v>850</v>
      </c>
      <c r="J35" s="80"/>
    </row>
    <row r="36" spans="1:20" ht="14.25" customHeight="1">
      <c r="A36" s="52" t="s">
        <v>20</v>
      </c>
      <c r="B36" s="60" t="s">
        <v>818</v>
      </c>
      <c r="C36" s="52" t="s">
        <v>93</v>
      </c>
      <c r="D36" s="52">
        <v>6</v>
      </c>
      <c r="E36" s="52" t="s">
        <v>828</v>
      </c>
      <c r="G36" s="79"/>
    </row>
    <row r="37" spans="1:20" ht="14.25" customHeight="1">
      <c r="A37" s="52" t="s">
        <v>20</v>
      </c>
      <c r="B37" s="60" t="s">
        <v>818</v>
      </c>
      <c r="C37" s="52" t="s">
        <v>851</v>
      </c>
      <c r="D37" s="52">
        <v>6</v>
      </c>
      <c r="E37" s="52" t="s">
        <v>852</v>
      </c>
      <c r="G37" s="79"/>
    </row>
    <row r="38" spans="1:20" ht="14.25" customHeight="1">
      <c r="A38" s="52" t="s">
        <v>20</v>
      </c>
      <c r="B38" s="60" t="s">
        <v>834</v>
      </c>
      <c r="C38" s="52" t="s">
        <v>73</v>
      </c>
      <c r="D38" s="52">
        <v>6</v>
      </c>
      <c r="E38" s="52" t="s">
        <v>853</v>
      </c>
      <c r="T38" s="79"/>
    </row>
    <row r="39" spans="1:20" ht="14.25" customHeight="1">
      <c r="A39" s="52" t="s">
        <v>21</v>
      </c>
      <c r="B39" s="60" t="s">
        <v>250</v>
      </c>
      <c r="C39" s="52" t="s">
        <v>854</v>
      </c>
      <c r="D39" s="52">
        <v>6</v>
      </c>
      <c r="E39" s="52" t="s">
        <v>855</v>
      </c>
      <c r="G39" s="80"/>
    </row>
    <row r="40" spans="1:20" ht="14.25" customHeight="1">
      <c r="A40" s="52" t="s">
        <v>22</v>
      </c>
      <c r="B40" s="60" t="s">
        <v>344</v>
      </c>
      <c r="C40" s="52" t="s">
        <v>856</v>
      </c>
      <c r="D40" s="52">
        <v>6</v>
      </c>
      <c r="E40" s="52" t="s">
        <v>857</v>
      </c>
      <c r="H40" s="81"/>
    </row>
    <row r="41" spans="1:20" ht="14.25" customHeight="1">
      <c r="A41" s="52" t="s">
        <v>22</v>
      </c>
      <c r="B41" s="60" t="s">
        <v>344</v>
      </c>
      <c r="C41" s="52" t="s">
        <v>858</v>
      </c>
      <c r="D41" s="52">
        <v>6</v>
      </c>
      <c r="E41" s="52" t="s">
        <v>859</v>
      </c>
      <c r="H41" s="81"/>
    </row>
    <row r="42" spans="1:20" ht="14.25" customHeight="1">
      <c r="A42" s="52" t="s">
        <v>22</v>
      </c>
      <c r="B42" s="60" t="s">
        <v>344</v>
      </c>
      <c r="C42" s="52" t="s">
        <v>364</v>
      </c>
      <c r="D42" s="52">
        <v>6</v>
      </c>
      <c r="E42" s="52" t="s">
        <v>860</v>
      </c>
      <c r="H42" s="81"/>
    </row>
    <row r="43" spans="1:20" ht="14.25" customHeight="1">
      <c r="A43" s="52" t="s">
        <v>22</v>
      </c>
      <c r="B43" s="60" t="s">
        <v>344</v>
      </c>
      <c r="C43" s="52" t="s">
        <v>861</v>
      </c>
      <c r="D43" s="52">
        <v>6</v>
      </c>
      <c r="E43" s="52" t="s">
        <v>862</v>
      </c>
      <c r="H43" s="81"/>
    </row>
    <row r="44" spans="1:20" ht="14.25" customHeight="1">
      <c r="A44" s="52" t="s">
        <v>22</v>
      </c>
      <c r="B44" s="60" t="s">
        <v>344</v>
      </c>
      <c r="C44" s="52" t="s">
        <v>357</v>
      </c>
      <c r="D44" s="52">
        <v>6</v>
      </c>
      <c r="E44" s="52" t="s">
        <v>863</v>
      </c>
      <c r="H44" s="81"/>
    </row>
    <row r="45" spans="1:20" ht="14.25" customHeight="1">
      <c r="A45" s="52" t="s">
        <v>22</v>
      </c>
      <c r="B45" s="60" t="s">
        <v>344</v>
      </c>
      <c r="C45" s="52" t="s">
        <v>864</v>
      </c>
      <c r="D45" s="52">
        <v>6</v>
      </c>
      <c r="E45" s="52" t="s">
        <v>865</v>
      </c>
      <c r="I45" s="81"/>
    </row>
    <row r="46" spans="1:20" ht="14.25" customHeight="1">
      <c r="A46" s="52" t="s">
        <v>22</v>
      </c>
      <c r="B46" s="60" t="s">
        <v>344</v>
      </c>
      <c r="C46" s="52" t="s">
        <v>363</v>
      </c>
      <c r="D46" s="52">
        <v>6</v>
      </c>
      <c r="E46" s="52" t="s">
        <v>866</v>
      </c>
      <c r="I46" s="81"/>
    </row>
    <row r="47" spans="1:20" ht="14.25" customHeight="1">
      <c r="A47" s="52" t="s">
        <v>22</v>
      </c>
      <c r="B47" s="60" t="s">
        <v>344</v>
      </c>
      <c r="C47" s="52" t="s">
        <v>867</v>
      </c>
      <c r="D47" s="52">
        <v>6</v>
      </c>
      <c r="E47" s="52" t="s">
        <v>866</v>
      </c>
      <c r="I47" s="81"/>
    </row>
    <row r="48" spans="1:20" ht="14.25" customHeight="1">
      <c r="A48" s="52" t="s">
        <v>22</v>
      </c>
      <c r="B48" s="60" t="s">
        <v>344</v>
      </c>
      <c r="C48" s="52" t="s">
        <v>868</v>
      </c>
      <c r="D48" s="52">
        <v>6</v>
      </c>
      <c r="E48" s="52" t="s">
        <v>869</v>
      </c>
      <c r="I48" s="81"/>
    </row>
    <row r="49" spans="1:19" ht="14.25" customHeight="1">
      <c r="A49" s="52" t="s">
        <v>22</v>
      </c>
      <c r="B49" s="60" t="s">
        <v>344</v>
      </c>
      <c r="C49" s="52" t="s">
        <v>870</v>
      </c>
      <c r="D49" s="52">
        <v>6</v>
      </c>
      <c r="E49" s="52" t="s">
        <v>871</v>
      </c>
      <c r="I49" s="81"/>
    </row>
    <row r="50" spans="1:19" ht="14.25" customHeight="1">
      <c r="A50" s="52" t="s">
        <v>22</v>
      </c>
      <c r="B50" s="60" t="s">
        <v>344</v>
      </c>
      <c r="C50" s="52" t="s">
        <v>872</v>
      </c>
      <c r="D50" s="52">
        <v>6</v>
      </c>
      <c r="E50" s="52" t="s">
        <v>841</v>
      </c>
      <c r="I50" s="81"/>
    </row>
    <row r="51" spans="1:19" ht="14.25" customHeight="1">
      <c r="A51" s="52" t="s">
        <v>22</v>
      </c>
      <c r="B51" s="60" t="s">
        <v>344</v>
      </c>
      <c r="C51" s="52" t="s">
        <v>873</v>
      </c>
      <c r="D51" s="52">
        <v>6</v>
      </c>
      <c r="E51" s="52" t="s">
        <v>849</v>
      </c>
      <c r="I51" s="81"/>
    </row>
    <row r="52" spans="1:19" ht="14.25" customHeight="1">
      <c r="A52" s="52" t="s">
        <v>25</v>
      </c>
      <c r="B52" s="52" t="s">
        <v>537</v>
      </c>
      <c r="C52" s="52" t="s">
        <v>73</v>
      </c>
      <c r="D52" s="52">
        <v>6</v>
      </c>
      <c r="E52" s="52" t="s">
        <v>826</v>
      </c>
      <c r="M52" s="84"/>
    </row>
    <row r="53" spans="1:19" ht="14.25" customHeight="1">
      <c r="A53" s="52" t="s">
        <v>25</v>
      </c>
      <c r="B53" s="52" t="s">
        <v>537</v>
      </c>
      <c r="C53" s="60" t="s">
        <v>541</v>
      </c>
      <c r="D53" s="52">
        <v>6</v>
      </c>
      <c r="E53" s="52" t="s">
        <v>826</v>
      </c>
      <c r="M53" s="84"/>
    </row>
    <row r="54" spans="1:19" ht="14.25" customHeight="1">
      <c r="A54" s="52" t="s">
        <v>20</v>
      </c>
      <c r="B54" s="60" t="s">
        <v>818</v>
      </c>
      <c r="C54" s="52" t="s">
        <v>91</v>
      </c>
      <c r="D54" s="52">
        <v>5</v>
      </c>
      <c r="E54" s="52" t="s">
        <v>855</v>
      </c>
      <c r="G54" s="79"/>
    </row>
    <row r="55" spans="1:19" ht="14.25" customHeight="1">
      <c r="A55" s="52" t="s">
        <v>20</v>
      </c>
      <c r="B55" s="52" t="s">
        <v>116</v>
      </c>
      <c r="C55" s="52" t="s">
        <v>145</v>
      </c>
      <c r="D55" s="52">
        <v>5</v>
      </c>
      <c r="E55" s="52" t="s">
        <v>874</v>
      </c>
      <c r="M55" s="79"/>
    </row>
    <row r="56" spans="1:19" ht="14.25" customHeight="1">
      <c r="A56" s="52" t="s">
        <v>20</v>
      </c>
      <c r="B56" s="52" t="s">
        <v>215</v>
      </c>
      <c r="C56" s="52" t="s">
        <v>224</v>
      </c>
      <c r="D56" s="52">
        <v>5</v>
      </c>
      <c r="E56" s="52" t="s">
        <v>875</v>
      </c>
      <c r="S56" s="79"/>
    </row>
    <row r="57" spans="1:19" ht="14.25" customHeight="1">
      <c r="A57" s="52" t="s">
        <v>21</v>
      </c>
      <c r="B57" s="60" t="s">
        <v>260</v>
      </c>
      <c r="C57" s="60" t="s">
        <v>876</v>
      </c>
      <c r="D57" s="52">
        <v>5</v>
      </c>
      <c r="E57" s="52" t="s">
        <v>862</v>
      </c>
      <c r="H57" s="80"/>
    </row>
    <row r="58" spans="1:19" ht="14.25" customHeight="1">
      <c r="A58" s="52" t="s">
        <v>21</v>
      </c>
      <c r="B58" s="60" t="s">
        <v>260</v>
      </c>
      <c r="C58" s="60" t="s">
        <v>877</v>
      </c>
      <c r="D58" s="52">
        <v>5</v>
      </c>
      <c r="E58" s="52" t="s">
        <v>862</v>
      </c>
      <c r="H58" s="80"/>
    </row>
    <row r="59" spans="1:19" ht="14.25" customHeight="1">
      <c r="A59" s="52" t="s">
        <v>22</v>
      </c>
      <c r="B59" s="60" t="s">
        <v>344</v>
      </c>
      <c r="C59" s="52" t="s">
        <v>393</v>
      </c>
      <c r="D59" s="52">
        <v>5</v>
      </c>
      <c r="E59" s="52" t="s">
        <v>878</v>
      </c>
      <c r="I59" s="81"/>
    </row>
    <row r="60" spans="1:19" ht="14.25" customHeight="1">
      <c r="A60" s="52" t="s">
        <v>22</v>
      </c>
      <c r="B60" s="60" t="s">
        <v>344</v>
      </c>
      <c r="C60" s="52" t="s">
        <v>390</v>
      </c>
      <c r="D60" s="52">
        <v>5</v>
      </c>
      <c r="E60" s="52" t="s">
        <v>850</v>
      </c>
      <c r="J60" s="81"/>
    </row>
    <row r="61" spans="1:19" ht="14.25" customHeight="1">
      <c r="A61" s="52" t="s">
        <v>22</v>
      </c>
      <c r="B61" s="60" t="s">
        <v>344</v>
      </c>
      <c r="C61" s="52" t="s">
        <v>879</v>
      </c>
      <c r="D61" s="52">
        <v>5</v>
      </c>
      <c r="E61" s="52" t="s">
        <v>823</v>
      </c>
      <c r="J61" s="81"/>
    </row>
    <row r="62" spans="1:19" ht="14.25" customHeight="1">
      <c r="A62" s="52" t="s">
        <v>22</v>
      </c>
      <c r="B62" s="60" t="s">
        <v>880</v>
      </c>
      <c r="C62" s="60" t="s">
        <v>881</v>
      </c>
      <c r="D62" s="52">
        <v>5</v>
      </c>
      <c r="E62" s="52" t="s">
        <v>882</v>
      </c>
      <c r="Q62" s="81"/>
    </row>
    <row r="63" spans="1:19" ht="14.25" customHeight="1">
      <c r="A63" s="52" t="s">
        <v>23</v>
      </c>
      <c r="B63" s="52" t="s">
        <v>442</v>
      </c>
      <c r="C63" s="52" t="s">
        <v>454</v>
      </c>
      <c r="D63" s="52">
        <v>5</v>
      </c>
      <c r="E63" s="52" t="s">
        <v>883</v>
      </c>
      <c r="K63" s="82"/>
    </row>
    <row r="64" spans="1:19" ht="14.25" customHeight="1">
      <c r="A64" s="52" t="s">
        <v>24</v>
      </c>
      <c r="B64" s="60" t="s">
        <v>493</v>
      </c>
      <c r="C64" s="52" t="s">
        <v>73</v>
      </c>
      <c r="D64" s="52">
        <v>5</v>
      </c>
      <c r="E64" s="52" t="s">
        <v>884</v>
      </c>
      <c r="L64" s="83"/>
    </row>
    <row r="65" spans="1:18" ht="14.25" customHeight="1">
      <c r="A65" s="52" t="s">
        <v>25</v>
      </c>
      <c r="B65" s="52" t="s">
        <v>542</v>
      </c>
      <c r="C65" s="52" t="s">
        <v>73</v>
      </c>
      <c r="D65" s="52">
        <v>5</v>
      </c>
      <c r="E65" s="52" t="s">
        <v>885</v>
      </c>
      <c r="M65" s="84"/>
    </row>
    <row r="66" spans="1:18" ht="14.25" customHeight="1">
      <c r="A66" s="52" t="s">
        <v>20</v>
      </c>
      <c r="B66" s="60" t="s">
        <v>818</v>
      </c>
      <c r="C66" s="52" t="s">
        <v>85</v>
      </c>
      <c r="D66" s="52">
        <v>4</v>
      </c>
      <c r="E66" s="52" t="s">
        <v>886</v>
      </c>
      <c r="H66" s="79"/>
    </row>
    <row r="67" spans="1:18" ht="14.25" customHeight="1">
      <c r="A67" s="52" t="s">
        <v>20</v>
      </c>
      <c r="B67" s="60" t="s">
        <v>818</v>
      </c>
      <c r="C67" s="52" t="s">
        <v>89</v>
      </c>
      <c r="D67" s="52">
        <v>4</v>
      </c>
      <c r="E67" s="52" t="s">
        <v>857</v>
      </c>
      <c r="H67" s="79"/>
    </row>
    <row r="68" spans="1:18" ht="14.25" customHeight="1">
      <c r="A68" s="52" t="s">
        <v>20</v>
      </c>
      <c r="B68" s="60" t="s">
        <v>818</v>
      </c>
      <c r="C68" s="52" t="s">
        <v>100</v>
      </c>
      <c r="D68" s="52">
        <v>4</v>
      </c>
      <c r="E68" s="52" t="s">
        <v>860</v>
      </c>
      <c r="H68" s="79"/>
    </row>
    <row r="69" spans="1:18" ht="14.25" customHeight="1">
      <c r="A69" s="52" t="s">
        <v>20</v>
      </c>
      <c r="B69" s="60" t="s">
        <v>818</v>
      </c>
      <c r="C69" s="52" t="s">
        <v>99</v>
      </c>
      <c r="D69" s="52">
        <v>4</v>
      </c>
      <c r="E69" s="52" t="s">
        <v>862</v>
      </c>
      <c r="H69" s="79"/>
    </row>
    <row r="70" spans="1:18" ht="14.25" customHeight="1">
      <c r="A70" s="52" t="s">
        <v>20</v>
      </c>
      <c r="B70" s="60" t="s">
        <v>818</v>
      </c>
      <c r="C70" s="52" t="s">
        <v>75</v>
      </c>
      <c r="D70" s="52">
        <v>4</v>
      </c>
      <c r="E70" s="52" t="s">
        <v>865</v>
      </c>
      <c r="I70" s="79"/>
    </row>
    <row r="71" spans="1:18" ht="14.25" customHeight="1">
      <c r="A71" s="52" t="s">
        <v>20</v>
      </c>
      <c r="B71" s="52" t="s">
        <v>116</v>
      </c>
      <c r="C71" s="52" t="s">
        <v>121</v>
      </c>
      <c r="D71" s="52">
        <v>4</v>
      </c>
      <c r="E71" s="52" t="s">
        <v>874</v>
      </c>
      <c r="M71" s="79"/>
    </row>
    <row r="72" spans="1:18" ht="14.25" customHeight="1">
      <c r="A72" s="52" t="s">
        <v>20</v>
      </c>
      <c r="B72" s="52" t="s">
        <v>116</v>
      </c>
      <c r="C72" s="52" t="s">
        <v>122</v>
      </c>
      <c r="D72" s="52">
        <v>4</v>
      </c>
      <c r="E72" s="52" t="s">
        <v>887</v>
      </c>
      <c r="M72" s="79"/>
    </row>
    <row r="73" spans="1:18" ht="14.25" customHeight="1">
      <c r="A73" s="52" t="s">
        <v>20</v>
      </c>
      <c r="B73" s="52" t="s">
        <v>116</v>
      </c>
      <c r="C73" s="52" t="s">
        <v>144</v>
      </c>
      <c r="D73" s="52">
        <v>4</v>
      </c>
      <c r="E73" s="52" t="s">
        <v>887</v>
      </c>
      <c r="M73" s="79"/>
    </row>
    <row r="74" spans="1:18" ht="14.25" customHeight="1">
      <c r="A74" s="52" t="s">
        <v>20</v>
      </c>
      <c r="B74" s="52" t="s">
        <v>116</v>
      </c>
      <c r="C74" s="52" t="s">
        <v>124</v>
      </c>
      <c r="D74" s="52">
        <v>4</v>
      </c>
      <c r="E74" s="52" t="s">
        <v>888</v>
      </c>
      <c r="M74" s="79"/>
    </row>
    <row r="75" spans="1:18" ht="14.25" customHeight="1">
      <c r="A75" s="52" t="s">
        <v>20</v>
      </c>
      <c r="B75" s="52" t="s">
        <v>116</v>
      </c>
      <c r="C75" s="52" t="s">
        <v>119</v>
      </c>
      <c r="D75" s="52">
        <v>4</v>
      </c>
      <c r="E75" s="52" t="s">
        <v>888</v>
      </c>
      <c r="M75" s="79"/>
    </row>
    <row r="76" spans="1:18" ht="14.25" customHeight="1">
      <c r="A76" s="52" t="s">
        <v>20</v>
      </c>
      <c r="B76" s="52" t="s">
        <v>153</v>
      </c>
      <c r="C76" s="52" t="s">
        <v>154</v>
      </c>
      <c r="D76" s="52">
        <v>4</v>
      </c>
      <c r="E76" s="52" t="s">
        <v>821</v>
      </c>
      <c r="O76" s="79"/>
    </row>
    <row r="77" spans="1:18" ht="14.25" customHeight="1">
      <c r="A77" s="52" t="s">
        <v>20</v>
      </c>
      <c r="B77" s="52" t="s">
        <v>153</v>
      </c>
      <c r="C77" s="52" t="s">
        <v>174</v>
      </c>
      <c r="D77" s="52">
        <v>4</v>
      </c>
      <c r="E77" s="52" t="s">
        <v>821</v>
      </c>
      <c r="O77" s="79"/>
    </row>
    <row r="78" spans="1:18" ht="14.25" customHeight="1">
      <c r="A78" s="52" t="s">
        <v>20</v>
      </c>
      <c r="B78" s="52" t="s">
        <v>201</v>
      </c>
      <c r="C78" s="52" t="s">
        <v>202</v>
      </c>
      <c r="D78" s="52">
        <v>4</v>
      </c>
      <c r="E78" s="52" t="s">
        <v>889</v>
      </c>
      <c r="R78" s="79"/>
    </row>
    <row r="79" spans="1:18" ht="14.25" customHeight="1">
      <c r="A79" s="52" t="s">
        <v>20</v>
      </c>
      <c r="B79" s="52" t="s">
        <v>201</v>
      </c>
      <c r="C79" s="52" t="s">
        <v>204</v>
      </c>
      <c r="D79" s="52">
        <v>4</v>
      </c>
      <c r="E79" s="52" t="s">
        <v>889</v>
      </c>
      <c r="R79" s="79"/>
    </row>
    <row r="80" spans="1:18" ht="14.25" customHeight="1">
      <c r="A80" s="52" t="s">
        <v>20</v>
      </c>
      <c r="B80" s="52" t="s">
        <v>201</v>
      </c>
      <c r="C80" s="52" t="s">
        <v>206</v>
      </c>
      <c r="D80" s="52">
        <v>4</v>
      </c>
      <c r="E80" s="52" t="s">
        <v>889</v>
      </c>
      <c r="R80" s="79"/>
    </row>
    <row r="81" spans="1:20" ht="14.25" customHeight="1">
      <c r="A81" s="52" t="s">
        <v>20</v>
      </c>
      <c r="B81" s="52" t="s">
        <v>215</v>
      </c>
      <c r="C81" s="52" t="s">
        <v>216</v>
      </c>
      <c r="D81" s="52">
        <v>4</v>
      </c>
      <c r="E81" s="52" t="s">
        <v>875</v>
      </c>
      <c r="S81" s="79"/>
    </row>
    <row r="82" spans="1:20" ht="14.25" customHeight="1">
      <c r="A82" s="52" t="s">
        <v>20</v>
      </c>
      <c r="B82" s="60" t="s">
        <v>834</v>
      </c>
      <c r="C82" s="52" t="s">
        <v>73</v>
      </c>
      <c r="D82" s="52">
        <v>4</v>
      </c>
      <c r="E82" s="52" t="s">
        <v>836</v>
      </c>
      <c r="S82" s="79"/>
    </row>
    <row r="83" spans="1:20" ht="14.25" customHeight="1">
      <c r="A83" s="52" t="s">
        <v>20</v>
      </c>
      <c r="B83" s="60" t="s">
        <v>834</v>
      </c>
      <c r="C83" s="60" t="s">
        <v>235</v>
      </c>
      <c r="D83" s="52">
        <v>4</v>
      </c>
      <c r="E83" s="52" t="s">
        <v>839</v>
      </c>
      <c r="S83" s="79"/>
    </row>
    <row r="84" spans="1:20" ht="14.25" customHeight="1">
      <c r="A84" s="52" t="s">
        <v>20</v>
      </c>
      <c r="B84" s="60" t="s">
        <v>834</v>
      </c>
      <c r="C84" s="60" t="s">
        <v>235</v>
      </c>
      <c r="D84" s="52">
        <v>4</v>
      </c>
      <c r="E84" s="52" t="s">
        <v>853</v>
      </c>
      <c r="T84" s="79"/>
    </row>
    <row r="85" spans="1:20" ht="14.25" customHeight="1">
      <c r="A85" s="52" t="s">
        <v>21</v>
      </c>
      <c r="B85" s="60" t="s">
        <v>250</v>
      </c>
      <c r="C85" s="52" t="s">
        <v>255</v>
      </c>
      <c r="D85" s="52">
        <v>4</v>
      </c>
      <c r="E85" s="52" t="s">
        <v>886</v>
      </c>
      <c r="H85" s="80"/>
    </row>
    <row r="86" spans="1:20" ht="14.25" customHeight="1">
      <c r="A86" s="52" t="s">
        <v>21</v>
      </c>
      <c r="B86" s="60" t="s">
        <v>260</v>
      </c>
      <c r="C86" s="52" t="s">
        <v>259</v>
      </c>
      <c r="D86" s="52">
        <v>4</v>
      </c>
      <c r="E86" s="52" t="s">
        <v>862</v>
      </c>
      <c r="H86" s="80"/>
    </row>
    <row r="87" spans="1:20" ht="14.25" customHeight="1">
      <c r="A87" s="52" t="s">
        <v>21</v>
      </c>
      <c r="B87" s="60" t="s">
        <v>260</v>
      </c>
      <c r="C87" s="52" t="s">
        <v>263</v>
      </c>
      <c r="D87" s="52">
        <v>4</v>
      </c>
      <c r="E87" s="52" t="s">
        <v>863</v>
      </c>
      <c r="H87" s="80"/>
    </row>
    <row r="88" spans="1:20" ht="14.25" customHeight="1">
      <c r="A88" s="52" t="s">
        <v>21</v>
      </c>
      <c r="B88" s="60" t="s">
        <v>260</v>
      </c>
      <c r="C88" s="60" t="s">
        <v>271</v>
      </c>
      <c r="D88" s="52">
        <v>4</v>
      </c>
      <c r="E88" s="52" t="s">
        <v>863</v>
      </c>
      <c r="H88" s="80"/>
    </row>
    <row r="89" spans="1:20" ht="14.25" customHeight="1">
      <c r="A89" s="52" t="s">
        <v>21</v>
      </c>
      <c r="B89" s="60" t="s">
        <v>278</v>
      </c>
      <c r="C89" s="52" t="s">
        <v>282</v>
      </c>
      <c r="D89" s="52">
        <v>4</v>
      </c>
      <c r="E89" s="52" t="s">
        <v>850</v>
      </c>
      <c r="J89" s="80"/>
    </row>
    <row r="90" spans="1:20" ht="14.25" customHeight="1">
      <c r="A90" s="52" t="s">
        <v>21</v>
      </c>
      <c r="B90" s="60" t="s">
        <v>286</v>
      </c>
      <c r="C90" s="52" t="s">
        <v>288</v>
      </c>
      <c r="D90" s="52">
        <v>4</v>
      </c>
      <c r="E90" s="52" t="s">
        <v>890</v>
      </c>
      <c r="J90" s="80"/>
    </row>
    <row r="91" spans="1:20" ht="14.25" customHeight="1">
      <c r="A91" s="52" t="s">
        <v>22</v>
      </c>
      <c r="B91" s="60" t="s">
        <v>344</v>
      </c>
      <c r="C91" s="52" t="s">
        <v>388</v>
      </c>
      <c r="D91" s="52">
        <v>4</v>
      </c>
      <c r="E91" s="52" t="s">
        <v>823</v>
      </c>
      <c r="J91" s="81"/>
    </row>
    <row r="92" spans="1:20" ht="14.25" customHeight="1">
      <c r="A92" s="52" t="s">
        <v>22</v>
      </c>
      <c r="B92" s="60" t="s">
        <v>344</v>
      </c>
      <c r="C92" s="52" t="s">
        <v>358</v>
      </c>
      <c r="D92" s="52">
        <v>4</v>
      </c>
      <c r="E92" s="52" t="s">
        <v>829</v>
      </c>
      <c r="J92" s="81"/>
    </row>
    <row r="93" spans="1:20" ht="14.25" customHeight="1">
      <c r="A93" s="52" t="s">
        <v>22</v>
      </c>
      <c r="B93" s="60" t="s">
        <v>344</v>
      </c>
      <c r="C93" s="52" t="s">
        <v>365</v>
      </c>
      <c r="D93" s="52">
        <v>4</v>
      </c>
      <c r="E93" s="52" t="s">
        <v>891</v>
      </c>
      <c r="J93" s="81"/>
    </row>
    <row r="94" spans="1:20" ht="14.25" customHeight="1">
      <c r="A94" s="52" t="s">
        <v>22</v>
      </c>
      <c r="B94" s="60" t="s">
        <v>344</v>
      </c>
      <c r="C94" s="52" t="s">
        <v>392</v>
      </c>
      <c r="D94" s="52">
        <v>4</v>
      </c>
      <c r="E94" s="52" t="s">
        <v>890</v>
      </c>
      <c r="J94" s="81"/>
    </row>
    <row r="95" spans="1:20" ht="14.25" customHeight="1">
      <c r="A95" s="52" t="s">
        <v>22</v>
      </c>
      <c r="B95" s="52" t="s">
        <v>411</v>
      </c>
      <c r="C95" s="52" t="s">
        <v>22</v>
      </c>
      <c r="D95" s="52">
        <v>4</v>
      </c>
      <c r="E95" s="52" t="s">
        <v>892</v>
      </c>
      <c r="Q95" s="81"/>
    </row>
    <row r="96" spans="1:20" ht="14.25" customHeight="1">
      <c r="A96" s="52" t="s">
        <v>23</v>
      </c>
      <c r="B96" s="52" t="s">
        <v>412</v>
      </c>
      <c r="C96" s="52" t="s">
        <v>413</v>
      </c>
      <c r="D96" s="52">
        <v>4</v>
      </c>
      <c r="E96" s="52" t="s">
        <v>866</v>
      </c>
      <c r="I96" s="82"/>
    </row>
    <row r="97" spans="1:13" ht="14.25" customHeight="1">
      <c r="A97" s="52" t="s">
        <v>23</v>
      </c>
      <c r="B97" s="52" t="s">
        <v>412</v>
      </c>
      <c r="C97" s="52" t="s">
        <v>421</v>
      </c>
      <c r="D97" s="52">
        <v>4</v>
      </c>
      <c r="E97" s="52" t="s">
        <v>866</v>
      </c>
      <c r="I97" s="82"/>
    </row>
    <row r="98" spans="1:13" ht="14.25" customHeight="1">
      <c r="A98" s="52" t="s">
        <v>23</v>
      </c>
      <c r="B98" s="52" t="s">
        <v>442</v>
      </c>
      <c r="C98" s="52" t="s">
        <v>443</v>
      </c>
      <c r="D98" s="52">
        <v>4</v>
      </c>
      <c r="E98" s="52" t="s">
        <v>883</v>
      </c>
      <c r="K98" s="82"/>
    </row>
    <row r="99" spans="1:13" ht="14.25" customHeight="1">
      <c r="A99" s="52" t="s">
        <v>23</v>
      </c>
      <c r="B99" s="52" t="s">
        <v>442</v>
      </c>
      <c r="C99" s="52" t="s">
        <v>447</v>
      </c>
      <c r="D99" s="52">
        <v>4</v>
      </c>
      <c r="E99" s="52" t="s">
        <v>893</v>
      </c>
      <c r="K99" s="82"/>
    </row>
    <row r="100" spans="1:13" ht="14.25" customHeight="1">
      <c r="A100" s="52" t="s">
        <v>23</v>
      </c>
      <c r="B100" s="52" t="s">
        <v>456</v>
      </c>
      <c r="C100" s="52" t="s">
        <v>457</v>
      </c>
      <c r="D100" s="52">
        <v>4</v>
      </c>
      <c r="E100" s="52" t="s">
        <v>874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481</v>
      </c>
      <c r="D101" s="52">
        <v>4</v>
      </c>
      <c r="E101" s="52" t="s">
        <v>829</v>
      </c>
      <c r="J101" s="83"/>
    </row>
    <row r="102" spans="1:13" ht="14.25" customHeight="1">
      <c r="A102" s="52" t="s">
        <v>24</v>
      </c>
      <c r="B102" s="60" t="s">
        <v>493</v>
      </c>
      <c r="C102" s="52" t="s">
        <v>894</v>
      </c>
      <c r="D102" s="52">
        <v>4</v>
      </c>
      <c r="E102" s="52" t="s">
        <v>884</v>
      </c>
      <c r="L102" s="83"/>
    </row>
    <row r="103" spans="1:13" ht="14.25" customHeight="1">
      <c r="A103" s="52" t="s">
        <v>25</v>
      </c>
      <c r="B103" s="52" t="s">
        <v>522</v>
      </c>
      <c r="C103" s="52" t="s">
        <v>523</v>
      </c>
      <c r="D103" s="52">
        <v>4</v>
      </c>
      <c r="E103" s="52" t="s">
        <v>890</v>
      </c>
      <c r="J103" s="84"/>
    </row>
    <row r="104" spans="1:13" ht="14.25" customHeight="1">
      <c r="A104" s="52" t="s">
        <v>25</v>
      </c>
      <c r="B104" s="52" t="s">
        <v>522</v>
      </c>
      <c r="C104" s="52" t="s">
        <v>528</v>
      </c>
      <c r="D104" s="52">
        <v>4</v>
      </c>
      <c r="E104" s="52" t="s">
        <v>895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2026-03-26T05:25:23Z</dcterms:modified>
  <cp:category/>
  <cp:contentStatus/>
</cp:coreProperties>
</file>