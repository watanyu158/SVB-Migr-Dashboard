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d.docs.live.net/56c0d80fe49f2140/Projects/AOT-Network Refreshment  - 119250133 (CO-OP)/15. Template and Form/"/>
    </mc:Choice>
  </mc:AlternateContent>
  <xr:revisionPtr revIDLastSave="3" documentId="8_{385AB2BC-3249-4BD9-BF31-A81423F806A1}" xr6:coauthVersionLast="47" xr6:coauthVersionMax="47" xr10:uidLastSave="{E4B35F9F-305C-4082-B7E3-94701B74579B}"/>
  <bookViews>
    <workbookView xWindow="-108" yWindow="-108" windowWidth="23256" windowHeight="13896" tabRatio="500" firstSheet="1" activeTab="1" xr2:uid="{00000000-000D-0000-FFFF-FFFF00000000}"/>
  </bookViews>
  <sheets>
    <sheet name="Dashboard" sheetId="1" r:id="rId1"/>
    <sheet name="All_Detail" sheetId="2" r:id="rId2"/>
    <sheet name="Summary" sheetId="3" r:id="rId3"/>
    <sheet name="Type_Summary" sheetId="4" r:id="rId4"/>
    <sheet name="Location_Summary" sheetId="5" r:id="rId5"/>
    <sheet name="Room_Summary" sheetId="6" r:id="rId6"/>
    <sheet name="Cross_Check" sheetId="7" r:id="rId7"/>
    <sheet name="Normalized_Data" sheetId="8" r:id="rId8"/>
    <sheet name="D1-041_Detail" sheetId="9" r:id="rId9"/>
    <sheet name="CFZ_Detail" sheetId="10" r:id="rId10"/>
    <sheet name="T1-015_Detail" sheetId="11" r:id="rId11"/>
    <sheet name="D1-091_Detail" sheetId="12" r:id="rId12"/>
    <sheet name="RFF_Detail" sheetId="13" r:id="rId13"/>
    <sheet name="AMF_Detail" sheetId="14" r:id="rId14"/>
    <sheet name="PPW_Detail" sheetId="15" r:id="rId15"/>
    <sheet name="Equipment_Reference" sheetId="16" r:id="rId16"/>
    <sheet name="Gantt_Fabric" sheetId="17" r:id="rId17"/>
    <sheet name="Gantt_Location" sheetId="18" r:id="rId18"/>
    <sheet name="Gantt_Room" sheetId="19" r:id="rId19"/>
  </sheets>
  <definedNames>
    <definedName name="_xlnm._FilterDatabase" localSheetId="1" hidden="1">All_Detail!$F$745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5" i="1"/>
  <c r="C16" i="1"/>
  <c r="C17" i="1"/>
  <c r="O547" i="2"/>
  <c r="N547" i="2"/>
  <c r="M547" i="2"/>
  <c r="L547" i="2"/>
  <c r="K547" i="2"/>
  <c r="O549" i="2"/>
  <c r="N549" i="2"/>
  <c r="M549" i="2"/>
  <c r="L549" i="2"/>
  <c r="K549" i="2"/>
  <c r="O550" i="2"/>
  <c r="N550" i="2"/>
  <c r="M550" i="2"/>
  <c r="L550" i="2"/>
  <c r="K550" i="2"/>
  <c r="O548" i="2"/>
  <c r="N548" i="2"/>
  <c r="M548" i="2"/>
  <c r="L548" i="2"/>
  <c r="K548" i="2"/>
  <c r="O289" i="2"/>
  <c r="N289" i="2"/>
  <c r="M289" i="2"/>
  <c r="L289" i="2"/>
  <c r="K289" i="2"/>
  <c r="O46" i="2"/>
  <c r="N46" i="2"/>
  <c r="M46" i="2"/>
  <c r="L46" i="2"/>
  <c r="K46" i="2"/>
  <c r="O286" i="2"/>
  <c r="N286" i="2"/>
  <c r="M286" i="2"/>
  <c r="L286" i="2"/>
  <c r="K286" i="2"/>
  <c r="O249" i="2"/>
  <c r="N249" i="2"/>
  <c r="M249" i="2"/>
  <c r="L249" i="2"/>
  <c r="K249" i="2"/>
  <c r="O298" i="2"/>
  <c r="N298" i="2"/>
  <c r="M298" i="2"/>
  <c r="L298" i="2"/>
  <c r="K298" i="2"/>
  <c r="O292" i="2"/>
  <c r="N292" i="2"/>
  <c r="M292" i="2"/>
  <c r="L292" i="2"/>
  <c r="K292" i="2"/>
  <c r="O42" i="2"/>
  <c r="N42" i="2"/>
  <c r="M42" i="2"/>
  <c r="L42" i="2"/>
  <c r="K42" i="2"/>
  <c r="O291" i="2"/>
  <c r="N291" i="2"/>
  <c r="M291" i="2"/>
  <c r="L291" i="2"/>
  <c r="K291" i="2"/>
  <c r="O285" i="2"/>
  <c r="N285" i="2"/>
  <c r="M285" i="2"/>
  <c r="L285" i="2"/>
  <c r="K285" i="2"/>
  <c r="O276" i="2"/>
  <c r="N276" i="2"/>
  <c r="M276" i="2"/>
  <c r="L276" i="2"/>
  <c r="K276" i="2"/>
  <c r="O277" i="2"/>
  <c r="N277" i="2"/>
  <c r="M277" i="2"/>
  <c r="L277" i="2"/>
  <c r="K277" i="2"/>
  <c r="O34" i="2"/>
  <c r="N34" i="2"/>
  <c r="M34" i="2"/>
  <c r="L34" i="2"/>
  <c r="K34" i="2"/>
  <c r="O274" i="2"/>
  <c r="N274" i="2"/>
  <c r="M274" i="2"/>
  <c r="L274" i="2"/>
  <c r="K274" i="2"/>
  <c r="O273" i="2"/>
  <c r="N273" i="2"/>
  <c r="M273" i="2"/>
  <c r="L273" i="2"/>
  <c r="K273" i="2"/>
  <c r="O31" i="2"/>
  <c r="N31" i="2"/>
  <c r="M31" i="2"/>
  <c r="L31" i="2"/>
  <c r="K31" i="2"/>
  <c r="O271" i="2"/>
  <c r="N271" i="2"/>
  <c r="M271" i="2"/>
  <c r="L271" i="2"/>
  <c r="K271" i="2"/>
  <c r="O270" i="2"/>
  <c r="N270" i="2"/>
  <c r="M270" i="2"/>
  <c r="L270" i="2"/>
  <c r="K270" i="2"/>
  <c r="O23" i="2"/>
  <c r="N23" i="2"/>
  <c r="M23" i="2"/>
  <c r="L23" i="2"/>
  <c r="K23" i="2"/>
  <c r="O288" i="2"/>
  <c r="N288" i="2"/>
  <c r="M288" i="2"/>
  <c r="L288" i="2"/>
  <c r="K288" i="2"/>
  <c r="O39" i="2"/>
  <c r="N39" i="2"/>
  <c r="M39" i="2"/>
  <c r="L39" i="2"/>
  <c r="K39" i="2"/>
  <c r="O267" i="2"/>
  <c r="N267" i="2"/>
  <c r="M267" i="2"/>
  <c r="L267" i="2"/>
  <c r="K267" i="2"/>
  <c r="O268" i="2"/>
  <c r="N268" i="2"/>
  <c r="M268" i="2"/>
  <c r="L268" i="2"/>
  <c r="K268" i="2"/>
  <c r="O265" i="2"/>
  <c r="N265" i="2"/>
  <c r="M265" i="2"/>
  <c r="L265" i="2"/>
  <c r="K265" i="2"/>
  <c r="O264" i="2"/>
  <c r="N264" i="2"/>
  <c r="M264" i="2"/>
  <c r="L264" i="2"/>
  <c r="K264" i="2"/>
  <c r="O262" i="2"/>
  <c r="N262" i="2"/>
  <c r="M262" i="2"/>
  <c r="L262" i="2"/>
  <c r="K262" i="2"/>
  <c r="O17" i="2"/>
  <c r="N17" i="2"/>
  <c r="M17" i="2"/>
  <c r="L17" i="2"/>
  <c r="K17" i="2"/>
  <c r="O8" i="2"/>
  <c r="N8" i="2"/>
  <c r="M8" i="2"/>
  <c r="L8" i="2"/>
  <c r="K8" i="2"/>
  <c r="O7" i="2"/>
  <c r="N7" i="2"/>
  <c r="M7" i="2"/>
  <c r="L7" i="2"/>
  <c r="K7" i="2"/>
  <c r="O4" i="2"/>
  <c r="N4" i="2"/>
  <c r="M4" i="2"/>
  <c r="L4" i="2"/>
  <c r="K4" i="2"/>
  <c r="O2" i="2"/>
  <c r="N2" i="2"/>
  <c r="M2" i="2"/>
  <c r="L2" i="2"/>
  <c r="K2" i="2"/>
  <c r="O26" i="2"/>
  <c r="N26" i="2"/>
  <c r="M26" i="2"/>
  <c r="L26" i="2"/>
  <c r="K26" i="2"/>
  <c r="O261" i="2"/>
  <c r="N261" i="2"/>
  <c r="M261" i="2"/>
  <c r="L261" i="2"/>
  <c r="K261" i="2"/>
  <c r="O258" i="2"/>
  <c r="N258" i="2"/>
  <c r="M258" i="2"/>
  <c r="L258" i="2"/>
  <c r="K258" i="2"/>
  <c r="O259" i="2"/>
  <c r="N259" i="2"/>
  <c r="M259" i="2"/>
  <c r="L259" i="2"/>
  <c r="K259" i="2"/>
  <c r="O250" i="2"/>
  <c r="N250" i="2"/>
  <c r="M250" i="2"/>
  <c r="L250" i="2"/>
  <c r="K250" i="2"/>
  <c r="O254" i="2"/>
  <c r="N254" i="2"/>
  <c r="M254" i="2"/>
  <c r="L254" i="2"/>
  <c r="K254" i="2"/>
  <c r="O256" i="2"/>
  <c r="N256" i="2"/>
  <c r="M256" i="2"/>
  <c r="L256" i="2"/>
  <c r="K256" i="2"/>
  <c r="O10" i="2"/>
  <c r="N10" i="2"/>
  <c r="M10" i="2"/>
  <c r="L10" i="2"/>
  <c r="K10" i="2"/>
  <c r="O253" i="2"/>
  <c r="N253" i="2"/>
  <c r="M253" i="2"/>
  <c r="L253" i="2"/>
  <c r="K253" i="2"/>
  <c r="O251" i="2"/>
  <c r="N251" i="2"/>
  <c r="M251" i="2"/>
  <c r="L251" i="2"/>
  <c r="K251" i="2"/>
  <c r="O252" i="2"/>
  <c r="N252" i="2"/>
  <c r="M252" i="2"/>
  <c r="L252" i="2"/>
  <c r="K252" i="2"/>
  <c r="O257" i="2"/>
  <c r="N257" i="2"/>
  <c r="M257" i="2"/>
  <c r="L257" i="2"/>
  <c r="K257" i="2"/>
  <c r="O5" i="2"/>
  <c r="N5" i="2"/>
  <c r="M5" i="2"/>
  <c r="L5" i="2"/>
  <c r="K5" i="2"/>
  <c r="O6" i="2"/>
  <c r="N6" i="2"/>
  <c r="M6" i="2"/>
  <c r="L6" i="2"/>
  <c r="K6" i="2"/>
  <c r="O3" i="2"/>
  <c r="N3" i="2"/>
  <c r="M3" i="2"/>
  <c r="L3" i="2"/>
  <c r="K3" i="2"/>
  <c r="O578" i="2"/>
  <c r="N578" i="2"/>
  <c r="M578" i="2"/>
  <c r="L578" i="2"/>
  <c r="K578" i="2"/>
  <c r="O576" i="2"/>
  <c r="N576" i="2"/>
  <c r="M576" i="2"/>
  <c r="L576" i="2"/>
  <c r="K576" i="2"/>
  <c r="O575" i="2"/>
  <c r="N575" i="2"/>
  <c r="M575" i="2"/>
  <c r="L575" i="2"/>
  <c r="K575" i="2"/>
  <c r="O577" i="2"/>
  <c r="N577" i="2"/>
  <c r="M577" i="2"/>
  <c r="L577" i="2"/>
  <c r="K577" i="2"/>
  <c r="O559" i="2"/>
  <c r="N559" i="2"/>
  <c r="M559" i="2"/>
  <c r="L559" i="2"/>
  <c r="K559" i="2"/>
  <c r="O556" i="2"/>
  <c r="N556" i="2"/>
  <c r="M556" i="2"/>
  <c r="L556" i="2"/>
  <c r="K556" i="2"/>
  <c r="O555" i="2"/>
  <c r="N555" i="2"/>
  <c r="M555" i="2"/>
  <c r="L555" i="2"/>
  <c r="K555" i="2"/>
  <c r="O553" i="2"/>
  <c r="N553" i="2"/>
  <c r="M553" i="2"/>
  <c r="L553" i="2"/>
  <c r="K553" i="2"/>
  <c r="O554" i="2"/>
  <c r="N554" i="2"/>
  <c r="M554" i="2"/>
  <c r="L554" i="2"/>
  <c r="K554" i="2"/>
  <c r="O552" i="2"/>
  <c r="N552" i="2"/>
  <c r="M552" i="2"/>
  <c r="L552" i="2"/>
  <c r="K552" i="2"/>
  <c r="O551" i="2"/>
  <c r="N551" i="2"/>
  <c r="M551" i="2"/>
  <c r="L551" i="2"/>
  <c r="K551" i="2"/>
  <c r="O580" i="2"/>
  <c r="N580" i="2"/>
  <c r="M580" i="2"/>
  <c r="L580" i="2"/>
  <c r="K580" i="2"/>
  <c r="O579" i="2"/>
  <c r="N579" i="2"/>
  <c r="M579" i="2"/>
  <c r="L579" i="2"/>
  <c r="K579" i="2"/>
  <c r="O558" i="2"/>
  <c r="N558" i="2"/>
  <c r="M558" i="2"/>
  <c r="L558" i="2"/>
  <c r="K558" i="2"/>
  <c r="O557" i="2"/>
  <c r="N557" i="2"/>
  <c r="M557" i="2"/>
  <c r="L557" i="2"/>
  <c r="K557" i="2"/>
  <c r="O589" i="2"/>
  <c r="N589" i="2"/>
  <c r="M589" i="2"/>
  <c r="L589" i="2"/>
  <c r="K589" i="2"/>
  <c r="O587" i="2"/>
  <c r="N587" i="2"/>
  <c r="M587" i="2"/>
  <c r="L587" i="2"/>
  <c r="K587" i="2"/>
  <c r="O588" i="2"/>
  <c r="N588" i="2"/>
  <c r="M588" i="2"/>
  <c r="L588" i="2"/>
  <c r="K588" i="2"/>
  <c r="O586" i="2"/>
  <c r="N586" i="2"/>
  <c r="M586" i="2"/>
  <c r="L586" i="2"/>
  <c r="K586" i="2"/>
  <c r="O585" i="2"/>
  <c r="N585" i="2"/>
  <c r="M585" i="2"/>
  <c r="L585" i="2"/>
  <c r="K585" i="2"/>
  <c r="O584" i="2"/>
  <c r="N584" i="2"/>
  <c r="M584" i="2"/>
  <c r="L584" i="2"/>
  <c r="K584" i="2"/>
  <c r="O583" i="2"/>
  <c r="N583" i="2"/>
  <c r="M583" i="2"/>
  <c r="L583" i="2"/>
  <c r="K583" i="2"/>
  <c r="O582" i="2"/>
  <c r="N582" i="2"/>
  <c r="M582" i="2"/>
  <c r="L582" i="2"/>
  <c r="K582" i="2"/>
  <c r="O581" i="2"/>
  <c r="N581" i="2"/>
  <c r="M581" i="2"/>
  <c r="L581" i="2"/>
  <c r="K581" i="2"/>
  <c r="O572" i="2"/>
  <c r="N572" i="2"/>
  <c r="M572" i="2"/>
  <c r="L572" i="2"/>
  <c r="K572" i="2"/>
  <c r="O571" i="2"/>
  <c r="N571" i="2"/>
  <c r="M571" i="2"/>
  <c r="L571" i="2"/>
  <c r="K571" i="2"/>
  <c r="O574" i="2"/>
  <c r="N574" i="2"/>
  <c r="M574" i="2"/>
  <c r="L574" i="2"/>
  <c r="K574" i="2"/>
  <c r="O573" i="2"/>
  <c r="N573" i="2"/>
  <c r="M573" i="2"/>
  <c r="L573" i="2"/>
  <c r="K573" i="2"/>
  <c r="O570" i="2"/>
  <c r="N570" i="2"/>
  <c r="M570" i="2"/>
  <c r="L570" i="2"/>
  <c r="K570" i="2"/>
  <c r="O569" i="2"/>
  <c r="N569" i="2"/>
  <c r="M569" i="2"/>
  <c r="L569" i="2"/>
  <c r="K569" i="2"/>
  <c r="O568" i="2"/>
  <c r="N568" i="2"/>
  <c r="M568" i="2"/>
  <c r="L568" i="2"/>
  <c r="K568" i="2"/>
  <c r="O566" i="2"/>
  <c r="N566" i="2"/>
  <c r="M566" i="2"/>
  <c r="L566" i="2"/>
  <c r="K566" i="2"/>
  <c r="O567" i="2"/>
  <c r="N567" i="2"/>
  <c r="M567" i="2"/>
  <c r="L567" i="2"/>
  <c r="K567" i="2"/>
  <c r="O565" i="2"/>
  <c r="N565" i="2"/>
  <c r="M565" i="2"/>
  <c r="L565" i="2"/>
  <c r="K565" i="2"/>
  <c r="O564" i="2"/>
  <c r="N564" i="2"/>
  <c r="M564" i="2"/>
  <c r="L564" i="2"/>
  <c r="K564" i="2"/>
  <c r="O563" i="2"/>
  <c r="N563" i="2"/>
  <c r="M563" i="2"/>
  <c r="L563" i="2"/>
  <c r="K563" i="2"/>
  <c r="O562" i="2"/>
  <c r="N562" i="2"/>
  <c r="M562" i="2"/>
  <c r="L562" i="2"/>
  <c r="K562" i="2"/>
  <c r="O561" i="2"/>
  <c r="N561" i="2"/>
  <c r="M561" i="2"/>
  <c r="L561" i="2"/>
  <c r="K561" i="2"/>
  <c r="O560" i="2"/>
  <c r="N560" i="2"/>
  <c r="M560" i="2"/>
  <c r="L560" i="2"/>
  <c r="K560" i="2"/>
  <c r="O539" i="2"/>
  <c r="N539" i="2"/>
  <c r="M539" i="2"/>
  <c r="L539" i="2"/>
  <c r="K539" i="2"/>
  <c r="O538" i="2"/>
  <c r="N538" i="2"/>
  <c r="M538" i="2"/>
  <c r="L538" i="2"/>
  <c r="K538" i="2"/>
  <c r="O419" i="2"/>
  <c r="N419" i="2"/>
  <c r="M419" i="2"/>
  <c r="L419" i="2"/>
  <c r="K419" i="2"/>
  <c r="O534" i="2"/>
  <c r="N534" i="2"/>
  <c r="M534" i="2"/>
  <c r="L534" i="2"/>
  <c r="K534" i="2"/>
  <c r="O535" i="2"/>
  <c r="N535" i="2"/>
  <c r="M535" i="2"/>
  <c r="L535" i="2"/>
  <c r="K535" i="2"/>
  <c r="O532" i="2"/>
  <c r="N532" i="2"/>
  <c r="M532" i="2"/>
  <c r="L532" i="2"/>
  <c r="K532" i="2"/>
  <c r="O533" i="2"/>
  <c r="N533" i="2"/>
  <c r="M533" i="2"/>
  <c r="L533" i="2"/>
  <c r="K533" i="2"/>
  <c r="O536" i="2"/>
  <c r="N536" i="2"/>
  <c r="M536" i="2"/>
  <c r="L536" i="2"/>
  <c r="K536" i="2"/>
  <c r="O537" i="2"/>
  <c r="N537" i="2"/>
  <c r="M537" i="2"/>
  <c r="L537" i="2"/>
  <c r="K537" i="2"/>
  <c r="O545" i="2"/>
  <c r="N545" i="2"/>
  <c r="M545" i="2"/>
  <c r="L545" i="2"/>
  <c r="K545" i="2"/>
  <c r="O546" i="2"/>
  <c r="N546" i="2"/>
  <c r="M546" i="2"/>
  <c r="L546" i="2"/>
  <c r="K546" i="2"/>
  <c r="O543" i="2"/>
  <c r="N543" i="2"/>
  <c r="M543" i="2"/>
  <c r="L543" i="2"/>
  <c r="K543" i="2"/>
  <c r="O544" i="2"/>
  <c r="N544" i="2"/>
  <c r="M544" i="2"/>
  <c r="L544" i="2"/>
  <c r="K544" i="2"/>
  <c r="O542" i="2"/>
  <c r="N542" i="2"/>
  <c r="M542" i="2"/>
  <c r="L542" i="2"/>
  <c r="K542" i="2"/>
  <c r="O541" i="2"/>
  <c r="N541" i="2"/>
  <c r="M541" i="2"/>
  <c r="L541" i="2"/>
  <c r="K541" i="2"/>
  <c r="O540" i="2"/>
  <c r="N540" i="2"/>
  <c r="M540" i="2"/>
  <c r="L540" i="2"/>
  <c r="K540" i="2"/>
  <c r="O473" i="2"/>
  <c r="N473" i="2"/>
  <c r="M473" i="2"/>
  <c r="L473" i="2"/>
  <c r="K473" i="2"/>
  <c r="O474" i="2"/>
  <c r="N474" i="2"/>
  <c r="M474" i="2"/>
  <c r="L474" i="2"/>
  <c r="K474" i="2"/>
  <c r="O470" i="2"/>
  <c r="N470" i="2"/>
  <c r="M470" i="2"/>
  <c r="L470" i="2"/>
  <c r="K470" i="2"/>
  <c r="O471" i="2"/>
  <c r="N471" i="2"/>
  <c r="M471" i="2"/>
  <c r="L471" i="2"/>
  <c r="K471" i="2"/>
  <c r="O472" i="2"/>
  <c r="N472" i="2"/>
  <c r="M472" i="2"/>
  <c r="L472" i="2"/>
  <c r="K472" i="2"/>
  <c r="O468" i="2"/>
  <c r="N468" i="2"/>
  <c r="M468" i="2"/>
  <c r="L468" i="2"/>
  <c r="K468" i="2"/>
  <c r="O469" i="2"/>
  <c r="N469" i="2"/>
  <c r="M469" i="2"/>
  <c r="L469" i="2"/>
  <c r="K469" i="2"/>
  <c r="O466" i="2"/>
  <c r="N466" i="2"/>
  <c r="M466" i="2"/>
  <c r="L466" i="2"/>
  <c r="K466" i="2"/>
  <c r="O467" i="2"/>
  <c r="N467" i="2"/>
  <c r="M467" i="2"/>
  <c r="L467" i="2"/>
  <c r="K467" i="2"/>
  <c r="O464" i="2"/>
  <c r="N464" i="2"/>
  <c r="M464" i="2"/>
  <c r="L464" i="2"/>
  <c r="K464" i="2"/>
  <c r="O465" i="2"/>
  <c r="N465" i="2"/>
  <c r="M465" i="2"/>
  <c r="L465" i="2"/>
  <c r="K465" i="2"/>
  <c r="O462" i="2"/>
  <c r="N462" i="2"/>
  <c r="M462" i="2"/>
  <c r="L462" i="2"/>
  <c r="K462" i="2"/>
  <c r="O463" i="2"/>
  <c r="N463" i="2"/>
  <c r="M463" i="2"/>
  <c r="L463" i="2"/>
  <c r="K463" i="2"/>
  <c r="O459" i="2"/>
  <c r="N459" i="2"/>
  <c r="M459" i="2"/>
  <c r="L459" i="2"/>
  <c r="K459" i="2"/>
  <c r="O460" i="2"/>
  <c r="N460" i="2"/>
  <c r="M460" i="2"/>
  <c r="L460" i="2"/>
  <c r="K460" i="2"/>
  <c r="O461" i="2"/>
  <c r="N461" i="2"/>
  <c r="M461" i="2"/>
  <c r="L461" i="2"/>
  <c r="K461" i="2"/>
  <c r="O456" i="2"/>
  <c r="N456" i="2"/>
  <c r="M456" i="2"/>
  <c r="L456" i="2"/>
  <c r="K456" i="2"/>
  <c r="O457" i="2"/>
  <c r="N457" i="2"/>
  <c r="M457" i="2"/>
  <c r="L457" i="2"/>
  <c r="K457" i="2"/>
  <c r="O458" i="2"/>
  <c r="N458" i="2"/>
  <c r="M458" i="2"/>
  <c r="L458" i="2"/>
  <c r="K458" i="2"/>
  <c r="O453" i="2"/>
  <c r="N453" i="2"/>
  <c r="M453" i="2"/>
  <c r="L453" i="2"/>
  <c r="K453" i="2"/>
  <c r="O454" i="2"/>
  <c r="N454" i="2"/>
  <c r="M454" i="2"/>
  <c r="L454" i="2"/>
  <c r="K454" i="2"/>
  <c r="O455" i="2"/>
  <c r="N455" i="2"/>
  <c r="M455" i="2"/>
  <c r="L455" i="2"/>
  <c r="K455" i="2"/>
  <c r="O451" i="2"/>
  <c r="N451" i="2"/>
  <c r="M451" i="2"/>
  <c r="L451" i="2"/>
  <c r="K451" i="2"/>
  <c r="O452" i="2"/>
  <c r="N452" i="2"/>
  <c r="M452" i="2"/>
  <c r="L452" i="2"/>
  <c r="K452" i="2"/>
  <c r="O448" i="2"/>
  <c r="N448" i="2"/>
  <c r="M448" i="2"/>
  <c r="L448" i="2"/>
  <c r="K448" i="2"/>
  <c r="O449" i="2"/>
  <c r="N449" i="2"/>
  <c r="M449" i="2"/>
  <c r="L449" i="2"/>
  <c r="K449" i="2"/>
  <c r="O450" i="2"/>
  <c r="N450" i="2"/>
  <c r="M450" i="2"/>
  <c r="L450" i="2"/>
  <c r="K450" i="2"/>
  <c r="O446" i="2"/>
  <c r="N446" i="2"/>
  <c r="M446" i="2"/>
  <c r="L446" i="2"/>
  <c r="K446" i="2"/>
  <c r="O447" i="2"/>
  <c r="N447" i="2"/>
  <c r="M447" i="2"/>
  <c r="L447" i="2"/>
  <c r="K447" i="2"/>
  <c r="O444" i="2"/>
  <c r="N444" i="2"/>
  <c r="M444" i="2"/>
  <c r="L444" i="2"/>
  <c r="K444" i="2"/>
  <c r="O445" i="2"/>
  <c r="N445" i="2"/>
  <c r="M445" i="2"/>
  <c r="L445" i="2"/>
  <c r="K445" i="2"/>
  <c r="O442" i="2"/>
  <c r="N442" i="2"/>
  <c r="M442" i="2"/>
  <c r="L442" i="2"/>
  <c r="K442" i="2"/>
  <c r="O443" i="2"/>
  <c r="N443" i="2"/>
  <c r="M443" i="2"/>
  <c r="L443" i="2"/>
  <c r="K443" i="2"/>
  <c r="O440" i="2"/>
  <c r="N440" i="2"/>
  <c r="M440" i="2"/>
  <c r="L440" i="2"/>
  <c r="K440" i="2"/>
  <c r="O441" i="2"/>
  <c r="N441" i="2"/>
  <c r="M441" i="2"/>
  <c r="L441" i="2"/>
  <c r="K441" i="2"/>
  <c r="O438" i="2"/>
  <c r="N438" i="2"/>
  <c r="M438" i="2"/>
  <c r="L438" i="2"/>
  <c r="K438" i="2"/>
  <c r="O439" i="2"/>
  <c r="N439" i="2"/>
  <c r="M439" i="2"/>
  <c r="L439" i="2"/>
  <c r="K439" i="2"/>
  <c r="O436" i="2"/>
  <c r="N436" i="2"/>
  <c r="M436" i="2"/>
  <c r="L436" i="2"/>
  <c r="K436" i="2"/>
  <c r="O437" i="2"/>
  <c r="N437" i="2"/>
  <c r="M437" i="2"/>
  <c r="L437" i="2"/>
  <c r="K437" i="2"/>
  <c r="O433" i="2"/>
  <c r="N433" i="2"/>
  <c r="M433" i="2"/>
  <c r="L433" i="2"/>
  <c r="K433" i="2"/>
  <c r="O434" i="2"/>
  <c r="N434" i="2"/>
  <c r="M434" i="2"/>
  <c r="L434" i="2"/>
  <c r="K434" i="2"/>
  <c r="O435" i="2"/>
  <c r="N435" i="2"/>
  <c r="M435" i="2"/>
  <c r="L435" i="2"/>
  <c r="K435" i="2"/>
  <c r="O430" i="2"/>
  <c r="N430" i="2"/>
  <c r="M430" i="2"/>
  <c r="L430" i="2"/>
  <c r="K430" i="2"/>
  <c r="O431" i="2"/>
  <c r="N431" i="2"/>
  <c r="M431" i="2"/>
  <c r="L431" i="2"/>
  <c r="K431" i="2"/>
  <c r="O432" i="2"/>
  <c r="N432" i="2"/>
  <c r="M432" i="2"/>
  <c r="L432" i="2"/>
  <c r="K432" i="2"/>
  <c r="O427" i="2"/>
  <c r="N427" i="2"/>
  <c r="M427" i="2"/>
  <c r="L427" i="2"/>
  <c r="K427" i="2"/>
  <c r="O428" i="2"/>
  <c r="N428" i="2"/>
  <c r="M428" i="2"/>
  <c r="L428" i="2"/>
  <c r="K428" i="2"/>
  <c r="O429" i="2"/>
  <c r="N429" i="2"/>
  <c r="M429" i="2"/>
  <c r="L429" i="2"/>
  <c r="K429" i="2"/>
  <c r="O424" i="2"/>
  <c r="N424" i="2"/>
  <c r="M424" i="2"/>
  <c r="L424" i="2"/>
  <c r="K424" i="2"/>
  <c r="O425" i="2"/>
  <c r="N425" i="2"/>
  <c r="M425" i="2"/>
  <c r="L425" i="2"/>
  <c r="K425" i="2"/>
  <c r="O426" i="2"/>
  <c r="N426" i="2"/>
  <c r="M426" i="2"/>
  <c r="L426" i="2"/>
  <c r="K426" i="2"/>
  <c r="O421" i="2"/>
  <c r="N421" i="2"/>
  <c r="M421" i="2"/>
  <c r="L421" i="2"/>
  <c r="K421" i="2"/>
  <c r="O422" i="2"/>
  <c r="N422" i="2"/>
  <c r="M422" i="2"/>
  <c r="L422" i="2"/>
  <c r="K422" i="2"/>
  <c r="O423" i="2"/>
  <c r="N423" i="2"/>
  <c r="M423" i="2"/>
  <c r="L423" i="2"/>
  <c r="K423" i="2"/>
  <c r="O530" i="2"/>
  <c r="N530" i="2"/>
  <c r="M530" i="2"/>
  <c r="L530" i="2"/>
  <c r="K530" i="2"/>
  <c r="O531" i="2"/>
  <c r="N531" i="2"/>
  <c r="M531" i="2"/>
  <c r="L531" i="2"/>
  <c r="K531" i="2"/>
  <c r="O529" i="2"/>
  <c r="N529" i="2"/>
  <c r="M529" i="2"/>
  <c r="L529" i="2"/>
  <c r="K529" i="2"/>
  <c r="O528" i="2"/>
  <c r="N528" i="2"/>
  <c r="M528" i="2"/>
  <c r="L528" i="2"/>
  <c r="K528" i="2"/>
  <c r="O527" i="2"/>
  <c r="N527" i="2"/>
  <c r="M527" i="2"/>
  <c r="L527" i="2"/>
  <c r="K527" i="2"/>
  <c r="O525" i="2"/>
  <c r="N525" i="2"/>
  <c r="M525" i="2"/>
  <c r="L525" i="2"/>
  <c r="K525" i="2"/>
  <c r="O526" i="2"/>
  <c r="N526" i="2"/>
  <c r="M526" i="2"/>
  <c r="L526" i="2"/>
  <c r="K526" i="2"/>
  <c r="O522" i="2"/>
  <c r="N522" i="2"/>
  <c r="M522" i="2"/>
  <c r="L522" i="2"/>
  <c r="K522" i="2"/>
  <c r="O523" i="2"/>
  <c r="N523" i="2"/>
  <c r="M523" i="2"/>
  <c r="L523" i="2"/>
  <c r="K523" i="2"/>
  <c r="O524" i="2"/>
  <c r="N524" i="2"/>
  <c r="M524" i="2"/>
  <c r="L524" i="2"/>
  <c r="K524" i="2"/>
  <c r="O520" i="2"/>
  <c r="N520" i="2"/>
  <c r="M520" i="2"/>
  <c r="L520" i="2"/>
  <c r="K520" i="2"/>
  <c r="O521" i="2"/>
  <c r="N521" i="2"/>
  <c r="M521" i="2"/>
  <c r="L521" i="2"/>
  <c r="K521" i="2"/>
  <c r="O518" i="2"/>
  <c r="N518" i="2"/>
  <c r="M518" i="2"/>
  <c r="L518" i="2"/>
  <c r="K518" i="2"/>
  <c r="O519" i="2"/>
  <c r="N519" i="2"/>
  <c r="M519" i="2"/>
  <c r="L519" i="2"/>
  <c r="K519" i="2"/>
  <c r="O516" i="2"/>
  <c r="N516" i="2"/>
  <c r="M516" i="2"/>
  <c r="L516" i="2"/>
  <c r="K516" i="2"/>
  <c r="O517" i="2"/>
  <c r="N517" i="2"/>
  <c r="M517" i="2"/>
  <c r="L517" i="2"/>
  <c r="K517" i="2"/>
  <c r="O513" i="2"/>
  <c r="N513" i="2"/>
  <c r="M513" i="2"/>
  <c r="L513" i="2"/>
  <c r="K513" i="2"/>
  <c r="O514" i="2"/>
  <c r="N514" i="2"/>
  <c r="M514" i="2"/>
  <c r="L514" i="2"/>
  <c r="K514" i="2"/>
  <c r="O515" i="2"/>
  <c r="N515" i="2"/>
  <c r="M515" i="2"/>
  <c r="L515" i="2"/>
  <c r="K515" i="2"/>
  <c r="O511" i="2"/>
  <c r="N511" i="2"/>
  <c r="M511" i="2"/>
  <c r="L511" i="2"/>
  <c r="K511" i="2"/>
  <c r="O512" i="2"/>
  <c r="N512" i="2"/>
  <c r="M512" i="2"/>
  <c r="L512" i="2"/>
  <c r="K512" i="2"/>
  <c r="O510" i="2"/>
  <c r="N510" i="2"/>
  <c r="M510" i="2"/>
  <c r="L510" i="2"/>
  <c r="K510" i="2"/>
  <c r="O509" i="2"/>
  <c r="N509" i="2"/>
  <c r="M509" i="2"/>
  <c r="L509" i="2"/>
  <c r="K509" i="2"/>
  <c r="O508" i="2"/>
  <c r="N508" i="2"/>
  <c r="M508" i="2"/>
  <c r="L508" i="2"/>
  <c r="K508" i="2"/>
  <c r="O506" i="2"/>
  <c r="N506" i="2"/>
  <c r="M506" i="2"/>
  <c r="L506" i="2"/>
  <c r="K506" i="2"/>
  <c r="O507" i="2"/>
  <c r="N507" i="2"/>
  <c r="M507" i="2"/>
  <c r="L507" i="2"/>
  <c r="K507" i="2"/>
  <c r="O504" i="2"/>
  <c r="N504" i="2"/>
  <c r="M504" i="2"/>
  <c r="L504" i="2"/>
  <c r="K504" i="2"/>
  <c r="O505" i="2"/>
  <c r="N505" i="2"/>
  <c r="M505" i="2"/>
  <c r="L505" i="2"/>
  <c r="K505" i="2"/>
  <c r="O502" i="2"/>
  <c r="N502" i="2"/>
  <c r="M502" i="2"/>
  <c r="L502" i="2"/>
  <c r="K502" i="2"/>
  <c r="O503" i="2"/>
  <c r="N503" i="2"/>
  <c r="M503" i="2"/>
  <c r="L503" i="2"/>
  <c r="K503" i="2"/>
  <c r="O500" i="2"/>
  <c r="N500" i="2"/>
  <c r="M500" i="2"/>
  <c r="L500" i="2"/>
  <c r="K500" i="2"/>
  <c r="O501" i="2"/>
  <c r="N501" i="2"/>
  <c r="M501" i="2"/>
  <c r="L501" i="2"/>
  <c r="K501" i="2"/>
  <c r="O498" i="2"/>
  <c r="N498" i="2"/>
  <c r="M498" i="2"/>
  <c r="L498" i="2"/>
  <c r="K498" i="2"/>
  <c r="O499" i="2"/>
  <c r="N499" i="2"/>
  <c r="M499" i="2"/>
  <c r="L499" i="2"/>
  <c r="K499" i="2"/>
  <c r="O496" i="2"/>
  <c r="N496" i="2"/>
  <c r="M496" i="2"/>
  <c r="L496" i="2"/>
  <c r="K496" i="2"/>
  <c r="O497" i="2"/>
  <c r="N497" i="2"/>
  <c r="M497" i="2"/>
  <c r="L497" i="2"/>
  <c r="K497" i="2"/>
  <c r="O493" i="2"/>
  <c r="N493" i="2"/>
  <c r="M493" i="2"/>
  <c r="L493" i="2"/>
  <c r="K493" i="2"/>
  <c r="O494" i="2"/>
  <c r="N494" i="2"/>
  <c r="M494" i="2"/>
  <c r="L494" i="2"/>
  <c r="K494" i="2"/>
  <c r="O495" i="2"/>
  <c r="N495" i="2"/>
  <c r="M495" i="2"/>
  <c r="L495" i="2"/>
  <c r="K495" i="2"/>
  <c r="O491" i="2"/>
  <c r="N491" i="2"/>
  <c r="M491" i="2"/>
  <c r="L491" i="2"/>
  <c r="K491" i="2"/>
  <c r="O492" i="2"/>
  <c r="N492" i="2"/>
  <c r="M492" i="2"/>
  <c r="L492" i="2"/>
  <c r="K492" i="2"/>
  <c r="O490" i="2"/>
  <c r="N490" i="2"/>
  <c r="M490" i="2"/>
  <c r="L490" i="2"/>
  <c r="K490" i="2"/>
  <c r="O487" i="2"/>
  <c r="N487" i="2"/>
  <c r="M487" i="2"/>
  <c r="L487" i="2"/>
  <c r="K487" i="2"/>
  <c r="O488" i="2"/>
  <c r="N488" i="2"/>
  <c r="M488" i="2"/>
  <c r="L488" i="2"/>
  <c r="K488" i="2"/>
  <c r="O489" i="2"/>
  <c r="N489" i="2"/>
  <c r="M489" i="2"/>
  <c r="L489" i="2"/>
  <c r="K489" i="2"/>
  <c r="O484" i="2"/>
  <c r="N484" i="2"/>
  <c r="M484" i="2"/>
  <c r="L484" i="2"/>
  <c r="K484" i="2"/>
  <c r="O485" i="2"/>
  <c r="N485" i="2"/>
  <c r="M485" i="2"/>
  <c r="L485" i="2"/>
  <c r="K485" i="2"/>
  <c r="O486" i="2"/>
  <c r="N486" i="2"/>
  <c r="M486" i="2"/>
  <c r="L486" i="2"/>
  <c r="K486" i="2"/>
  <c r="O482" i="2"/>
  <c r="N482" i="2"/>
  <c r="M482" i="2"/>
  <c r="L482" i="2"/>
  <c r="K482" i="2"/>
  <c r="O483" i="2"/>
  <c r="N483" i="2"/>
  <c r="M483" i="2"/>
  <c r="L483" i="2"/>
  <c r="K483" i="2"/>
  <c r="O481" i="2"/>
  <c r="N481" i="2"/>
  <c r="M481" i="2"/>
  <c r="L481" i="2"/>
  <c r="K481" i="2"/>
  <c r="O478" i="2"/>
  <c r="N478" i="2"/>
  <c r="M478" i="2"/>
  <c r="L478" i="2"/>
  <c r="K478" i="2"/>
  <c r="O479" i="2"/>
  <c r="N479" i="2"/>
  <c r="M479" i="2"/>
  <c r="L479" i="2"/>
  <c r="K479" i="2"/>
  <c r="O480" i="2"/>
  <c r="N480" i="2"/>
  <c r="M480" i="2"/>
  <c r="L480" i="2"/>
  <c r="K480" i="2"/>
  <c r="O475" i="2"/>
  <c r="N475" i="2"/>
  <c r="M475" i="2"/>
  <c r="L475" i="2"/>
  <c r="K475" i="2"/>
  <c r="O476" i="2"/>
  <c r="N476" i="2"/>
  <c r="M476" i="2"/>
  <c r="L476" i="2"/>
  <c r="K476" i="2"/>
  <c r="O477" i="2"/>
  <c r="N477" i="2"/>
  <c r="M477" i="2"/>
  <c r="L477" i="2"/>
  <c r="K477" i="2"/>
  <c r="O606" i="2"/>
  <c r="N606" i="2"/>
  <c r="M606" i="2"/>
  <c r="L606" i="2"/>
  <c r="K606" i="2"/>
  <c r="O607" i="2"/>
  <c r="N607" i="2"/>
  <c r="M607" i="2"/>
  <c r="L607" i="2"/>
  <c r="K607" i="2"/>
  <c r="O610" i="2"/>
  <c r="N610" i="2"/>
  <c r="M610" i="2"/>
  <c r="L610" i="2"/>
  <c r="K610" i="2"/>
  <c r="O611" i="2"/>
  <c r="N611" i="2"/>
  <c r="M611" i="2"/>
  <c r="L611" i="2"/>
  <c r="K611" i="2"/>
  <c r="O612" i="2"/>
  <c r="N612" i="2"/>
  <c r="M612" i="2"/>
  <c r="L612" i="2"/>
  <c r="K612" i="2"/>
  <c r="O608" i="2"/>
  <c r="N608" i="2"/>
  <c r="M608" i="2"/>
  <c r="L608" i="2"/>
  <c r="K608" i="2"/>
  <c r="O609" i="2"/>
  <c r="N609" i="2"/>
  <c r="M609" i="2"/>
  <c r="L609" i="2"/>
  <c r="K609" i="2"/>
  <c r="O595" i="2"/>
  <c r="N595" i="2"/>
  <c r="M595" i="2"/>
  <c r="L595" i="2"/>
  <c r="K595" i="2"/>
  <c r="O596" i="2"/>
  <c r="N596" i="2"/>
  <c r="M596" i="2"/>
  <c r="L596" i="2"/>
  <c r="K596" i="2"/>
  <c r="O590" i="2"/>
  <c r="N590" i="2"/>
  <c r="M590" i="2"/>
  <c r="L590" i="2"/>
  <c r="K590" i="2"/>
  <c r="O591" i="2"/>
  <c r="N591" i="2"/>
  <c r="M591" i="2"/>
  <c r="L591" i="2"/>
  <c r="K591" i="2"/>
  <c r="O592" i="2"/>
  <c r="N592" i="2"/>
  <c r="M592" i="2"/>
  <c r="L592" i="2"/>
  <c r="K592" i="2"/>
  <c r="O593" i="2"/>
  <c r="N593" i="2"/>
  <c r="M593" i="2"/>
  <c r="L593" i="2"/>
  <c r="K593" i="2"/>
  <c r="O594" i="2"/>
  <c r="N594" i="2"/>
  <c r="M594" i="2"/>
  <c r="L594" i="2"/>
  <c r="K594" i="2"/>
  <c r="O604" i="2"/>
  <c r="N604" i="2"/>
  <c r="M604" i="2"/>
  <c r="L604" i="2"/>
  <c r="K604" i="2"/>
  <c r="O605" i="2"/>
  <c r="N605" i="2"/>
  <c r="M605" i="2"/>
  <c r="L605" i="2"/>
  <c r="K605" i="2"/>
  <c r="O602" i="2"/>
  <c r="N602" i="2"/>
  <c r="M602" i="2"/>
  <c r="L602" i="2"/>
  <c r="K602" i="2"/>
  <c r="O603" i="2"/>
  <c r="N603" i="2"/>
  <c r="M603" i="2"/>
  <c r="L603" i="2"/>
  <c r="K603" i="2"/>
  <c r="O597" i="2"/>
  <c r="N597" i="2"/>
  <c r="M597" i="2"/>
  <c r="L597" i="2"/>
  <c r="K597" i="2"/>
  <c r="O598" i="2"/>
  <c r="N598" i="2"/>
  <c r="M598" i="2"/>
  <c r="L598" i="2"/>
  <c r="K598" i="2"/>
  <c r="O599" i="2"/>
  <c r="N599" i="2"/>
  <c r="M599" i="2"/>
  <c r="L599" i="2"/>
  <c r="K599" i="2"/>
  <c r="O600" i="2"/>
  <c r="N600" i="2"/>
  <c r="M600" i="2"/>
  <c r="L600" i="2"/>
  <c r="K600" i="2"/>
  <c r="O601" i="2"/>
  <c r="N601" i="2"/>
  <c r="M601" i="2"/>
  <c r="L601" i="2"/>
  <c r="K601" i="2"/>
  <c r="O739" i="2"/>
  <c r="N739" i="2"/>
  <c r="M739" i="2"/>
  <c r="L739" i="2"/>
  <c r="K739" i="2"/>
  <c r="O740" i="2"/>
  <c r="N740" i="2"/>
  <c r="M740" i="2"/>
  <c r="L740" i="2"/>
  <c r="K740" i="2"/>
  <c r="O738" i="2"/>
  <c r="N738" i="2"/>
  <c r="M738" i="2"/>
  <c r="L738" i="2"/>
  <c r="K738" i="2"/>
  <c r="O737" i="2"/>
  <c r="N737" i="2"/>
  <c r="M737" i="2"/>
  <c r="L737" i="2"/>
  <c r="K737" i="2"/>
  <c r="O736" i="2"/>
  <c r="N736" i="2"/>
  <c r="M736" i="2"/>
  <c r="L736" i="2"/>
  <c r="K736" i="2"/>
  <c r="O735" i="2"/>
  <c r="N735" i="2"/>
  <c r="M735" i="2"/>
  <c r="L735" i="2"/>
  <c r="K735" i="2"/>
  <c r="O734" i="2"/>
  <c r="N734" i="2"/>
  <c r="M734" i="2"/>
  <c r="L734" i="2"/>
  <c r="K734" i="2"/>
  <c r="O732" i="2"/>
  <c r="N732" i="2"/>
  <c r="M732" i="2"/>
  <c r="L732" i="2"/>
  <c r="K732" i="2"/>
  <c r="O733" i="2"/>
  <c r="N733" i="2"/>
  <c r="M733" i="2"/>
  <c r="L733" i="2"/>
  <c r="K733" i="2"/>
  <c r="O728" i="2"/>
  <c r="N728" i="2"/>
  <c r="M728" i="2"/>
  <c r="L728" i="2"/>
  <c r="K728" i="2"/>
  <c r="O729" i="2"/>
  <c r="N729" i="2"/>
  <c r="M729" i="2"/>
  <c r="L729" i="2"/>
  <c r="K729" i="2"/>
  <c r="O730" i="2"/>
  <c r="N730" i="2"/>
  <c r="M730" i="2"/>
  <c r="L730" i="2"/>
  <c r="K730" i="2"/>
  <c r="O731" i="2"/>
  <c r="N731" i="2"/>
  <c r="M731" i="2"/>
  <c r="L731" i="2"/>
  <c r="K731" i="2"/>
  <c r="O724" i="2"/>
  <c r="N724" i="2"/>
  <c r="M724" i="2"/>
  <c r="L724" i="2"/>
  <c r="K724" i="2"/>
  <c r="O725" i="2"/>
  <c r="N725" i="2"/>
  <c r="M725" i="2"/>
  <c r="L725" i="2"/>
  <c r="K725" i="2"/>
  <c r="O726" i="2"/>
  <c r="N726" i="2"/>
  <c r="M726" i="2"/>
  <c r="L726" i="2"/>
  <c r="K726" i="2"/>
  <c r="O727" i="2"/>
  <c r="N727" i="2"/>
  <c r="M727" i="2"/>
  <c r="L727" i="2"/>
  <c r="K727" i="2"/>
  <c r="O722" i="2"/>
  <c r="N722" i="2"/>
  <c r="M722" i="2"/>
  <c r="L722" i="2"/>
  <c r="K722" i="2"/>
  <c r="O723" i="2"/>
  <c r="N723" i="2"/>
  <c r="M723" i="2"/>
  <c r="L723" i="2"/>
  <c r="K723" i="2"/>
  <c r="O718" i="2"/>
  <c r="N718" i="2"/>
  <c r="M718" i="2"/>
  <c r="L718" i="2"/>
  <c r="K718" i="2"/>
  <c r="O719" i="2"/>
  <c r="N719" i="2"/>
  <c r="M719" i="2"/>
  <c r="L719" i="2"/>
  <c r="K719" i="2"/>
  <c r="O720" i="2"/>
  <c r="N720" i="2"/>
  <c r="M720" i="2"/>
  <c r="L720" i="2"/>
  <c r="K720" i="2"/>
  <c r="O721" i="2"/>
  <c r="N721" i="2"/>
  <c r="M721" i="2"/>
  <c r="L721" i="2"/>
  <c r="K721" i="2"/>
  <c r="O716" i="2"/>
  <c r="N716" i="2"/>
  <c r="M716" i="2"/>
  <c r="L716" i="2"/>
  <c r="K716" i="2"/>
  <c r="O717" i="2"/>
  <c r="N717" i="2"/>
  <c r="M717" i="2"/>
  <c r="L717" i="2"/>
  <c r="K717" i="2"/>
  <c r="O712" i="2"/>
  <c r="N712" i="2"/>
  <c r="M712" i="2"/>
  <c r="L712" i="2"/>
  <c r="K712" i="2"/>
  <c r="O713" i="2"/>
  <c r="N713" i="2"/>
  <c r="M713" i="2"/>
  <c r="L713" i="2"/>
  <c r="K713" i="2"/>
  <c r="O714" i="2"/>
  <c r="N714" i="2"/>
  <c r="M714" i="2"/>
  <c r="L714" i="2"/>
  <c r="K714" i="2"/>
  <c r="O715" i="2"/>
  <c r="N715" i="2"/>
  <c r="M715" i="2"/>
  <c r="L715" i="2"/>
  <c r="K715" i="2"/>
  <c r="O710" i="2"/>
  <c r="N710" i="2"/>
  <c r="M710" i="2"/>
  <c r="L710" i="2"/>
  <c r="K710" i="2"/>
  <c r="O711" i="2"/>
  <c r="N711" i="2"/>
  <c r="M711" i="2"/>
  <c r="L711" i="2"/>
  <c r="K711" i="2"/>
  <c r="O708" i="2"/>
  <c r="N708" i="2"/>
  <c r="M708" i="2"/>
  <c r="L708" i="2"/>
  <c r="K708" i="2"/>
  <c r="O709" i="2"/>
  <c r="N709" i="2"/>
  <c r="M709" i="2"/>
  <c r="L709" i="2"/>
  <c r="K709" i="2"/>
  <c r="O706" i="2"/>
  <c r="N706" i="2"/>
  <c r="M706" i="2"/>
  <c r="L706" i="2"/>
  <c r="K706" i="2"/>
  <c r="O707" i="2"/>
  <c r="N707" i="2"/>
  <c r="M707" i="2"/>
  <c r="L707" i="2"/>
  <c r="K707" i="2"/>
  <c r="O704" i="2"/>
  <c r="N704" i="2"/>
  <c r="M704" i="2"/>
  <c r="L704" i="2"/>
  <c r="K704" i="2"/>
  <c r="O705" i="2"/>
  <c r="N705" i="2"/>
  <c r="M705" i="2"/>
  <c r="L705" i="2"/>
  <c r="K705" i="2"/>
  <c r="O702" i="2"/>
  <c r="N702" i="2"/>
  <c r="M702" i="2"/>
  <c r="L702" i="2"/>
  <c r="K702" i="2"/>
  <c r="O703" i="2"/>
  <c r="N703" i="2"/>
  <c r="M703" i="2"/>
  <c r="L703" i="2"/>
  <c r="K703" i="2"/>
  <c r="O701" i="2"/>
  <c r="N701" i="2"/>
  <c r="M701" i="2"/>
  <c r="L701" i="2"/>
  <c r="K701" i="2"/>
  <c r="O699" i="2"/>
  <c r="N699" i="2"/>
  <c r="M699" i="2"/>
  <c r="L699" i="2"/>
  <c r="K699" i="2"/>
  <c r="O700" i="2"/>
  <c r="N700" i="2"/>
  <c r="M700" i="2"/>
  <c r="L700" i="2"/>
  <c r="K700" i="2"/>
  <c r="O697" i="2"/>
  <c r="N697" i="2"/>
  <c r="M697" i="2"/>
  <c r="L697" i="2"/>
  <c r="K697" i="2"/>
  <c r="O698" i="2"/>
  <c r="N698" i="2"/>
  <c r="M698" i="2"/>
  <c r="L698" i="2"/>
  <c r="K698" i="2"/>
  <c r="O695" i="2"/>
  <c r="N695" i="2"/>
  <c r="M695" i="2"/>
  <c r="L695" i="2"/>
  <c r="K695" i="2"/>
  <c r="O696" i="2"/>
  <c r="N696" i="2"/>
  <c r="M696" i="2"/>
  <c r="L696" i="2"/>
  <c r="K696" i="2"/>
  <c r="O693" i="2"/>
  <c r="N693" i="2"/>
  <c r="M693" i="2"/>
  <c r="L693" i="2"/>
  <c r="K693" i="2"/>
  <c r="O694" i="2"/>
  <c r="N694" i="2"/>
  <c r="M694" i="2"/>
  <c r="L694" i="2"/>
  <c r="K694" i="2"/>
  <c r="O691" i="2"/>
  <c r="N691" i="2"/>
  <c r="M691" i="2"/>
  <c r="L691" i="2"/>
  <c r="K691" i="2"/>
  <c r="O692" i="2"/>
  <c r="N692" i="2"/>
  <c r="M692" i="2"/>
  <c r="L692" i="2"/>
  <c r="K692" i="2"/>
  <c r="O689" i="2"/>
  <c r="N689" i="2"/>
  <c r="M689" i="2"/>
  <c r="L689" i="2"/>
  <c r="K689" i="2"/>
  <c r="O690" i="2"/>
  <c r="N690" i="2"/>
  <c r="M690" i="2"/>
  <c r="L690" i="2"/>
  <c r="K690" i="2"/>
  <c r="O687" i="2"/>
  <c r="N687" i="2"/>
  <c r="M687" i="2"/>
  <c r="L687" i="2"/>
  <c r="K687" i="2"/>
  <c r="O688" i="2"/>
  <c r="N688" i="2"/>
  <c r="M688" i="2"/>
  <c r="L688" i="2"/>
  <c r="K688" i="2"/>
  <c r="O685" i="2"/>
  <c r="N685" i="2"/>
  <c r="M685" i="2"/>
  <c r="L685" i="2"/>
  <c r="K685" i="2"/>
  <c r="O686" i="2"/>
  <c r="N686" i="2"/>
  <c r="M686" i="2"/>
  <c r="L686" i="2"/>
  <c r="K686" i="2"/>
  <c r="O683" i="2"/>
  <c r="N683" i="2"/>
  <c r="M683" i="2"/>
  <c r="L683" i="2"/>
  <c r="K683" i="2"/>
  <c r="O684" i="2"/>
  <c r="N684" i="2"/>
  <c r="M684" i="2"/>
  <c r="L684" i="2"/>
  <c r="K684" i="2"/>
  <c r="O681" i="2"/>
  <c r="N681" i="2"/>
  <c r="M681" i="2"/>
  <c r="L681" i="2"/>
  <c r="K681" i="2"/>
  <c r="O682" i="2"/>
  <c r="N682" i="2"/>
  <c r="M682" i="2"/>
  <c r="L682" i="2"/>
  <c r="K682" i="2"/>
  <c r="O679" i="2"/>
  <c r="N679" i="2"/>
  <c r="M679" i="2"/>
  <c r="L679" i="2"/>
  <c r="K679" i="2"/>
  <c r="O680" i="2"/>
  <c r="N680" i="2"/>
  <c r="M680" i="2"/>
  <c r="L680" i="2"/>
  <c r="K680" i="2"/>
  <c r="O677" i="2"/>
  <c r="N677" i="2"/>
  <c r="M677" i="2"/>
  <c r="L677" i="2"/>
  <c r="K677" i="2"/>
  <c r="O678" i="2"/>
  <c r="N678" i="2"/>
  <c r="M678" i="2"/>
  <c r="L678" i="2"/>
  <c r="K678" i="2"/>
  <c r="O675" i="2"/>
  <c r="N675" i="2"/>
  <c r="M675" i="2"/>
  <c r="L675" i="2"/>
  <c r="K675" i="2"/>
  <c r="O676" i="2"/>
  <c r="N676" i="2"/>
  <c r="M676" i="2"/>
  <c r="L676" i="2"/>
  <c r="K676" i="2"/>
  <c r="O673" i="2"/>
  <c r="N673" i="2"/>
  <c r="M673" i="2"/>
  <c r="L673" i="2"/>
  <c r="K673" i="2"/>
  <c r="O674" i="2"/>
  <c r="N674" i="2"/>
  <c r="M674" i="2"/>
  <c r="L674" i="2"/>
  <c r="K674" i="2"/>
  <c r="O671" i="2"/>
  <c r="N671" i="2"/>
  <c r="M671" i="2"/>
  <c r="L671" i="2"/>
  <c r="K671" i="2"/>
  <c r="O672" i="2"/>
  <c r="N672" i="2"/>
  <c r="M672" i="2"/>
  <c r="L672" i="2"/>
  <c r="K672" i="2"/>
  <c r="O668" i="2"/>
  <c r="N668" i="2"/>
  <c r="M668" i="2"/>
  <c r="L668" i="2"/>
  <c r="K668" i="2"/>
  <c r="O669" i="2"/>
  <c r="N669" i="2"/>
  <c r="M669" i="2"/>
  <c r="L669" i="2"/>
  <c r="K669" i="2"/>
  <c r="O670" i="2"/>
  <c r="N670" i="2"/>
  <c r="M670" i="2"/>
  <c r="L670" i="2"/>
  <c r="K670" i="2"/>
  <c r="O665" i="2"/>
  <c r="N665" i="2"/>
  <c r="M665" i="2"/>
  <c r="L665" i="2"/>
  <c r="K665" i="2"/>
  <c r="O666" i="2"/>
  <c r="N666" i="2"/>
  <c r="M666" i="2"/>
  <c r="L666" i="2"/>
  <c r="K666" i="2"/>
  <c r="O667" i="2"/>
  <c r="N667" i="2"/>
  <c r="M667" i="2"/>
  <c r="L667" i="2"/>
  <c r="K667" i="2"/>
  <c r="O662" i="2"/>
  <c r="N662" i="2"/>
  <c r="M662" i="2"/>
  <c r="L662" i="2"/>
  <c r="K662" i="2"/>
  <c r="O663" i="2"/>
  <c r="N663" i="2"/>
  <c r="M663" i="2"/>
  <c r="L663" i="2"/>
  <c r="K663" i="2"/>
  <c r="O664" i="2"/>
  <c r="N664" i="2"/>
  <c r="M664" i="2"/>
  <c r="L664" i="2"/>
  <c r="K664" i="2"/>
  <c r="O658" i="2"/>
  <c r="N658" i="2"/>
  <c r="M658" i="2"/>
  <c r="L658" i="2"/>
  <c r="K658" i="2"/>
  <c r="O659" i="2"/>
  <c r="N659" i="2"/>
  <c r="M659" i="2"/>
  <c r="L659" i="2"/>
  <c r="K659" i="2"/>
  <c r="O660" i="2"/>
  <c r="N660" i="2"/>
  <c r="M660" i="2"/>
  <c r="L660" i="2"/>
  <c r="K660" i="2"/>
  <c r="O661" i="2"/>
  <c r="N661" i="2"/>
  <c r="M661" i="2"/>
  <c r="L661" i="2"/>
  <c r="K661" i="2"/>
  <c r="O655" i="2"/>
  <c r="N655" i="2"/>
  <c r="M655" i="2"/>
  <c r="L655" i="2"/>
  <c r="K655" i="2"/>
  <c r="O656" i="2"/>
  <c r="N656" i="2"/>
  <c r="M656" i="2"/>
  <c r="L656" i="2"/>
  <c r="K656" i="2"/>
  <c r="O657" i="2"/>
  <c r="N657" i="2"/>
  <c r="M657" i="2"/>
  <c r="L657" i="2"/>
  <c r="K657" i="2"/>
  <c r="O652" i="2"/>
  <c r="N652" i="2"/>
  <c r="M652" i="2"/>
  <c r="L652" i="2"/>
  <c r="K652" i="2"/>
  <c r="O653" i="2"/>
  <c r="N653" i="2"/>
  <c r="M653" i="2"/>
  <c r="L653" i="2"/>
  <c r="K653" i="2"/>
  <c r="O654" i="2"/>
  <c r="N654" i="2"/>
  <c r="M654" i="2"/>
  <c r="L654" i="2"/>
  <c r="K654" i="2"/>
  <c r="O650" i="2"/>
  <c r="N650" i="2"/>
  <c r="M650" i="2"/>
  <c r="L650" i="2"/>
  <c r="K650" i="2"/>
  <c r="O651" i="2"/>
  <c r="N651" i="2"/>
  <c r="M651" i="2"/>
  <c r="L651" i="2"/>
  <c r="K651" i="2"/>
  <c r="O647" i="2"/>
  <c r="N647" i="2"/>
  <c r="M647" i="2"/>
  <c r="L647" i="2"/>
  <c r="K647" i="2"/>
  <c r="O648" i="2"/>
  <c r="N648" i="2"/>
  <c r="M648" i="2"/>
  <c r="L648" i="2"/>
  <c r="K648" i="2"/>
  <c r="O649" i="2"/>
  <c r="N649" i="2"/>
  <c r="M649" i="2"/>
  <c r="L649" i="2"/>
  <c r="K649" i="2"/>
  <c r="O643" i="2"/>
  <c r="N643" i="2"/>
  <c r="M643" i="2"/>
  <c r="L643" i="2"/>
  <c r="K643" i="2"/>
  <c r="O644" i="2"/>
  <c r="N644" i="2"/>
  <c r="M644" i="2"/>
  <c r="L644" i="2"/>
  <c r="K644" i="2"/>
  <c r="O645" i="2"/>
  <c r="N645" i="2"/>
  <c r="M645" i="2"/>
  <c r="L645" i="2"/>
  <c r="K645" i="2"/>
  <c r="O646" i="2"/>
  <c r="N646" i="2"/>
  <c r="M646" i="2"/>
  <c r="L646" i="2"/>
  <c r="K646" i="2"/>
  <c r="O639" i="2"/>
  <c r="N639" i="2"/>
  <c r="M639" i="2"/>
  <c r="L639" i="2"/>
  <c r="K639" i="2"/>
  <c r="O640" i="2"/>
  <c r="N640" i="2"/>
  <c r="M640" i="2"/>
  <c r="L640" i="2"/>
  <c r="K640" i="2"/>
  <c r="O641" i="2"/>
  <c r="N641" i="2"/>
  <c r="M641" i="2"/>
  <c r="L641" i="2"/>
  <c r="K641" i="2"/>
  <c r="O642" i="2"/>
  <c r="N642" i="2"/>
  <c r="M642" i="2"/>
  <c r="L642" i="2"/>
  <c r="K642" i="2"/>
  <c r="O636" i="2"/>
  <c r="N636" i="2"/>
  <c r="M636" i="2"/>
  <c r="L636" i="2"/>
  <c r="K636" i="2"/>
  <c r="O637" i="2"/>
  <c r="N637" i="2"/>
  <c r="M637" i="2"/>
  <c r="L637" i="2"/>
  <c r="K637" i="2"/>
  <c r="O638" i="2"/>
  <c r="N638" i="2"/>
  <c r="M638" i="2"/>
  <c r="L638" i="2"/>
  <c r="K638" i="2"/>
  <c r="O634" i="2"/>
  <c r="N634" i="2"/>
  <c r="M634" i="2"/>
  <c r="L634" i="2"/>
  <c r="K634" i="2"/>
  <c r="O635" i="2"/>
  <c r="N635" i="2"/>
  <c r="M635" i="2"/>
  <c r="L635" i="2"/>
  <c r="K635" i="2"/>
  <c r="O632" i="2"/>
  <c r="N632" i="2"/>
  <c r="M632" i="2"/>
  <c r="L632" i="2"/>
  <c r="K632" i="2"/>
  <c r="O633" i="2"/>
  <c r="N633" i="2"/>
  <c r="M633" i="2"/>
  <c r="L633" i="2"/>
  <c r="K633" i="2"/>
  <c r="O630" i="2"/>
  <c r="N630" i="2"/>
  <c r="M630" i="2"/>
  <c r="L630" i="2"/>
  <c r="K630" i="2"/>
  <c r="O631" i="2"/>
  <c r="N631" i="2"/>
  <c r="M631" i="2"/>
  <c r="L631" i="2"/>
  <c r="K631" i="2"/>
  <c r="O628" i="2"/>
  <c r="N628" i="2"/>
  <c r="M628" i="2"/>
  <c r="L628" i="2"/>
  <c r="K628" i="2"/>
  <c r="O629" i="2"/>
  <c r="N629" i="2"/>
  <c r="M629" i="2"/>
  <c r="L629" i="2"/>
  <c r="K629" i="2"/>
  <c r="O626" i="2"/>
  <c r="N626" i="2"/>
  <c r="M626" i="2"/>
  <c r="L626" i="2"/>
  <c r="K626" i="2"/>
  <c r="O627" i="2"/>
  <c r="N627" i="2"/>
  <c r="M627" i="2"/>
  <c r="L627" i="2"/>
  <c r="K627" i="2"/>
  <c r="O624" i="2"/>
  <c r="N624" i="2"/>
  <c r="M624" i="2"/>
  <c r="L624" i="2"/>
  <c r="K624" i="2"/>
  <c r="O625" i="2"/>
  <c r="N625" i="2"/>
  <c r="M625" i="2"/>
  <c r="L625" i="2"/>
  <c r="K625" i="2"/>
  <c r="O622" i="2"/>
  <c r="N622" i="2"/>
  <c r="M622" i="2"/>
  <c r="L622" i="2"/>
  <c r="K622" i="2"/>
  <c r="O623" i="2"/>
  <c r="N623" i="2"/>
  <c r="M623" i="2"/>
  <c r="L623" i="2"/>
  <c r="K623" i="2"/>
  <c r="O620" i="2"/>
  <c r="N620" i="2"/>
  <c r="M620" i="2"/>
  <c r="L620" i="2"/>
  <c r="K620" i="2"/>
  <c r="O621" i="2"/>
  <c r="N621" i="2"/>
  <c r="M621" i="2"/>
  <c r="L621" i="2"/>
  <c r="K621" i="2"/>
  <c r="O618" i="2"/>
  <c r="N618" i="2"/>
  <c r="M618" i="2"/>
  <c r="L618" i="2"/>
  <c r="K618" i="2"/>
  <c r="O619" i="2"/>
  <c r="N619" i="2"/>
  <c r="M619" i="2"/>
  <c r="L619" i="2"/>
  <c r="K619" i="2"/>
  <c r="O616" i="2"/>
  <c r="N616" i="2"/>
  <c r="M616" i="2"/>
  <c r="L616" i="2"/>
  <c r="K616" i="2"/>
  <c r="O617" i="2"/>
  <c r="N617" i="2"/>
  <c r="M617" i="2"/>
  <c r="L617" i="2"/>
  <c r="K617" i="2"/>
  <c r="O614" i="2"/>
  <c r="N614" i="2"/>
  <c r="M614" i="2"/>
  <c r="L614" i="2"/>
  <c r="K614" i="2"/>
  <c r="O615" i="2"/>
  <c r="N615" i="2"/>
  <c r="M615" i="2"/>
  <c r="L615" i="2"/>
  <c r="K615" i="2"/>
  <c r="O613" i="2"/>
  <c r="N613" i="2"/>
  <c r="M613" i="2"/>
  <c r="L613" i="2"/>
  <c r="K613" i="2"/>
  <c r="O114" i="2"/>
  <c r="N114" i="2"/>
  <c r="M114" i="2"/>
  <c r="L114" i="2"/>
  <c r="K114" i="2"/>
  <c r="O197" i="2"/>
  <c r="N197" i="2"/>
  <c r="M197" i="2"/>
  <c r="L197" i="2"/>
  <c r="K197" i="2"/>
  <c r="O191" i="2"/>
  <c r="N191" i="2"/>
  <c r="M191" i="2"/>
  <c r="L191" i="2"/>
  <c r="K191" i="2"/>
  <c r="O190" i="2"/>
  <c r="N190" i="2"/>
  <c r="M190" i="2"/>
  <c r="L190" i="2"/>
  <c r="K190" i="2"/>
  <c r="O189" i="2"/>
  <c r="N189" i="2"/>
  <c r="M189" i="2"/>
  <c r="L189" i="2"/>
  <c r="K189" i="2"/>
  <c r="O188" i="2"/>
  <c r="N188" i="2"/>
  <c r="M188" i="2"/>
  <c r="L188" i="2"/>
  <c r="K188" i="2"/>
  <c r="O187" i="2"/>
  <c r="N187" i="2"/>
  <c r="M187" i="2"/>
  <c r="L187" i="2"/>
  <c r="K187" i="2"/>
  <c r="O196" i="2"/>
  <c r="N196" i="2"/>
  <c r="M196" i="2"/>
  <c r="L196" i="2"/>
  <c r="K196" i="2"/>
  <c r="O99" i="2"/>
  <c r="N99" i="2"/>
  <c r="M99" i="2"/>
  <c r="L99" i="2"/>
  <c r="K99" i="2"/>
  <c r="O194" i="2"/>
  <c r="N194" i="2"/>
  <c r="M194" i="2"/>
  <c r="L194" i="2"/>
  <c r="K194" i="2"/>
  <c r="O115" i="2"/>
  <c r="N115" i="2"/>
  <c r="M115" i="2"/>
  <c r="L115" i="2"/>
  <c r="K115" i="2"/>
  <c r="O193" i="2"/>
  <c r="N193" i="2"/>
  <c r="M193" i="2"/>
  <c r="L193" i="2"/>
  <c r="K193" i="2"/>
  <c r="O118" i="2"/>
  <c r="N118" i="2"/>
  <c r="M118" i="2"/>
  <c r="L118" i="2"/>
  <c r="K118" i="2"/>
  <c r="O303" i="2"/>
  <c r="N303" i="2"/>
  <c r="M303" i="2"/>
  <c r="L303" i="2"/>
  <c r="K303" i="2"/>
  <c r="O49" i="2"/>
  <c r="N49" i="2"/>
  <c r="M49" i="2"/>
  <c r="L49" i="2"/>
  <c r="K49" i="2"/>
  <c r="O302" i="2"/>
  <c r="N302" i="2"/>
  <c r="M302" i="2"/>
  <c r="L302" i="2"/>
  <c r="K302" i="2"/>
  <c r="O306" i="2"/>
  <c r="N306" i="2"/>
  <c r="M306" i="2"/>
  <c r="L306" i="2"/>
  <c r="K306" i="2"/>
  <c r="O299" i="2"/>
  <c r="N299" i="2"/>
  <c r="M299" i="2"/>
  <c r="L299" i="2"/>
  <c r="K299" i="2"/>
  <c r="O300" i="2"/>
  <c r="N300" i="2"/>
  <c r="M300" i="2"/>
  <c r="L300" i="2"/>
  <c r="K300" i="2"/>
  <c r="O113" i="2"/>
  <c r="N113" i="2"/>
  <c r="M113" i="2"/>
  <c r="L113" i="2"/>
  <c r="K113" i="2"/>
  <c r="O185" i="2"/>
  <c r="N185" i="2"/>
  <c r="M185" i="2"/>
  <c r="L185" i="2"/>
  <c r="K185" i="2"/>
  <c r="O183" i="2"/>
  <c r="N183" i="2"/>
  <c r="M183" i="2"/>
  <c r="L183" i="2"/>
  <c r="K183" i="2"/>
  <c r="O88" i="2"/>
  <c r="N88" i="2"/>
  <c r="M88" i="2"/>
  <c r="L88" i="2"/>
  <c r="K88" i="2"/>
  <c r="O112" i="2"/>
  <c r="N112" i="2"/>
  <c r="M112" i="2"/>
  <c r="L112" i="2"/>
  <c r="K112" i="2"/>
  <c r="O301" i="2"/>
  <c r="N301" i="2"/>
  <c r="M301" i="2"/>
  <c r="L301" i="2"/>
  <c r="K301" i="2"/>
  <c r="O50" i="2"/>
  <c r="N50" i="2"/>
  <c r="M50" i="2"/>
  <c r="L50" i="2"/>
  <c r="K50" i="2"/>
  <c r="O162" i="2"/>
  <c r="N162" i="2"/>
  <c r="M162" i="2"/>
  <c r="L162" i="2"/>
  <c r="K162" i="2"/>
  <c r="O166" i="2"/>
  <c r="N166" i="2"/>
  <c r="M166" i="2"/>
  <c r="L166" i="2"/>
  <c r="K166" i="2"/>
  <c r="O165" i="2"/>
  <c r="N165" i="2"/>
  <c r="M165" i="2"/>
  <c r="L165" i="2"/>
  <c r="K165" i="2"/>
  <c r="O164" i="2"/>
  <c r="N164" i="2"/>
  <c r="M164" i="2"/>
  <c r="L164" i="2"/>
  <c r="K164" i="2"/>
  <c r="O163" i="2"/>
  <c r="N163" i="2"/>
  <c r="M163" i="2"/>
  <c r="L163" i="2"/>
  <c r="K163" i="2"/>
  <c r="O97" i="2"/>
  <c r="N97" i="2"/>
  <c r="M97" i="2"/>
  <c r="L97" i="2"/>
  <c r="K97" i="2"/>
  <c r="O172" i="2"/>
  <c r="N172" i="2"/>
  <c r="M172" i="2"/>
  <c r="L172" i="2"/>
  <c r="K172" i="2"/>
  <c r="O91" i="2"/>
  <c r="N91" i="2"/>
  <c r="M91" i="2"/>
  <c r="L91" i="2"/>
  <c r="K91" i="2"/>
  <c r="O171" i="2"/>
  <c r="N171" i="2"/>
  <c r="M171" i="2"/>
  <c r="L171" i="2"/>
  <c r="K171" i="2"/>
  <c r="O175" i="2"/>
  <c r="N175" i="2"/>
  <c r="M175" i="2"/>
  <c r="L175" i="2"/>
  <c r="K175" i="2"/>
  <c r="O174" i="2"/>
  <c r="N174" i="2"/>
  <c r="M174" i="2"/>
  <c r="L174" i="2"/>
  <c r="K174" i="2"/>
  <c r="O94" i="2"/>
  <c r="N94" i="2"/>
  <c r="M94" i="2"/>
  <c r="L94" i="2"/>
  <c r="K94" i="2"/>
  <c r="O173" i="2"/>
  <c r="N173" i="2"/>
  <c r="M173" i="2"/>
  <c r="L173" i="2"/>
  <c r="K173" i="2"/>
  <c r="O170" i="2"/>
  <c r="N170" i="2"/>
  <c r="M170" i="2"/>
  <c r="L170" i="2"/>
  <c r="K170" i="2"/>
  <c r="O168" i="2"/>
  <c r="N168" i="2"/>
  <c r="M168" i="2"/>
  <c r="L168" i="2"/>
  <c r="K168" i="2"/>
  <c r="O169" i="2"/>
  <c r="N169" i="2"/>
  <c r="M169" i="2"/>
  <c r="L169" i="2"/>
  <c r="K169" i="2"/>
  <c r="O105" i="2"/>
  <c r="N105" i="2"/>
  <c r="M105" i="2"/>
  <c r="L105" i="2"/>
  <c r="K105" i="2"/>
  <c r="O106" i="2"/>
  <c r="N106" i="2"/>
  <c r="M106" i="2"/>
  <c r="L106" i="2"/>
  <c r="K106" i="2"/>
  <c r="O107" i="2"/>
  <c r="N107" i="2"/>
  <c r="M107" i="2"/>
  <c r="L107" i="2"/>
  <c r="K107" i="2"/>
  <c r="O167" i="2"/>
  <c r="N167" i="2"/>
  <c r="M167" i="2"/>
  <c r="L167" i="2"/>
  <c r="K167" i="2"/>
  <c r="O305" i="2"/>
  <c r="N305" i="2"/>
  <c r="M305" i="2"/>
  <c r="L305" i="2"/>
  <c r="K305" i="2"/>
  <c r="O200" i="2"/>
  <c r="N200" i="2"/>
  <c r="M200" i="2"/>
  <c r="L200" i="2"/>
  <c r="K200" i="2"/>
  <c r="O204" i="2"/>
  <c r="N204" i="2"/>
  <c r="M204" i="2"/>
  <c r="L204" i="2"/>
  <c r="K204" i="2"/>
  <c r="O198" i="2"/>
  <c r="N198" i="2"/>
  <c r="M198" i="2"/>
  <c r="L198" i="2"/>
  <c r="K198" i="2"/>
  <c r="O199" i="2"/>
  <c r="N199" i="2"/>
  <c r="M199" i="2"/>
  <c r="L199" i="2"/>
  <c r="K199" i="2"/>
  <c r="O182" i="2"/>
  <c r="N182" i="2"/>
  <c r="M182" i="2"/>
  <c r="L182" i="2"/>
  <c r="K182" i="2"/>
  <c r="O180" i="2"/>
  <c r="N180" i="2"/>
  <c r="M180" i="2"/>
  <c r="L180" i="2"/>
  <c r="K180" i="2"/>
  <c r="O179" i="2"/>
  <c r="N179" i="2"/>
  <c r="M179" i="2"/>
  <c r="L179" i="2"/>
  <c r="K179" i="2"/>
  <c r="O178" i="2"/>
  <c r="N178" i="2"/>
  <c r="M178" i="2"/>
  <c r="L178" i="2"/>
  <c r="K178" i="2"/>
  <c r="O177" i="2"/>
  <c r="N177" i="2"/>
  <c r="M177" i="2"/>
  <c r="L177" i="2"/>
  <c r="K177" i="2"/>
  <c r="O202" i="2"/>
  <c r="N202" i="2"/>
  <c r="M202" i="2"/>
  <c r="L202" i="2"/>
  <c r="K202" i="2"/>
  <c r="O203" i="2"/>
  <c r="N203" i="2"/>
  <c r="M203" i="2"/>
  <c r="L203" i="2"/>
  <c r="K203" i="2"/>
  <c r="O176" i="2"/>
  <c r="N176" i="2"/>
  <c r="M176" i="2"/>
  <c r="L176" i="2"/>
  <c r="K176" i="2"/>
  <c r="O304" i="2"/>
  <c r="N304" i="2"/>
  <c r="M304" i="2"/>
  <c r="L304" i="2"/>
  <c r="K304" i="2"/>
  <c r="O201" i="2"/>
  <c r="N201" i="2"/>
  <c r="M201" i="2"/>
  <c r="L201" i="2"/>
  <c r="K201" i="2"/>
  <c r="O85" i="2"/>
  <c r="N85" i="2"/>
  <c r="M85" i="2"/>
  <c r="L85" i="2"/>
  <c r="K85" i="2"/>
  <c r="O110" i="2"/>
  <c r="N110" i="2"/>
  <c r="M110" i="2"/>
  <c r="L110" i="2"/>
  <c r="K110" i="2"/>
  <c r="O111" i="2"/>
  <c r="N111" i="2"/>
  <c r="M111" i="2"/>
  <c r="L111" i="2"/>
  <c r="K111" i="2"/>
  <c r="O109" i="2"/>
  <c r="N109" i="2"/>
  <c r="M109" i="2"/>
  <c r="L109" i="2"/>
  <c r="K109" i="2"/>
  <c r="O108" i="2"/>
  <c r="N108" i="2"/>
  <c r="M108" i="2"/>
  <c r="L108" i="2"/>
  <c r="K108" i="2"/>
  <c r="O104" i="2"/>
  <c r="N104" i="2"/>
  <c r="M104" i="2"/>
  <c r="L104" i="2"/>
  <c r="K104" i="2"/>
  <c r="O77" i="2"/>
  <c r="N77" i="2"/>
  <c r="M77" i="2"/>
  <c r="L77" i="2"/>
  <c r="K77" i="2"/>
  <c r="O102" i="2"/>
  <c r="N102" i="2"/>
  <c r="M102" i="2"/>
  <c r="L102" i="2"/>
  <c r="K102" i="2"/>
  <c r="O103" i="2"/>
  <c r="N103" i="2"/>
  <c r="M103" i="2"/>
  <c r="L103" i="2"/>
  <c r="K103" i="2"/>
  <c r="O100" i="2"/>
  <c r="N100" i="2"/>
  <c r="M100" i="2"/>
  <c r="L100" i="2"/>
  <c r="K100" i="2"/>
  <c r="O101" i="2"/>
  <c r="N101" i="2"/>
  <c r="M101" i="2"/>
  <c r="L101" i="2"/>
  <c r="K101" i="2"/>
  <c r="O405" i="2"/>
  <c r="N405" i="2"/>
  <c r="M405" i="2"/>
  <c r="L405" i="2"/>
  <c r="K405" i="2"/>
  <c r="O404" i="2"/>
  <c r="N404" i="2"/>
  <c r="M404" i="2"/>
  <c r="L404" i="2"/>
  <c r="K404" i="2"/>
  <c r="O391" i="2"/>
  <c r="N391" i="2"/>
  <c r="M391" i="2"/>
  <c r="L391" i="2"/>
  <c r="K391" i="2"/>
  <c r="O384" i="2"/>
  <c r="N384" i="2"/>
  <c r="M384" i="2"/>
  <c r="L384" i="2"/>
  <c r="K384" i="2"/>
  <c r="O385" i="2"/>
  <c r="N385" i="2"/>
  <c r="M385" i="2"/>
  <c r="L385" i="2"/>
  <c r="K385" i="2"/>
  <c r="O387" i="2"/>
  <c r="N387" i="2"/>
  <c r="M387" i="2"/>
  <c r="L387" i="2"/>
  <c r="K387" i="2"/>
  <c r="O388" i="2"/>
  <c r="N388" i="2"/>
  <c r="M388" i="2"/>
  <c r="L388" i="2"/>
  <c r="K388" i="2"/>
  <c r="O389" i="2"/>
  <c r="N389" i="2"/>
  <c r="M389" i="2"/>
  <c r="L389" i="2"/>
  <c r="K389" i="2"/>
  <c r="O390" i="2"/>
  <c r="N390" i="2"/>
  <c r="M390" i="2"/>
  <c r="L390" i="2"/>
  <c r="K390" i="2"/>
  <c r="O399" i="2"/>
  <c r="N399" i="2"/>
  <c r="M399" i="2"/>
  <c r="L399" i="2"/>
  <c r="K399" i="2"/>
  <c r="O400" i="2"/>
  <c r="N400" i="2"/>
  <c r="M400" i="2"/>
  <c r="L400" i="2"/>
  <c r="K400" i="2"/>
  <c r="O353" i="2"/>
  <c r="N353" i="2"/>
  <c r="M353" i="2"/>
  <c r="L353" i="2"/>
  <c r="K353" i="2"/>
  <c r="O343" i="2"/>
  <c r="N343" i="2"/>
  <c r="M343" i="2"/>
  <c r="L343" i="2"/>
  <c r="K343" i="2"/>
  <c r="O344" i="2"/>
  <c r="N344" i="2"/>
  <c r="M344" i="2"/>
  <c r="L344" i="2"/>
  <c r="K344" i="2"/>
  <c r="O393" i="2"/>
  <c r="N393" i="2"/>
  <c r="M393" i="2"/>
  <c r="L393" i="2"/>
  <c r="K393" i="2"/>
  <c r="O394" i="2"/>
  <c r="N394" i="2"/>
  <c r="M394" i="2"/>
  <c r="L394" i="2"/>
  <c r="K394" i="2"/>
  <c r="O342" i="2"/>
  <c r="N342" i="2"/>
  <c r="M342" i="2"/>
  <c r="L342" i="2"/>
  <c r="K342" i="2"/>
  <c r="O356" i="2"/>
  <c r="N356" i="2"/>
  <c r="M356" i="2"/>
  <c r="L356" i="2"/>
  <c r="K356" i="2"/>
  <c r="O397" i="2"/>
  <c r="N397" i="2"/>
  <c r="M397" i="2"/>
  <c r="L397" i="2"/>
  <c r="K397" i="2"/>
  <c r="O398" i="2"/>
  <c r="N398" i="2"/>
  <c r="M398" i="2"/>
  <c r="L398" i="2"/>
  <c r="K398" i="2"/>
  <c r="O350" i="2"/>
  <c r="N350" i="2"/>
  <c r="M350" i="2"/>
  <c r="L350" i="2"/>
  <c r="K350" i="2"/>
  <c r="O395" i="2"/>
  <c r="N395" i="2"/>
  <c r="M395" i="2"/>
  <c r="L395" i="2"/>
  <c r="K395" i="2"/>
  <c r="O396" i="2"/>
  <c r="N396" i="2"/>
  <c r="M396" i="2"/>
  <c r="L396" i="2"/>
  <c r="K396" i="2"/>
  <c r="O347" i="2"/>
  <c r="N347" i="2"/>
  <c r="M347" i="2"/>
  <c r="L347" i="2"/>
  <c r="K347" i="2"/>
  <c r="O401" i="2"/>
  <c r="N401" i="2"/>
  <c r="M401" i="2"/>
  <c r="L401" i="2"/>
  <c r="K401" i="2"/>
  <c r="O403" i="2"/>
  <c r="N403" i="2"/>
  <c r="M403" i="2"/>
  <c r="L403" i="2"/>
  <c r="K403" i="2"/>
  <c r="O357" i="2"/>
  <c r="N357" i="2"/>
  <c r="M357" i="2"/>
  <c r="L357" i="2"/>
  <c r="K357" i="2"/>
  <c r="O409" i="2"/>
  <c r="N409" i="2"/>
  <c r="M409" i="2"/>
  <c r="L409" i="2"/>
  <c r="K409" i="2"/>
  <c r="O410" i="2"/>
  <c r="N410" i="2"/>
  <c r="M410" i="2"/>
  <c r="L410" i="2"/>
  <c r="K410" i="2"/>
  <c r="O411" i="2"/>
  <c r="N411" i="2"/>
  <c r="M411" i="2"/>
  <c r="L411" i="2"/>
  <c r="K411" i="2"/>
  <c r="O407" i="2"/>
  <c r="N407" i="2"/>
  <c r="M407" i="2"/>
  <c r="L407" i="2"/>
  <c r="K407" i="2"/>
  <c r="O408" i="2"/>
  <c r="N408" i="2"/>
  <c r="M408" i="2"/>
  <c r="L408" i="2"/>
  <c r="K408" i="2"/>
  <c r="O406" i="2"/>
  <c r="N406" i="2"/>
  <c r="M406" i="2"/>
  <c r="L406" i="2"/>
  <c r="K406" i="2"/>
  <c r="O363" i="2"/>
  <c r="N363" i="2"/>
  <c r="M363" i="2"/>
  <c r="L363" i="2"/>
  <c r="K363" i="2"/>
  <c r="O362" i="2"/>
  <c r="N362" i="2"/>
  <c r="M362" i="2"/>
  <c r="L362" i="2"/>
  <c r="K362" i="2"/>
  <c r="O29" i="2"/>
  <c r="N29" i="2"/>
  <c r="M29" i="2"/>
  <c r="L29" i="2"/>
  <c r="K29" i="2"/>
  <c r="O30" i="2"/>
  <c r="N30" i="2"/>
  <c r="M30" i="2"/>
  <c r="L30" i="2"/>
  <c r="K30" i="2"/>
  <c r="O223" i="2"/>
  <c r="N223" i="2"/>
  <c r="M223" i="2"/>
  <c r="L223" i="2"/>
  <c r="K223" i="2"/>
  <c r="O27" i="2"/>
  <c r="N27" i="2"/>
  <c r="M27" i="2"/>
  <c r="L27" i="2"/>
  <c r="K27" i="2"/>
  <c r="O28" i="2"/>
  <c r="N28" i="2"/>
  <c r="M28" i="2"/>
  <c r="L28" i="2"/>
  <c r="K28" i="2"/>
  <c r="O84" i="2"/>
  <c r="N84" i="2"/>
  <c r="M84" i="2"/>
  <c r="L84" i="2"/>
  <c r="K84" i="2"/>
  <c r="O86" i="2"/>
  <c r="N86" i="2"/>
  <c r="M86" i="2"/>
  <c r="L86" i="2"/>
  <c r="K86" i="2"/>
  <c r="O82" i="2"/>
  <c r="N82" i="2"/>
  <c r="M82" i="2"/>
  <c r="L82" i="2"/>
  <c r="K82" i="2"/>
  <c r="O83" i="2"/>
  <c r="N83" i="2"/>
  <c r="M83" i="2"/>
  <c r="L83" i="2"/>
  <c r="K83" i="2"/>
  <c r="O16" i="2"/>
  <c r="N16" i="2"/>
  <c r="M16" i="2"/>
  <c r="L16" i="2"/>
  <c r="K16" i="2"/>
  <c r="O18" i="2"/>
  <c r="N18" i="2"/>
  <c r="M18" i="2"/>
  <c r="L18" i="2"/>
  <c r="K18" i="2"/>
  <c r="O225" i="2"/>
  <c r="N225" i="2"/>
  <c r="M225" i="2"/>
  <c r="L225" i="2"/>
  <c r="K225" i="2"/>
  <c r="O226" i="2"/>
  <c r="N226" i="2"/>
  <c r="M226" i="2"/>
  <c r="L226" i="2"/>
  <c r="K226" i="2"/>
  <c r="O212" i="2"/>
  <c r="N212" i="2"/>
  <c r="M212" i="2"/>
  <c r="L212" i="2"/>
  <c r="K212" i="2"/>
  <c r="O64" i="2"/>
  <c r="N64" i="2"/>
  <c r="M64" i="2"/>
  <c r="L64" i="2"/>
  <c r="K64" i="2"/>
  <c r="O65" i="2"/>
  <c r="N65" i="2"/>
  <c r="M65" i="2"/>
  <c r="L65" i="2"/>
  <c r="K65" i="2"/>
  <c r="O209" i="2"/>
  <c r="N209" i="2"/>
  <c r="M209" i="2"/>
  <c r="L209" i="2"/>
  <c r="K209" i="2"/>
  <c r="O62" i="2"/>
  <c r="N62" i="2"/>
  <c r="M62" i="2"/>
  <c r="L62" i="2"/>
  <c r="K62" i="2"/>
  <c r="O63" i="2"/>
  <c r="N63" i="2"/>
  <c r="M63" i="2"/>
  <c r="L63" i="2"/>
  <c r="K63" i="2"/>
  <c r="O206" i="2"/>
  <c r="N206" i="2"/>
  <c r="M206" i="2"/>
  <c r="L206" i="2"/>
  <c r="K206" i="2"/>
  <c r="O222" i="2"/>
  <c r="N222" i="2"/>
  <c r="M222" i="2"/>
  <c r="L222" i="2"/>
  <c r="K222" i="2"/>
  <c r="O224" i="2"/>
  <c r="N224" i="2"/>
  <c r="M224" i="2"/>
  <c r="L224" i="2"/>
  <c r="K224" i="2"/>
  <c r="O40" i="2"/>
  <c r="N40" i="2"/>
  <c r="M40" i="2"/>
  <c r="L40" i="2"/>
  <c r="K40" i="2"/>
  <c r="O41" i="2"/>
  <c r="N41" i="2"/>
  <c r="M41" i="2"/>
  <c r="L41" i="2"/>
  <c r="K41" i="2"/>
  <c r="O255" i="2"/>
  <c r="N255" i="2"/>
  <c r="M255" i="2"/>
  <c r="L255" i="2"/>
  <c r="K255" i="2"/>
  <c r="O37" i="2"/>
  <c r="N37" i="2"/>
  <c r="M37" i="2"/>
  <c r="L37" i="2"/>
  <c r="K37" i="2"/>
  <c r="O38" i="2"/>
  <c r="N38" i="2"/>
  <c r="M38" i="2"/>
  <c r="L38" i="2"/>
  <c r="K38" i="2"/>
  <c r="O35" i="2"/>
  <c r="N35" i="2"/>
  <c r="M35" i="2"/>
  <c r="L35" i="2"/>
  <c r="K35" i="2"/>
  <c r="O36" i="2"/>
  <c r="N36" i="2"/>
  <c r="M36" i="2"/>
  <c r="L36" i="2"/>
  <c r="K36" i="2"/>
  <c r="O32" i="2"/>
  <c r="N32" i="2"/>
  <c r="M32" i="2"/>
  <c r="L32" i="2"/>
  <c r="K32" i="2"/>
  <c r="O33" i="2"/>
  <c r="N33" i="2"/>
  <c r="M33" i="2"/>
  <c r="L33" i="2"/>
  <c r="K33" i="2"/>
  <c r="O58" i="2"/>
  <c r="N58" i="2"/>
  <c r="M58" i="2"/>
  <c r="L58" i="2"/>
  <c r="K58" i="2"/>
  <c r="O59" i="2"/>
  <c r="N59" i="2"/>
  <c r="M59" i="2"/>
  <c r="L59" i="2"/>
  <c r="K59" i="2"/>
  <c r="O56" i="2"/>
  <c r="N56" i="2"/>
  <c r="M56" i="2"/>
  <c r="L56" i="2"/>
  <c r="K56" i="2"/>
  <c r="O57" i="2"/>
  <c r="N57" i="2"/>
  <c r="M57" i="2"/>
  <c r="L57" i="2"/>
  <c r="K57" i="2"/>
  <c r="O19" i="2"/>
  <c r="N19" i="2"/>
  <c r="M19" i="2"/>
  <c r="L19" i="2"/>
  <c r="K19" i="2"/>
  <c r="O20" i="2"/>
  <c r="N20" i="2"/>
  <c r="M20" i="2"/>
  <c r="L20" i="2"/>
  <c r="K20" i="2"/>
  <c r="O227" i="2"/>
  <c r="N227" i="2"/>
  <c r="M227" i="2"/>
  <c r="L227" i="2"/>
  <c r="K227" i="2"/>
  <c r="O229" i="2"/>
  <c r="N229" i="2"/>
  <c r="M229" i="2"/>
  <c r="L229" i="2"/>
  <c r="K229" i="2"/>
  <c r="O240" i="2"/>
  <c r="N240" i="2"/>
  <c r="M240" i="2"/>
  <c r="L240" i="2"/>
  <c r="K240" i="2"/>
  <c r="O96" i="2"/>
  <c r="N96" i="2"/>
  <c r="M96" i="2"/>
  <c r="L96" i="2"/>
  <c r="K96" i="2"/>
  <c r="O98" i="2"/>
  <c r="N98" i="2"/>
  <c r="M98" i="2"/>
  <c r="L98" i="2"/>
  <c r="K98" i="2"/>
  <c r="O237" i="2"/>
  <c r="N237" i="2"/>
  <c r="M237" i="2"/>
  <c r="L237" i="2"/>
  <c r="K237" i="2"/>
  <c r="O93" i="2"/>
  <c r="N93" i="2"/>
  <c r="M93" i="2"/>
  <c r="L93" i="2"/>
  <c r="K93" i="2"/>
  <c r="O95" i="2"/>
  <c r="N95" i="2"/>
  <c r="M95" i="2"/>
  <c r="L95" i="2"/>
  <c r="K95" i="2"/>
  <c r="O234" i="2"/>
  <c r="N234" i="2"/>
  <c r="M234" i="2"/>
  <c r="L234" i="2"/>
  <c r="K234" i="2"/>
  <c r="O66" i="2"/>
  <c r="N66" i="2"/>
  <c r="M66" i="2"/>
  <c r="L66" i="2"/>
  <c r="K66" i="2"/>
  <c r="O67" i="2"/>
  <c r="N67" i="2"/>
  <c r="M67" i="2"/>
  <c r="L67" i="2"/>
  <c r="K67" i="2"/>
  <c r="O231" i="2"/>
  <c r="N231" i="2"/>
  <c r="M231" i="2"/>
  <c r="L231" i="2"/>
  <c r="K231" i="2"/>
  <c r="O90" i="2"/>
  <c r="N90" i="2"/>
  <c r="M90" i="2"/>
  <c r="L90" i="2"/>
  <c r="K90" i="2"/>
  <c r="O92" i="2"/>
  <c r="N92" i="2"/>
  <c r="M92" i="2"/>
  <c r="L92" i="2"/>
  <c r="K92" i="2"/>
  <c r="O228" i="2"/>
  <c r="N228" i="2"/>
  <c r="M228" i="2"/>
  <c r="L228" i="2"/>
  <c r="K228" i="2"/>
  <c r="O87" i="2"/>
  <c r="N87" i="2"/>
  <c r="M87" i="2"/>
  <c r="L87" i="2"/>
  <c r="K87" i="2"/>
  <c r="O89" i="2"/>
  <c r="N89" i="2"/>
  <c r="M89" i="2"/>
  <c r="L89" i="2"/>
  <c r="K89" i="2"/>
  <c r="O21" i="2"/>
  <c r="N21" i="2"/>
  <c r="M21" i="2"/>
  <c r="L21" i="2"/>
  <c r="K21" i="2"/>
  <c r="O22" i="2"/>
  <c r="N22" i="2"/>
  <c r="M22" i="2"/>
  <c r="L22" i="2"/>
  <c r="K22" i="2"/>
  <c r="O315" i="2"/>
  <c r="N315" i="2"/>
  <c r="M315" i="2"/>
  <c r="L315" i="2"/>
  <c r="K315" i="2"/>
  <c r="O316" i="2"/>
  <c r="N316" i="2"/>
  <c r="M316" i="2"/>
  <c r="L316" i="2"/>
  <c r="K316" i="2"/>
  <c r="O313" i="2"/>
  <c r="N313" i="2"/>
  <c r="M313" i="2"/>
  <c r="L313" i="2"/>
  <c r="K313" i="2"/>
  <c r="O314" i="2"/>
  <c r="N314" i="2"/>
  <c r="M314" i="2"/>
  <c r="L314" i="2"/>
  <c r="K314" i="2"/>
  <c r="O24" i="2"/>
  <c r="N24" i="2"/>
  <c r="M24" i="2"/>
  <c r="L24" i="2"/>
  <c r="K24" i="2"/>
  <c r="O25" i="2"/>
  <c r="N25" i="2"/>
  <c r="M25" i="2"/>
  <c r="L25" i="2"/>
  <c r="K25" i="2"/>
  <c r="O125" i="2"/>
  <c r="N125" i="2"/>
  <c r="M125" i="2"/>
  <c r="L125" i="2"/>
  <c r="K125" i="2"/>
  <c r="O126" i="2"/>
  <c r="N126" i="2"/>
  <c r="M126" i="2"/>
  <c r="L126" i="2"/>
  <c r="K126" i="2"/>
  <c r="O127" i="2"/>
  <c r="N127" i="2"/>
  <c r="M127" i="2"/>
  <c r="L127" i="2"/>
  <c r="K127" i="2"/>
  <c r="O128" i="2"/>
  <c r="N128" i="2"/>
  <c r="M128" i="2"/>
  <c r="L128" i="2"/>
  <c r="K128" i="2"/>
  <c r="O311" i="2"/>
  <c r="N311" i="2"/>
  <c r="M311" i="2"/>
  <c r="L311" i="2"/>
  <c r="K311" i="2"/>
  <c r="O312" i="2"/>
  <c r="N312" i="2"/>
  <c r="M312" i="2"/>
  <c r="L312" i="2"/>
  <c r="K312" i="2"/>
  <c r="O131" i="2"/>
  <c r="N131" i="2"/>
  <c r="M131" i="2"/>
  <c r="L131" i="2"/>
  <c r="K131" i="2"/>
  <c r="O309" i="2"/>
  <c r="N309" i="2"/>
  <c r="M309" i="2"/>
  <c r="L309" i="2"/>
  <c r="K309" i="2"/>
  <c r="O310" i="2"/>
  <c r="N310" i="2"/>
  <c r="M310" i="2"/>
  <c r="L310" i="2"/>
  <c r="K310" i="2"/>
  <c r="O308" i="2"/>
  <c r="N308" i="2"/>
  <c r="M308" i="2"/>
  <c r="L308" i="2"/>
  <c r="K308" i="2"/>
  <c r="O307" i="2"/>
  <c r="N307" i="2"/>
  <c r="M307" i="2"/>
  <c r="L307" i="2"/>
  <c r="K307" i="2"/>
  <c r="O246" i="2"/>
  <c r="N246" i="2"/>
  <c r="M246" i="2"/>
  <c r="L246" i="2"/>
  <c r="K246" i="2"/>
  <c r="O119" i="2"/>
  <c r="N119" i="2"/>
  <c r="M119" i="2"/>
  <c r="L119" i="2"/>
  <c r="K119" i="2"/>
  <c r="O55" i="2"/>
  <c r="N55" i="2"/>
  <c r="M55" i="2"/>
  <c r="L55" i="2"/>
  <c r="K55" i="2"/>
  <c r="O53" i="2"/>
  <c r="N53" i="2"/>
  <c r="M53" i="2"/>
  <c r="L53" i="2"/>
  <c r="K53" i="2"/>
  <c r="O54" i="2"/>
  <c r="N54" i="2"/>
  <c r="M54" i="2"/>
  <c r="L54" i="2"/>
  <c r="K54" i="2"/>
  <c r="O52" i="2"/>
  <c r="N52" i="2"/>
  <c r="M52" i="2"/>
  <c r="L52" i="2"/>
  <c r="K52" i="2"/>
  <c r="O51" i="2"/>
  <c r="N51" i="2"/>
  <c r="M51" i="2"/>
  <c r="L51" i="2"/>
  <c r="K51" i="2"/>
  <c r="O47" i="2"/>
  <c r="N47" i="2"/>
  <c r="M47" i="2"/>
  <c r="L47" i="2"/>
  <c r="K47" i="2"/>
  <c r="O48" i="2"/>
  <c r="N48" i="2"/>
  <c r="M48" i="2"/>
  <c r="L48" i="2"/>
  <c r="K48" i="2"/>
  <c r="O45" i="2"/>
  <c r="N45" i="2"/>
  <c r="M45" i="2"/>
  <c r="L45" i="2"/>
  <c r="K45" i="2"/>
  <c r="O195" i="2"/>
  <c r="N195" i="2"/>
  <c r="M195" i="2"/>
  <c r="L195" i="2"/>
  <c r="K195" i="2"/>
  <c r="O326" i="2"/>
  <c r="N326" i="2"/>
  <c r="M326" i="2"/>
  <c r="L326" i="2"/>
  <c r="K326" i="2"/>
  <c r="O327" i="2"/>
  <c r="N327" i="2"/>
  <c r="M327" i="2"/>
  <c r="L327" i="2"/>
  <c r="K327" i="2"/>
  <c r="O192" i="2"/>
  <c r="N192" i="2"/>
  <c r="M192" i="2"/>
  <c r="L192" i="2"/>
  <c r="K192" i="2"/>
  <c r="O324" i="2"/>
  <c r="N324" i="2"/>
  <c r="M324" i="2"/>
  <c r="L324" i="2"/>
  <c r="K324" i="2"/>
  <c r="O325" i="2"/>
  <c r="N325" i="2"/>
  <c r="M325" i="2"/>
  <c r="L325" i="2"/>
  <c r="K325" i="2"/>
  <c r="O321" i="2"/>
  <c r="N321" i="2"/>
  <c r="M321" i="2"/>
  <c r="L321" i="2"/>
  <c r="K321" i="2"/>
  <c r="O322" i="2"/>
  <c r="N322" i="2"/>
  <c r="M322" i="2"/>
  <c r="L322" i="2"/>
  <c r="K322" i="2"/>
  <c r="O318" i="2"/>
  <c r="N318" i="2"/>
  <c r="M318" i="2"/>
  <c r="L318" i="2"/>
  <c r="K318" i="2"/>
  <c r="O319" i="2"/>
  <c r="N319" i="2"/>
  <c r="M319" i="2"/>
  <c r="L319" i="2"/>
  <c r="K319" i="2"/>
  <c r="O186" i="2"/>
  <c r="N186" i="2"/>
  <c r="M186" i="2"/>
  <c r="L186" i="2"/>
  <c r="K186" i="2"/>
  <c r="O81" i="2"/>
  <c r="N81" i="2"/>
  <c r="M81" i="2"/>
  <c r="L81" i="2"/>
  <c r="K81" i="2"/>
  <c r="O184" i="2"/>
  <c r="N184" i="2"/>
  <c r="M184" i="2"/>
  <c r="L184" i="2"/>
  <c r="K184" i="2"/>
  <c r="O80" i="2"/>
  <c r="N80" i="2"/>
  <c r="M80" i="2"/>
  <c r="L80" i="2"/>
  <c r="K80" i="2"/>
  <c r="O181" i="2"/>
  <c r="N181" i="2"/>
  <c r="M181" i="2"/>
  <c r="L181" i="2"/>
  <c r="K181" i="2"/>
  <c r="O43" i="2"/>
  <c r="N43" i="2"/>
  <c r="M43" i="2"/>
  <c r="L43" i="2"/>
  <c r="K43" i="2"/>
  <c r="O44" i="2"/>
  <c r="N44" i="2"/>
  <c r="M44" i="2"/>
  <c r="L44" i="2"/>
  <c r="K44" i="2"/>
  <c r="O78" i="2"/>
  <c r="N78" i="2"/>
  <c r="M78" i="2"/>
  <c r="L78" i="2"/>
  <c r="K78" i="2"/>
  <c r="O79" i="2"/>
  <c r="N79" i="2"/>
  <c r="M79" i="2"/>
  <c r="L79" i="2"/>
  <c r="K79" i="2"/>
  <c r="O75" i="2"/>
  <c r="N75" i="2"/>
  <c r="M75" i="2"/>
  <c r="L75" i="2"/>
  <c r="K75" i="2"/>
  <c r="O76" i="2"/>
  <c r="N76" i="2"/>
  <c r="M76" i="2"/>
  <c r="L76" i="2"/>
  <c r="K76" i="2"/>
  <c r="O317" i="2"/>
  <c r="N317" i="2"/>
  <c r="M317" i="2"/>
  <c r="L317" i="2"/>
  <c r="K317" i="2"/>
  <c r="O145" i="2"/>
  <c r="N145" i="2"/>
  <c r="M145" i="2"/>
  <c r="L145" i="2"/>
  <c r="K145" i="2"/>
  <c r="O146" i="2"/>
  <c r="N146" i="2"/>
  <c r="M146" i="2"/>
  <c r="L146" i="2"/>
  <c r="K146" i="2"/>
  <c r="O142" i="2"/>
  <c r="N142" i="2"/>
  <c r="M142" i="2"/>
  <c r="L142" i="2"/>
  <c r="K142" i="2"/>
  <c r="O144" i="2"/>
  <c r="N144" i="2"/>
  <c r="M144" i="2"/>
  <c r="L144" i="2"/>
  <c r="K144" i="2"/>
  <c r="O139" i="2"/>
  <c r="N139" i="2"/>
  <c r="M139" i="2"/>
  <c r="L139" i="2"/>
  <c r="K139" i="2"/>
  <c r="O141" i="2"/>
  <c r="N141" i="2"/>
  <c r="M141" i="2"/>
  <c r="L141" i="2"/>
  <c r="K141" i="2"/>
  <c r="O137" i="2"/>
  <c r="N137" i="2"/>
  <c r="M137" i="2"/>
  <c r="L137" i="2"/>
  <c r="K137" i="2"/>
  <c r="O138" i="2"/>
  <c r="N138" i="2"/>
  <c r="M138" i="2"/>
  <c r="L138" i="2"/>
  <c r="K138" i="2"/>
  <c r="O135" i="2"/>
  <c r="N135" i="2"/>
  <c r="M135" i="2"/>
  <c r="L135" i="2"/>
  <c r="K135" i="2"/>
  <c r="O136" i="2"/>
  <c r="N136" i="2"/>
  <c r="M136" i="2"/>
  <c r="L136" i="2"/>
  <c r="K136" i="2"/>
  <c r="O133" i="2"/>
  <c r="N133" i="2"/>
  <c r="M133" i="2"/>
  <c r="L133" i="2"/>
  <c r="K133" i="2"/>
  <c r="O134" i="2"/>
  <c r="N134" i="2"/>
  <c r="M134" i="2"/>
  <c r="L134" i="2"/>
  <c r="K134" i="2"/>
  <c r="O14" i="2"/>
  <c r="N14" i="2"/>
  <c r="M14" i="2"/>
  <c r="L14" i="2"/>
  <c r="K14" i="2"/>
  <c r="O15" i="2"/>
  <c r="N15" i="2"/>
  <c r="M15" i="2"/>
  <c r="L15" i="2"/>
  <c r="K15" i="2"/>
  <c r="O124" i="2"/>
  <c r="N124" i="2"/>
  <c r="M124" i="2"/>
  <c r="L124" i="2"/>
  <c r="K124" i="2"/>
  <c r="O129" i="2"/>
  <c r="N129" i="2"/>
  <c r="M129" i="2"/>
  <c r="L129" i="2"/>
  <c r="K129" i="2"/>
  <c r="O157" i="2"/>
  <c r="N157" i="2"/>
  <c r="M157" i="2"/>
  <c r="L157" i="2"/>
  <c r="K157" i="2"/>
  <c r="O122" i="2"/>
  <c r="N122" i="2"/>
  <c r="M122" i="2"/>
  <c r="L122" i="2"/>
  <c r="K122" i="2"/>
  <c r="O123" i="2"/>
  <c r="N123" i="2"/>
  <c r="M123" i="2"/>
  <c r="L123" i="2"/>
  <c r="K123" i="2"/>
  <c r="O132" i="2"/>
  <c r="N132" i="2"/>
  <c r="M132" i="2"/>
  <c r="L132" i="2"/>
  <c r="K132" i="2"/>
  <c r="O130" i="2"/>
  <c r="N130" i="2"/>
  <c r="M130" i="2"/>
  <c r="L130" i="2"/>
  <c r="K130" i="2"/>
  <c r="O152" i="2"/>
  <c r="N152" i="2"/>
  <c r="M152" i="2"/>
  <c r="L152" i="2"/>
  <c r="K152" i="2"/>
  <c r="O120" i="2"/>
  <c r="N120" i="2"/>
  <c r="M120" i="2"/>
  <c r="L120" i="2"/>
  <c r="K120" i="2"/>
  <c r="O121" i="2"/>
  <c r="N121" i="2"/>
  <c r="M121" i="2"/>
  <c r="L121" i="2"/>
  <c r="K121" i="2"/>
  <c r="O149" i="2"/>
  <c r="N149" i="2"/>
  <c r="M149" i="2"/>
  <c r="L149" i="2"/>
  <c r="K149" i="2"/>
  <c r="O116" i="2"/>
  <c r="N116" i="2"/>
  <c r="M116" i="2"/>
  <c r="L116" i="2"/>
  <c r="K116" i="2"/>
  <c r="O117" i="2"/>
  <c r="N117" i="2"/>
  <c r="M117" i="2"/>
  <c r="L117" i="2"/>
  <c r="K117" i="2"/>
  <c r="O148" i="2"/>
  <c r="N148" i="2"/>
  <c r="M148" i="2"/>
  <c r="L148" i="2"/>
  <c r="K148" i="2"/>
  <c r="O150" i="2"/>
  <c r="N150" i="2"/>
  <c r="M150" i="2"/>
  <c r="L150" i="2"/>
  <c r="K150" i="2"/>
  <c r="O147" i="2"/>
  <c r="N147" i="2"/>
  <c r="M147" i="2"/>
  <c r="L147" i="2"/>
  <c r="K147" i="2"/>
  <c r="O143" i="2"/>
  <c r="N143" i="2"/>
  <c r="M143" i="2"/>
  <c r="L143" i="2"/>
  <c r="K143" i="2"/>
  <c r="O73" i="2"/>
  <c r="N73" i="2"/>
  <c r="M73" i="2"/>
  <c r="L73" i="2"/>
  <c r="K73" i="2"/>
  <c r="O74" i="2"/>
  <c r="N74" i="2"/>
  <c r="M74" i="2"/>
  <c r="L74" i="2"/>
  <c r="K74" i="2"/>
  <c r="O140" i="2"/>
  <c r="N140" i="2"/>
  <c r="M140" i="2"/>
  <c r="L140" i="2"/>
  <c r="K140" i="2"/>
  <c r="O71" i="2"/>
  <c r="N71" i="2"/>
  <c r="M71" i="2"/>
  <c r="L71" i="2"/>
  <c r="K71" i="2"/>
  <c r="O72" i="2"/>
  <c r="N72" i="2"/>
  <c r="M72" i="2"/>
  <c r="L72" i="2"/>
  <c r="K72" i="2"/>
  <c r="O383" i="2"/>
  <c r="N383" i="2"/>
  <c r="M383" i="2"/>
  <c r="L383" i="2"/>
  <c r="K383" i="2"/>
  <c r="O381" i="2"/>
  <c r="N381" i="2"/>
  <c r="M381" i="2"/>
  <c r="L381" i="2"/>
  <c r="K381" i="2"/>
  <c r="O13" i="2"/>
  <c r="N13" i="2"/>
  <c r="M13" i="2"/>
  <c r="L13" i="2"/>
  <c r="K13" i="2"/>
  <c r="O380" i="2"/>
  <c r="N380" i="2"/>
  <c r="M380" i="2"/>
  <c r="L380" i="2"/>
  <c r="K380" i="2"/>
  <c r="O12" i="2"/>
  <c r="N12" i="2"/>
  <c r="M12" i="2"/>
  <c r="L12" i="2"/>
  <c r="K12" i="2"/>
  <c r="O378" i="2"/>
  <c r="N378" i="2"/>
  <c r="M378" i="2"/>
  <c r="L378" i="2"/>
  <c r="K378" i="2"/>
  <c r="O379" i="2"/>
  <c r="N379" i="2"/>
  <c r="M379" i="2"/>
  <c r="L379" i="2"/>
  <c r="K379" i="2"/>
  <c r="O9" i="2"/>
  <c r="N9" i="2"/>
  <c r="M9" i="2"/>
  <c r="L9" i="2"/>
  <c r="K9" i="2"/>
  <c r="O11" i="2"/>
  <c r="N11" i="2"/>
  <c r="M11" i="2"/>
  <c r="L11" i="2"/>
  <c r="K11" i="2"/>
  <c r="O323" i="2"/>
  <c r="N323" i="2"/>
  <c r="M323" i="2"/>
  <c r="L323" i="2"/>
  <c r="K323" i="2"/>
  <c r="O376" i="2"/>
  <c r="N376" i="2"/>
  <c r="M376" i="2"/>
  <c r="L376" i="2"/>
  <c r="K376" i="2"/>
  <c r="O377" i="2"/>
  <c r="N377" i="2"/>
  <c r="M377" i="2"/>
  <c r="L377" i="2"/>
  <c r="K377" i="2"/>
  <c r="O320" i="2"/>
  <c r="N320" i="2"/>
  <c r="M320" i="2"/>
  <c r="L320" i="2"/>
  <c r="K320" i="2"/>
  <c r="O60" i="2"/>
  <c r="N60" i="2"/>
  <c r="M60" i="2"/>
  <c r="L60" i="2"/>
  <c r="K60" i="2"/>
  <c r="O61" i="2"/>
  <c r="N61" i="2"/>
  <c r="M61" i="2"/>
  <c r="L61" i="2"/>
  <c r="K61" i="2"/>
  <c r="O374" i="2"/>
  <c r="N374" i="2"/>
  <c r="M374" i="2"/>
  <c r="L374" i="2"/>
  <c r="K374" i="2"/>
  <c r="O375" i="2"/>
  <c r="N375" i="2"/>
  <c r="M375" i="2"/>
  <c r="L375" i="2"/>
  <c r="K375" i="2"/>
  <c r="O371" i="2"/>
  <c r="N371" i="2"/>
  <c r="M371" i="2"/>
  <c r="L371" i="2"/>
  <c r="K371" i="2"/>
  <c r="O372" i="2"/>
  <c r="N372" i="2"/>
  <c r="M372" i="2"/>
  <c r="L372" i="2"/>
  <c r="K372" i="2"/>
  <c r="O368" i="2"/>
  <c r="N368" i="2"/>
  <c r="M368" i="2"/>
  <c r="L368" i="2"/>
  <c r="K368" i="2"/>
  <c r="O369" i="2"/>
  <c r="N369" i="2"/>
  <c r="M369" i="2"/>
  <c r="L369" i="2"/>
  <c r="K369" i="2"/>
  <c r="O366" i="2"/>
  <c r="N366" i="2"/>
  <c r="M366" i="2"/>
  <c r="L366" i="2"/>
  <c r="K366" i="2"/>
  <c r="O367" i="2"/>
  <c r="N367" i="2"/>
  <c r="M367" i="2"/>
  <c r="L367" i="2"/>
  <c r="K367" i="2"/>
  <c r="O364" i="2"/>
  <c r="N364" i="2"/>
  <c r="M364" i="2"/>
  <c r="L364" i="2"/>
  <c r="K364" i="2"/>
  <c r="O365" i="2"/>
  <c r="N365" i="2"/>
  <c r="M365" i="2"/>
  <c r="L365" i="2"/>
  <c r="K365" i="2"/>
  <c r="O360" i="2"/>
  <c r="N360" i="2"/>
  <c r="M360" i="2"/>
  <c r="L360" i="2"/>
  <c r="K360" i="2"/>
  <c r="O361" i="2"/>
  <c r="N361" i="2"/>
  <c r="M361" i="2"/>
  <c r="L361" i="2"/>
  <c r="K361" i="2"/>
  <c r="O358" i="2"/>
  <c r="N358" i="2"/>
  <c r="M358" i="2"/>
  <c r="L358" i="2"/>
  <c r="K358" i="2"/>
  <c r="O359" i="2"/>
  <c r="N359" i="2"/>
  <c r="M359" i="2"/>
  <c r="L359" i="2"/>
  <c r="K359" i="2"/>
  <c r="O354" i="2"/>
  <c r="N354" i="2"/>
  <c r="M354" i="2"/>
  <c r="L354" i="2"/>
  <c r="K354" i="2"/>
  <c r="O355" i="2"/>
  <c r="N355" i="2"/>
  <c r="M355" i="2"/>
  <c r="L355" i="2"/>
  <c r="K355" i="2"/>
  <c r="O351" i="2"/>
  <c r="N351" i="2"/>
  <c r="M351" i="2"/>
  <c r="L351" i="2"/>
  <c r="K351" i="2"/>
  <c r="O352" i="2"/>
  <c r="N352" i="2"/>
  <c r="M352" i="2"/>
  <c r="L352" i="2"/>
  <c r="K352" i="2"/>
  <c r="O230" i="2"/>
  <c r="N230" i="2"/>
  <c r="M230" i="2"/>
  <c r="L230" i="2"/>
  <c r="K230" i="2"/>
  <c r="O232" i="2"/>
  <c r="N232" i="2"/>
  <c r="M232" i="2"/>
  <c r="L232" i="2"/>
  <c r="K232" i="2"/>
  <c r="O420" i="2"/>
  <c r="N420" i="2"/>
  <c r="M420" i="2"/>
  <c r="L420" i="2"/>
  <c r="K420" i="2"/>
  <c r="O293" i="2"/>
  <c r="N293" i="2"/>
  <c r="M293" i="2"/>
  <c r="L293" i="2"/>
  <c r="K293" i="2"/>
  <c r="O294" i="2"/>
  <c r="N294" i="2"/>
  <c r="M294" i="2"/>
  <c r="L294" i="2"/>
  <c r="K294" i="2"/>
  <c r="O295" i="2"/>
  <c r="N295" i="2"/>
  <c r="M295" i="2"/>
  <c r="L295" i="2"/>
  <c r="K295" i="2"/>
  <c r="O296" i="2"/>
  <c r="N296" i="2"/>
  <c r="M296" i="2"/>
  <c r="L296" i="2"/>
  <c r="K296" i="2"/>
  <c r="O297" i="2"/>
  <c r="N297" i="2"/>
  <c r="M297" i="2"/>
  <c r="L297" i="2"/>
  <c r="K297" i="2"/>
  <c r="O348" i="2"/>
  <c r="N348" i="2"/>
  <c r="M348" i="2"/>
  <c r="L348" i="2"/>
  <c r="K348" i="2"/>
  <c r="O349" i="2"/>
  <c r="N349" i="2"/>
  <c r="M349" i="2"/>
  <c r="L349" i="2"/>
  <c r="K349" i="2"/>
  <c r="O290" i="2"/>
  <c r="N290" i="2"/>
  <c r="M290" i="2"/>
  <c r="L290" i="2"/>
  <c r="K290" i="2"/>
  <c r="O345" i="2"/>
  <c r="N345" i="2"/>
  <c r="M345" i="2"/>
  <c r="L345" i="2"/>
  <c r="K345" i="2"/>
  <c r="O346" i="2"/>
  <c r="N346" i="2"/>
  <c r="M346" i="2"/>
  <c r="L346" i="2"/>
  <c r="K346" i="2"/>
  <c r="O287" i="2"/>
  <c r="N287" i="2"/>
  <c r="M287" i="2"/>
  <c r="L287" i="2"/>
  <c r="K287" i="2"/>
  <c r="O340" i="2"/>
  <c r="N340" i="2"/>
  <c r="M340" i="2"/>
  <c r="L340" i="2"/>
  <c r="K340" i="2"/>
  <c r="O341" i="2"/>
  <c r="N341" i="2"/>
  <c r="M341" i="2"/>
  <c r="L341" i="2"/>
  <c r="K341" i="2"/>
  <c r="O278" i="2"/>
  <c r="N278" i="2"/>
  <c r="M278" i="2"/>
  <c r="L278" i="2"/>
  <c r="K278" i="2"/>
  <c r="O279" i="2"/>
  <c r="N279" i="2"/>
  <c r="M279" i="2"/>
  <c r="L279" i="2"/>
  <c r="K279" i="2"/>
  <c r="O280" i="2"/>
  <c r="N280" i="2"/>
  <c r="M280" i="2"/>
  <c r="L280" i="2"/>
  <c r="K280" i="2"/>
  <c r="O281" i="2"/>
  <c r="N281" i="2"/>
  <c r="M281" i="2"/>
  <c r="L281" i="2"/>
  <c r="K281" i="2"/>
  <c r="O282" i="2"/>
  <c r="N282" i="2"/>
  <c r="M282" i="2"/>
  <c r="L282" i="2"/>
  <c r="K282" i="2"/>
  <c r="O283" i="2"/>
  <c r="N283" i="2"/>
  <c r="M283" i="2"/>
  <c r="L283" i="2"/>
  <c r="K283" i="2"/>
  <c r="O284" i="2"/>
  <c r="N284" i="2"/>
  <c r="M284" i="2"/>
  <c r="L284" i="2"/>
  <c r="K284" i="2"/>
  <c r="O247" i="2"/>
  <c r="N247" i="2"/>
  <c r="M247" i="2"/>
  <c r="L247" i="2"/>
  <c r="K247" i="2"/>
  <c r="O248" i="2"/>
  <c r="N248" i="2"/>
  <c r="M248" i="2"/>
  <c r="L248" i="2"/>
  <c r="K248" i="2"/>
  <c r="O275" i="2"/>
  <c r="N275" i="2"/>
  <c r="M275" i="2"/>
  <c r="L275" i="2"/>
  <c r="K275" i="2"/>
  <c r="O338" i="2"/>
  <c r="N338" i="2"/>
  <c r="M338" i="2"/>
  <c r="L338" i="2"/>
  <c r="K338" i="2"/>
  <c r="O339" i="2"/>
  <c r="N339" i="2"/>
  <c r="M339" i="2"/>
  <c r="L339" i="2"/>
  <c r="K339" i="2"/>
  <c r="O272" i="2"/>
  <c r="N272" i="2"/>
  <c r="M272" i="2"/>
  <c r="L272" i="2"/>
  <c r="K272" i="2"/>
  <c r="O336" i="2"/>
  <c r="N336" i="2"/>
  <c r="M336" i="2"/>
  <c r="L336" i="2"/>
  <c r="K336" i="2"/>
  <c r="O337" i="2"/>
  <c r="N337" i="2"/>
  <c r="M337" i="2"/>
  <c r="L337" i="2"/>
  <c r="K337" i="2"/>
  <c r="O269" i="2"/>
  <c r="N269" i="2"/>
  <c r="M269" i="2"/>
  <c r="L269" i="2"/>
  <c r="K269" i="2"/>
  <c r="O334" i="2"/>
  <c r="N334" i="2"/>
  <c r="M334" i="2"/>
  <c r="L334" i="2"/>
  <c r="K334" i="2"/>
  <c r="O335" i="2"/>
  <c r="N335" i="2"/>
  <c r="M335" i="2"/>
  <c r="L335" i="2"/>
  <c r="K335" i="2"/>
  <c r="O266" i="2"/>
  <c r="N266" i="2"/>
  <c r="M266" i="2"/>
  <c r="L266" i="2"/>
  <c r="K266" i="2"/>
  <c r="O332" i="2"/>
  <c r="N332" i="2"/>
  <c r="M332" i="2"/>
  <c r="L332" i="2"/>
  <c r="K332" i="2"/>
  <c r="O333" i="2"/>
  <c r="N333" i="2"/>
  <c r="M333" i="2"/>
  <c r="L333" i="2"/>
  <c r="K333" i="2"/>
  <c r="O263" i="2"/>
  <c r="N263" i="2"/>
  <c r="M263" i="2"/>
  <c r="L263" i="2"/>
  <c r="K263" i="2"/>
  <c r="O330" i="2"/>
  <c r="N330" i="2"/>
  <c r="M330" i="2"/>
  <c r="L330" i="2"/>
  <c r="K330" i="2"/>
  <c r="O331" i="2"/>
  <c r="N331" i="2"/>
  <c r="M331" i="2"/>
  <c r="L331" i="2"/>
  <c r="K331" i="2"/>
  <c r="O260" i="2"/>
  <c r="N260" i="2"/>
  <c r="M260" i="2"/>
  <c r="L260" i="2"/>
  <c r="K260" i="2"/>
  <c r="O328" i="2"/>
  <c r="N328" i="2"/>
  <c r="M328" i="2"/>
  <c r="L328" i="2"/>
  <c r="K328" i="2"/>
  <c r="O329" i="2"/>
  <c r="N329" i="2"/>
  <c r="M329" i="2"/>
  <c r="L329" i="2"/>
  <c r="K329" i="2"/>
  <c r="O416" i="2"/>
  <c r="N416" i="2"/>
  <c r="M416" i="2"/>
  <c r="L416" i="2"/>
  <c r="K416" i="2"/>
  <c r="O417" i="2"/>
  <c r="N417" i="2"/>
  <c r="M417" i="2"/>
  <c r="L417" i="2"/>
  <c r="K417" i="2"/>
  <c r="O418" i="2"/>
  <c r="N418" i="2"/>
  <c r="M418" i="2"/>
  <c r="L418" i="2"/>
  <c r="K418" i="2"/>
  <c r="O242" i="2"/>
  <c r="N242" i="2"/>
  <c r="M242" i="2"/>
  <c r="L242" i="2"/>
  <c r="K242" i="2"/>
  <c r="O243" i="2"/>
  <c r="N243" i="2"/>
  <c r="M243" i="2"/>
  <c r="L243" i="2"/>
  <c r="K243" i="2"/>
  <c r="O239" i="2"/>
  <c r="N239" i="2"/>
  <c r="M239" i="2"/>
  <c r="L239" i="2"/>
  <c r="K239" i="2"/>
  <c r="O241" i="2"/>
  <c r="N241" i="2"/>
  <c r="M241" i="2"/>
  <c r="L241" i="2"/>
  <c r="K241" i="2"/>
  <c r="O220" i="2"/>
  <c r="N220" i="2"/>
  <c r="M220" i="2"/>
  <c r="L220" i="2"/>
  <c r="K220" i="2"/>
  <c r="O221" i="2"/>
  <c r="N221" i="2"/>
  <c r="M221" i="2"/>
  <c r="L221" i="2"/>
  <c r="K221" i="2"/>
  <c r="O161" i="2"/>
  <c r="N161" i="2"/>
  <c r="M161" i="2"/>
  <c r="L161" i="2"/>
  <c r="K161" i="2"/>
  <c r="O415" i="2"/>
  <c r="N415" i="2"/>
  <c r="M415" i="2"/>
  <c r="L415" i="2"/>
  <c r="K415" i="2"/>
  <c r="O236" i="2"/>
  <c r="N236" i="2"/>
  <c r="M236" i="2"/>
  <c r="L236" i="2"/>
  <c r="K236" i="2"/>
  <c r="O238" i="2"/>
  <c r="N238" i="2"/>
  <c r="M238" i="2"/>
  <c r="L238" i="2"/>
  <c r="K238" i="2"/>
  <c r="O219" i="2"/>
  <c r="N219" i="2"/>
  <c r="M219" i="2"/>
  <c r="L219" i="2"/>
  <c r="K219" i="2"/>
  <c r="O159" i="2"/>
  <c r="N159" i="2"/>
  <c r="M159" i="2"/>
  <c r="L159" i="2"/>
  <c r="K159" i="2"/>
  <c r="O160" i="2"/>
  <c r="N160" i="2"/>
  <c r="M160" i="2"/>
  <c r="L160" i="2"/>
  <c r="K160" i="2"/>
  <c r="O402" i="2"/>
  <c r="N402" i="2"/>
  <c r="M402" i="2"/>
  <c r="L402" i="2"/>
  <c r="K402" i="2"/>
  <c r="O217" i="2"/>
  <c r="N217" i="2"/>
  <c r="M217" i="2"/>
  <c r="L217" i="2"/>
  <c r="K217" i="2"/>
  <c r="O218" i="2"/>
  <c r="N218" i="2"/>
  <c r="M218" i="2"/>
  <c r="L218" i="2"/>
  <c r="K218" i="2"/>
  <c r="O216" i="2"/>
  <c r="N216" i="2"/>
  <c r="M216" i="2"/>
  <c r="L216" i="2"/>
  <c r="K216" i="2"/>
  <c r="O207" i="2"/>
  <c r="N207" i="2"/>
  <c r="M207" i="2"/>
  <c r="L207" i="2"/>
  <c r="K207" i="2"/>
  <c r="O70" i="2"/>
  <c r="N70" i="2"/>
  <c r="M70" i="2"/>
  <c r="L70" i="2"/>
  <c r="K70" i="2"/>
  <c r="O68" i="2"/>
  <c r="N68" i="2"/>
  <c r="M68" i="2"/>
  <c r="L68" i="2"/>
  <c r="K68" i="2"/>
  <c r="O69" i="2"/>
  <c r="N69" i="2"/>
  <c r="M69" i="2"/>
  <c r="L69" i="2"/>
  <c r="K69" i="2"/>
  <c r="O154" i="2"/>
  <c r="N154" i="2"/>
  <c r="M154" i="2"/>
  <c r="L154" i="2"/>
  <c r="K154" i="2"/>
  <c r="O155" i="2"/>
  <c r="N155" i="2"/>
  <c r="M155" i="2"/>
  <c r="L155" i="2"/>
  <c r="K155" i="2"/>
  <c r="O392" i="2"/>
  <c r="N392" i="2"/>
  <c r="M392" i="2"/>
  <c r="L392" i="2"/>
  <c r="K392" i="2"/>
  <c r="O233" i="2"/>
  <c r="N233" i="2"/>
  <c r="M233" i="2"/>
  <c r="L233" i="2"/>
  <c r="K233" i="2"/>
  <c r="O235" i="2"/>
  <c r="N235" i="2"/>
  <c r="M235" i="2"/>
  <c r="L235" i="2"/>
  <c r="K235" i="2"/>
  <c r="O245" i="2"/>
  <c r="N245" i="2"/>
  <c r="M245" i="2"/>
  <c r="L245" i="2"/>
  <c r="K245" i="2"/>
  <c r="O151" i="2"/>
  <c r="N151" i="2"/>
  <c r="M151" i="2"/>
  <c r="L151" i="2"/>
  <c r="K151" i="2"/>
  <c r="O153" i="2"/>
  <c r="N153" i="2"/>
  <c r="M153" i="2"/>
  <c r="L153" i="2"/>
  <c r="K153" i="2"/>
  <c r="O386" i="2"/>
  <c r="N386" i="2"/>
  <c r="M386" i="2"/>
  <c r="L386" i="2"/>
  <c r="K386" i="2"/>
  <c r="O214" i="2"/>
  <c r="N214" i="2"/>
  <c r="M214" i="2"/>
  <c r="L214" i="2"/>
  <c r="K214" i="2"/>
  <c r="O215" i="2"/>
  <c r="N215" i="2"/>
  <c r="M215" i="2"/>
  <c r="L215" i="2"/>
  <c r="K215" i="2"/>
  <c r="O244" i="2"/>
  <c r="N244" i="2"/>
  <c r="M244" i="2"/>
  <c r="L244" i="2"/>
  <c r="K244" i="2"/>
  <c r="O382" i="2"/>
  <c r="N382" i="2"/>
  <c r="M382" i="2"/>
  <c r="L382" i="2"/>
  <c r="K382" i="2"/>
  <c r="O210" i="2"/>
  <c r="N210" i="2"/>
  <c r="M210" i="2"/>
  <c r="L210" i="2"/>
  <c r="K210" i="2"/>
  <c r="O211" i="2"/>
  <c r="N211" i="2"/>
  <c r="M211" i="2"/>
  <c r="L211" i="2"/>
  <c r="K211" i="2"/>
  <c r="O213" i="2"/>
  <c r="N213" i="2"/>
  <c r="M213" i="2"/>
  <c r="L213" i="2"/>
  <c r="K213" i="2"/>
  <c r="O156" i="2"/>
  <c r="N156" i="2"/>
  <c r="M156" i="2"/>
  <c r="L156" i="2"/>
  <c r="K156" i="2"/>
  <c r="O158" i="2"/>
  <c r="N158" i="2"/>
  <c r="M158" i="2"/>
  <c r="L158" i="2"/>
  <c r="K158" i="2"/>
  <c r="O208" i="2"/>
  <c r="N208" i="2"/>
  <c r="M208" i="2"/>
  <c r="L208" i="2"/>
  <c r="K208" i="2"/>
  <c r="O413" i="2"/>
  <c r="N413" i="2"/>
  <c r="M413" i="2"/>
  <c r="L413" i="2"/>
  <c r="K413" i="2"/>
  <c r="O414" i="2"/>
  <c r="N414" i="2"/>
  <c r="M414" i="2"/>
  <c r="L414" i="2"/>
  <c r="K414" i="2"/>
  <c r="O373" i="2"/>
  <c r="N373" i="2"/>
  <c r="M373" i="2"/>
  <c r="L373" i="2"/>
  <c r="K373" i="2"/>
  <c r="O412" i="2"/>
  <c r="N412" i="2"/>
  <c r="M412" i="2"/>
  <c r="L412" i="2"/>
  <c r="K412" i="2"/>
  <c r="O205" i="2"/>
  <c r="N205" i="2"/>
  <c r="M205" i="2"/>
  <c r="L205" i="2"/>
  <c r="K205" i="2"/>
  <c r="O370" i="2"/>
  <c r="N370" i="2"/>
  <c r="M370" i="2"/>
  <c r="L370" i="2"/>
  <c r="K370" i="2"/>
  <c r="H201" i="1"/>
  <c r="G201" i="1"/>
  <c r="F201" i="1"/>
  <c r="E201" i="1"/>
  <c r="D201" i="1"/>
  <c r="C201" i="1"/>
  <c r="B201" i="1"/>
  <c r="A201" i="1"/>
  <c r="H200" i="1"/>
  <c r="G200" i="1"/>
  <c r="F200" i="1"/>
  <c r="E200" i="1"/>
  <c r="D200" i="1"/>
  <c r="C200" i="1"/>
  <c r="B200" i="1"/>
  <c r="A200" i="1"/>
  <c r="H199" i="1"/>
  <c r="G199" i="1"/>
  <c r="F199" i="1"/>
  <c r="E199" i="1"/>
  <c r="D199" i="1"/>
  <c r="C199" i="1"/>
  <c r="B199" i="1"/>
  <c r="A199" i="1"/>
  <c r="H198" i="1"/>
  <c r="G198" i="1"/>
  <c r="F198" i="1"/>
  <c r="E198" i="1"/>
  <c r="D198" i="1"/>
  <c r="C198" i="1"/>
  <c r="B198" i="1"/>
  <c r="A198" i="1"/>
  <c r="H197" i="1"/>
  <c r="G197" i="1"/>
  <c r="F197" i="1"/>
  <c r="E197" i="1"/>
  <c r="D197" i="1"/>
  <c r="C197" i="1"/>
  <c r="B197" i="1"/>
  <c r="A197" i="1"/>
  <c r="H196" i="1"/>
  <c r="G196" i="1"/>
  <c r="F196" i="1"/>
  <c r="E196" i="1"/>
  <c r="D196" i="1"/>
  <c r="C196" i="1"/>
  <c r="B196" i="1"/>
  <c r="A196" i="1"/>
  <c r="H195" i="1"/>
  <c r="G195" i="1"/>
  <c r="F195" i="1"/>
  <c r="E195" i="1"/>
  <c r="D195" i="1"/>
  <c r="C195" i="1"/>
  <c r="B195" i="1"/>
  <c r="A195" i="1"/>
  <c r="H194" i="1"/>
  <c r="G194" i="1"/>
  <c r="F194" i="1"/>
  <c r="E194" i="1"/>
  <c r="D194" i="1"/>
  <c r="C194" i="1"/>
  <c r="B194" i="1"/>
  <c r="A194" i="1"/>
  <c r="H193" i="1"/>
  <c r="G193" i="1"/>
  <c r="F193" i="1"/>
  <c r="E193" i="1"/>
  <c r="D193" i="1"/>
  <c r="C193" i="1"/>
  <c r="B193" i="1"/>
  <c r="A193" i="1"/>
  <c r="H192" i="1"/>
  <c r="G192" i="1"/>
  <c r="F192" i="1"/>
  <c r="E192" i="1"/>
  <c r="D192" i="1"/>
  <c r="C192" i="1"/>
  <c r="B192" i="1"/>
  <c r="A192" i="1"/>
  <c r="H191" i="1"/>
  <c r="G191" i="1"/>
  <c r="F191" i="1"/>
  <c r="E191" i="1"/>
  <c r="D191" i="1"/>
  <c r="C191" i="1"/>
  <c r="B191" i="1"/>
  <c r="A191" i="1"/>
  <c r="H190" i="1"/>
  <c r="G190" i="1"/>
  <c r="F190" i="1"/>
  <c r="E190" i="1"/>
  <c r="D190" i="1"/>
  <c r="C190" i="1"/>
  <c r="B190" i="1"/>
  <c r="A190" i="1"/>
  <c r="H189" i="1"/>
  <c r="G189" i="1"/>
  <c r="F189" i="1"/>
  <c r="E189" i="1"/>
  <c r="D189" i="1"/>
  <c r="C189" i="1"/>
  <c r="B189" i="1"/>
  <c r="A189" i="1"/>
  <c r="H188" i="1"/>
  <c r="G188" i="1"/>
  <c r="F188" i="1"/>
  <c r="E188" i="1"/>
  <c r="D188" i="1"/>
  <c r="C188" i="1"/>
  <c r="B188" i="1"/>
  <c r="A188" i="1"/>
  <c r="H187" i="1"/>
  <c r="G187" i="1"/>
  <c r="F187" i="1"/>
  <c r="E187" i="1"/>
  <c r="D187" i="1"/>
  <c r="C187" i="1"/>
  <c r="B187" i="1"/>
  <c r="A187" i="1"/>
  <c r="H186" i="1"/>
  <c r="G186" i="1"/>
  <c r="F186" i="1"/>
  <c r="E186" i="1"/>
  <c r="D186" i="1"/>
  <c r="C186" i="1"/>
  <c r="B186" i="1"/>
  <c r="A186" i="1"/>
  <c r="H185" i="1"/>
  <c r="G185" i="1"/>
  <c r="F185" i="1"/>
  <c r="E185" i="1"/>
  <c r="D185" i="1"/>
  <c r="C185" i="1"/>
  <c r="B185" i="1"/>
  <c r="A185" i="1"/>
  <c r="H184" i="1"/>
  <c r="G184" i="1"/>
  <c r="F184" i="1"/>
  <c r="E184" i="1"/>
  <c r="D184" i="1"/>
  <c r="C184" i="1"/>
  <c r="B184" i="1"/>
  <c r="A184" i="1"/>
  <c r="H183" i="1"/>
  <c r="G183" i="1"/>
  <c r="F183" i="1"/>
  <c r="E183" i="1"/>
  <c r="D183" i="1"/>
  <c r="C183" i="1"/>
  <c r="B183" i="1"/>
  <c r="A183" i="1"/>
  <c r="H182" i="1"/>
  <c r="G182" i="1"/>
  <c r="F182" i="1"/>
  <c r="E182" i="1"/>
  <c r="D182" i="1"/>
  <c r="C182" i="1"/>
  <c r="B182" i="1"/>
  <c r="A182" i="1"/>
  <c r="H179" i="1"/>
  <c r="G179" i="1"/>
  <c r="F179" i="1"/>
  <c r="E179" i="1"/>
  <c r="D179" i="1"/>
  <c r="C179" i="1"/>
  <c r="B179" i="1"/>
  <c r="A179" i="1"/>
  <c r="H178" i="1"/>
  <c r="G178" i="1"/>
  <c r="F178" i="1"/>
  <c r="E178" i="1"/>
  <c r="D178" i="1"/>
  <c r="C178" i="1"/>
  <c r="B178" i="1"/>
  <c r="A178" i="1"/>
  <c r="H177" i="1"/>
  <c r="G177" i="1"/>
  <c r="F177" i="1"/>
  <c r="E177" i="1"/>
  <c r="D177" i="1"/>
  <c r="C177" i="1"/>
  <c r="B177" i="1"/>
  <c r="A177" i="1"/>
  <c r="H176" i="1"/>
  <c r="G176" i="1"/>
  <c r="F176" i="1"/>
  <c r="E176" i="1"/>
  <c r="D176" i="1"/>
  <c r="C176" i="1"/>
  <c r="B176" i="1"/>
  <c r="A176" i="1"/>
  <c r="H175" i="1"/>
  <c r="G175" i="1"/>
  <c r="F175" i="1"/>
  <c r="E175" i="1"/>
  <c r="D175" i="1"/>
  <c r="C175" i="1"/>
  <c r="B175" i="1"/>
  <c r="A175" i="1"/>
  <c r="H174" i="1"/>
  <c r="G174" i="1"/>
  <c r="F174" i="1"/>
  <c r="E174" i="1"/>
  <c r="D174" i="1"/>
  <c r="C174" i="1"/>
  <c r="B174" i="1"/>
  <c r="A174" i="1"/>
  <c r="H173" i="1"/>
  <c r="G173" i="1"/>
  <c r="F173" i="1"/>
  <c r="E173" i="1"/>
  <c r="D173" i="1"/>
  <c r="C173" i="1"/>
  <c r="B173" i="1"/>
  <c r="A173" i="1"/>
  <c r="H172" i="1"/>
  <c r="G172" i="1"/>
  <c r="F172" i="1"/>
  <c r="E172" i="1"/>
  <c r="D172" i="1"/>
  <c r="C172" i="1"/>
  <c r="B172" i="1"/>
  <c r="A172" i="1"/>
  <c r="H171" i="1"/>
  <c r="G171" i="1"/>
  <c r="F171" i="1"/>
  <c r="E171" i="1"/>
  <c r="D171" i="1"/>
  <c r="C171" i="1"/>
  <c r="B171" i="1"/>
  <c r="A171" i="1"/>
  <c r="H170" i="1"/>
  <c r="G170" i="1"/>
  <c r="F170" i="1"/>
  <c r="E170" i="1"/>
  <c r="D170" i="1"/>
  <c r="C170" i="1"/>
  <c r="B170" i="1"/>
  <c r="A170" i="1"/>
  <c r="H169" i="1"/>
  <c r="G169" i="1"/>
  <c r="F169" i="1"/>
  <c r="E169" i="1"/>
  <c r="D169" i="1"/>
  <c r="C169" i="1"/>
  <c r="B169" i="1"/>
  <c r="A169" i="1"/>
  <c r="A168" i="1"/>
  <c r="H167" i="1"/>
  <c r="G167" i="1"/>
  <c r="F167" i="1"/>
  <c r="E167" i="1"/>
  <c r="D167" i="1"/>
  <c r="C167" i="1"/>
  <c r="B167" i="1"/>
  <c r="A167" i="1"/>
  <c r="H166" i="1"/>
  <c r="G166" i="1"/>
  <c r="F166" i="1"/>
  <c r="E166" i="1"/>
  <c r="D166" i="1"/>
  <c r="C166" i="1"/>
  <c r="B166" i="1"/>
  <c r="A166" i="1"/>
  <c r="H165" i="1"/>
  <c r="G165" i="1"/>
  <c r="F165" i="1"/>
  <c r="E165" i="1"/>
  <c r="D165" i="1"/>
  <c r="C165" i="1"/>
  <c r="B165" i="1"/>
  <c r="A165" i="1"/>
  <c r="H164" i="1"/>
  <c r="G164" i="1"/>
  <c r="F164" i="1"/>
  <c r="E164" i="1"/>
  <c r="D164" i="1"/>
  <c r="C164" i="1"/>
  <c r="B164" i="1"/>
  <c r="A164" i="1"/>
  <c r="H163" i="1"/>
  <c r="G163" i="1"/>
  <c r="F163" i="1"/>
  <c r="E163" i="1"/>
  <c r="D163" i="1"/>
  <c r="C163" i="1"/>
  <c r="B163" i="1"/>
  <c r="A163" i="1"/>
  <c r="H162" i="1"/>
  <c r="G162" i="1"/>
  <c r="F162" i="1"/>
  <c r="E162" i="1"/>
  <c r="D162" i="1"/>
  <c r="C162" i="1"/>
  <c r="B162" i="1"/>
  <c r="A162" i="1"/>
  <c r="H161" i="1"/>
  <c r="G161" i="1"/>
  <c r="F161" i="1"/>
  <c r="E161" i="1"/>
  <c r="D161" i="1"/>
  <c r="C161" i="1"/>
  <c r="B161" i="1"/>
  <c r="A161" i="1"/>
  <c r="H160" i="1"/>
  <c r="G160" i="1"/>
  <c r="F160" i="1"/>
  <c r="E160" i="1"/>
  <c r="D160" i="1"/>
  <c r="C160" i="1"/>
  <c r="B160" i="1"/>
  <c r="A160" i="1"/>
  <c r="H159" i="1"/>
  <c r="G159" i="1"/>
  <c r="F159" i="1"/>
  <c r="E159" i="1"/>
  <c r="D159" i="1"/>
  <c r="C159" i="1"/>
  <c r="B159" i="1"/>
  <c r="A159" i="1"/>
  <c r="H158" i="1"/>
  <c r="G158" i="1"/>
  <c r="F158" i="1"/>
  <c r="E158" i="1"/>
  <c r="D158" i="1"/>
  <c r="C158" i="1"/>
  <c r="B158" i="1"/>
  <c r="A158" i="1"/>
  <c r="H157" i="1"/>
  <c r="G157" i="1"/>
  <c r="F157" i="1"/>
  <c r="E157" i="1"/>
  <c r="D157" i="1"/>
  <c r="C157" i="1"/>
  <c r="B157" i="1"/>
  <c r="A157" i="1"/>
  <c r="H156" i="1"/>
  <c r="G156" i="1"/>
  <c r="F156" i="1"/>
  <c r="E156" i="1"/>
  <c r="D156" i="1"/>
  <c r="C156" i="1"/>
  <c r="B156" i="1"/>
  <c r="A156" i="1"/>
  <c r="H155" i="1"/>
  <c r="G155" i="1"/>
  <c r="F155" i="1"/>
  <c r="E155" i="1"/>
  <c r="D155" i="1"/>
  <c r="C155" i="1"/>
  <c r="B155" i="1"/>
  <c r="A155" i="1"/>
  <c r="H154" i="1"/>
  <c r="G154" i="1"/>
  <c r="F154" i="1"/>
  <c r="E154" i="1"/>
  <c r="D154" i="1"/>
  <c r="C154" i="1"/>
  <c r="B154" i="1"/>
  <c r="A154" i="1"/>
  <c r="H153" i="1"/>
  <c r="G153" i="1"/>
  <c r="F153" i="1"/>
  <c r="E153" i="1"/>
  <c r="D153" i="1"/>
  <c r="C153" i="1"/>
  <c r="B153" i="1"/>
  <c r="A153" i="1"/>
  <c r="H152" i="1"/>
  <c r="G152" i="1"/>
  <c r="F152" i="1"/>
  <c r="E152" i="1"/>
  <c r="D152" i="1"/>
  <c r="C152" i="1"/>
  <c r="B152" i="1"/>
  <c r="A152" i="1"/>
  <c r="H151" i="1"/>
  <c r="G151" i="1"/>
  <c r="F151" i="1"/>
  <c r="E151" i="1"/>
  <c r="D151" i="1"/>
  <c r="C151" i="1"/>
  <c r="B151" i="1"/>
  <c r="A151" i="1"/>
  <c r="H150" i="1"/>
  <c r="G150" i="1"/>
  <c r="F150" i="1"/>
  <c r="E150" i="1"/>
  <c r="D150" i="1"/>
  <c r="C150" i="1"/>
  <c r="B150" i="1"/>
  <c r="A150" i="1"/>
  <c r="H149" i="1"/>
  <c r="G149" i="1"/>
  <c r="F149" i="1"/>
  <c r="E149" i="1"/>
  <c r="D149" i="1"/>
  <c r="C149" i="1"/>
  <c r="B149" i="1"/>
  <c r="A149" i="1"/>
  <c r="H148" i="1"/>
  <c r="G148" i="1"/>
  <c r="F148" i="1"/>
  <c r="E148" i="1"/>
  <c r="D148" i="1"/>
  <c r="C148" i="1"/>
  <c r="B148" i="1"/>
  <c r="A148" i="1"/>
  <c r="H147" i="1"/>
  <c r="G147" i="1"/>
  <c r="F147" i="1"/>
  <c r="E147" i="1"/>
  <c r="D147" i="1"/>
  <c r="C147" i="1"/>
  <c r="B147" i="1"/>
  <c r="A147" i="1"/>
  <c r="A146" i="1"/>
  <c r="H145" i="1"/>
  <c r="G145" i="1"/>
  <c r="F145" i="1"/>
  <c r="E145" i="1"/>
  <c r="D145" i="1"/>
  <c r="C145" i="1"/>
  <c r="B145" i="1"/>
  <c r="A145" i="1"/>
  <c r="H144" i="1"/>
  <c r="G144" i="1"/>
  <c r="F144" i="1"/>
  <c r="E144" i="1"/>
  <c r="D144" i="1"/>
  <c r="C144" i="1"/>
  <c r="B144" i="1"/>
  <c r="A144" i="1"/>
  <c r="H143" i="1"/>
  <c r="G143" i="1"/>
  <c r="F143" i="1"/>
  <c r="E143" i="1"/>
  <c r="D143" i="1"/>
  <c r="C143" i="1"/>
  <c r="B143" i="1"/>
  <c r="A143" i="1"/>
  <c r="H142" i="1"/>
  <c r="G142" i="1"/>
  <c r="F142" i="1"/>
  <c r="E142" i="1"/>
  <c r="D142" i="1"/>
  <c r="C142" i="1"/>
  <c r="B142" i="1"/>
  <c r="A142" i="1"/>
  <c r="H141" i="1"/>
  <c r="G141" i="1"/>
  <c r="F141" i="1"/>
  <c r="E141" i="1"/>
  <c r="D141" i="1"/>
  <c r="C141" i="1"/>
  <c r="B141" i="1"/>
  <c r="A141" i="1"/>
  <c r="H140" i="1"/>
  <c r="G140" i="1"/>
  <c r="F140" i="1"/>
  <c r="E140" i="1"/>
  <c r="D140" i="1"/>
  <c r="C140" i="1"/>
  <c r="B140" i="1"/>
  <c r="A140" i="1"/>
  <c r="H139" i="1"/>
  <c r="G139" i="1"/>
  <c r="F139" i="1"/>
  <c r="E139" i="1"/>
  <c r="D139" i="1"/>
  <c r="C139" i="1"/>
  <c r="B139" i="1"/>
  <c r="A139" i="1"/>
  <c r="H138" i="1"/>
  <c r="G138" i="1"/>
  <c r="F138" i="1"/>
  <c r="E138" i="1"/>
  <c r="D138" i="1"/>
  <c r="C138" i="1"/>
  <c r="B138" i="1"/>
  <c r="A138" i="1"/>
  <c r="H137" i="1"/>
  <c r="G137" i="1"/>
  <c r="F137" i="1"/>
  <c r="E137" i="1"/>
  <c r="D137" i="1"/>
  <c r="C137" i="1"/>
  <c r="B137" i="1"/>
  <c r="A137" i="1"/>
  <c r="H136" i="1"/>
  <c r="G136" i="1"/>
  <c r="F136" i="1"/>
  <c r="E136" i="1"/>
  <c r="D136" i="1"/>
  <c r="C136" i="1"/>
  <c r="B136" i="1"/>
  <c r="A136" i="1"/>
  <c r="H135" i="1"/>
  <c r="G135" i="1"/>
  <c r="F135" i="1"/>
  <c r="E135" i="1"/>
  <c r="D135" i="1"/>
  <c r="C135" i="1"/>
  <c r="B135" i="1"/>
  <c r="A135" i="1"/>
  <c r="H134" i="1"/>
  <c r="G134" i="1"/>
  <c r="F134" i="1"/>
  <c r="E134" i="1"/>
  <c r="D134" i="1"/>
  <c r="C134" i="1"/>
  <c r="B134" i="1"/>
  <c r="A134" i="1"/>
  <c r="H133" i="1"/>
  <c r="G133" i="1"/>
  <c r="F133" i="1"/>
  <c r="E133" i="1"/>
  <c r="D133" i="1"/>
  <c r="C133" i="1"/>
  <c r="B133" i="1"/>
  <c r="A133" i="1"/>
  <c r="H132" i="1"/>
  <c r="G132" i="1"/>
  <c r="F132" i="1"/>
  <c r="E132" i="1"/>
  <c r="D132" i="1"/>
  <c r="C132" i="1"/>
  <c r="B132" i="1"/>
  <c r="A132" i="1"/>
  <c r="H131" i="1"/>
  <c r="G131" i="1"/>
  <c r="F131" i="1"/>
  <c r="E131" i="1"/>
  <c r="D131" i="1"/>
  <c r="C131" i="1"/>
  <c r="B131" i="1"/>
  <c r="A131" i="1"/>
  <c r="H130" i="1"/>
  <c r="G130" i="1"/>
  <c r="F130" i="1"/>
  <c r="E130" i="1"/>
  <c r="D130" i="1"/>
  <c r="C130" i="1"/>
  <c r="B130" i="1"/>
  <c r="A130" i="1"/>
  <c r="H127" i="1"/>
  <c r="G127" i="1"/>
  <c r="F127" i="1"/>
  <c r="E127" i="1"/>
  <c r="D127" i="1"/>
  <c r="C127" i="1"/>
  <c r="B127" i="1"/>
  <c r="A127" i="1"/>
  <c r="H126" i="1"/>
  <c r="G126" i="1"/>
  <c r="F126" i="1"/>
  <c r="E126" i="1"/>
  <c r="D126" i="1"/>
  <c r="C126" i="1"/>
  <c r="B126" i="1"/>
  <c r="A126" i="1"/>
  <c r="H125" i="1"/>
  <c r="G125" i="1"/>
  <c r="F125" i="1"/>
  <c r="E125" i="1"/>
  <c r="D125" i="1"/>
  <c r="C125" i="1"/>
  <c r="B125" i="1"/>
  <c r="A125" i="1"/>
  <c r="H124" i="1"/>
  <c r="G124" i="1"/>
  <c r="F124" i="1"/>
  <c r="E124" i="1"/>
  <c r="D124" i="1"/>
  <c r="C124" i="1"/>
  <c r="B124" i="1"/>
  <c r="A124" i="1"/>
  <c r="H123" i="1"/>
  <c r="G123" i="1"/>
  <c r="F123" i="1"/>
  <c r="E123" i="1"/>
  <c r="D123" i="1"/>
  <c r="C123" i="1"/>
  <c r="B123" i="1"/>
  <c r="A123" i="1"/>
  <c r="H122" i="1"/>
  <c r="G122" i="1"/>
  <c r="F122" i="1"/>
  <c r="E122" i="1"/>
  <c r="D122" i="1"/>
  <c r="C122" i="1"/>
  <c r="B122" i="1"/>
  <c r="A122" i="1"/>
  <c r="H121" i="1"/>
  <c r="G121" i="1"/>
  <c r="F121" i="1"/>
  <c r="E121" i="1"/>
  <c r="D121" i="1"/>
  <c r="C121" i="1"/>
  <c r="B121" i="1"/>
  <c r="A121" i="1"/>
  <c r="H120" i="1"/>
  <c r="G120" i="1"/>
  <c r="F120" i="1"/>
  <c r="E120" i="1"/>
  <c r="D120" i="1"/>
  <c r="C120" i="1"/>
  <c r="B120" i="1"/>
  <c r="A120" i="1"/>
  <c r="H119" i="1"/>
  <c r="G119" i="1"/>
  <c r="F119" i="1"/>
  <c r="E119" i="1"/>
  <c r="D119" i="1"/>
  <c r="C119" i="1"/>
  <c r="B119" i="1"/>
  <c r="A119" i="1"/>
  <c r="H118" i="1"/>
  <c r="G118" i="1"/>
  <c r="F118" i="1"/>
  <c r="E118" i="1"/>
  <c r="D118" i="1"/>
  <c r="C118" i="1"/>
  <c r="B118" i="1"/>
  <c r="A118" i="1"/>
  <c r="H117" i="1"/>
  <c r="G117" i="1"/>
  <c r="F117" i="1"/>
  <c r="E117" i="1"/>
  <c r="D117" i="1"/>
  <c r="C117" i="1"/>
  <c r="B117" i="1"/>
  <c r="A117" i="1"/>
  <c r="A116" i="1"/>
  <c r="H115" i="1"/>
  <c r="G115" i="1"/>
  <c r="F115" i="1"/>
  <c r="E115" i="1"/>
  <c r="D115" i="1"/>
  <c r="C115" i="1"/>
  <c r="B115" i="1"/>
  <c r="A115" i="1"/>
  <c r="H114" i="1"/>
  <c r="G114" i="1"/>
  <c r="F114" i="1"/>
  <c r="E114" i="1"/>
  <c r="D114" i="1"/>
  <c r="C114" i="1"/>
  <c r="B114" i="1"/>
  <c r="A114" i="1"/>
  <c r="H113" i="1"/>
  <c r="G113" i="1"/>
  <c r="F113" i="1"/>
  <c r="E113" i="1"/>
  <c r="D113" i="1"/>
  <c r="C113" i="1"/>
  <c r="B113" i="1"/>
  <c r="A113" i="1"/>
  <c r="H112" i="1"/>
  <c r="G112" i="1"/>
  <c r="F112" i="1"/>
  <c r="E112" i="1"/>
  <c r="D112" i="1"/>
  <c r="C112" i="1"/>
  <c r="B112" i="1"/>
  <c r="A112" i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H101" i="1"/>
  <c r="G101" i="1"/>
  <c r="F101" i="1"/>
  <c r="E101" i="1"/>
  <c r="D101" i="1"/>
  <c r="C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C97" i="1"/>
  <c r="B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C95" i="1"/>
  <c r="B95" i="1"/>
  <c r="A95" i="1"/>
  <c r="A94" i="1"/>
  <c r="H93" i="1"/>
  <c r="G93" i="1"/>
  <c r="F93" i="1"/>
  <c r="E93" i="1"/>
  <c r="D93" i="1"/>
  <c r="C93" i="1"/>
  <c r="B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C91" i="1"/>
  <c r="B91" i="1"/>
  <c r="A91" i="1"/>
  <c r="H90" i="1"/>
  <c r="G90" i="1"/>
  <c r="F90" i="1"/>
  <c r="E90" i="1"/>
  <c r="D90" i="1"/>
  <c r="C90" i="1"/>
  <c r="B90" i="1"/>
  <c r="A90" i="1"/>
  <c r="H89" i="1"/>
  <c r="G89" i="1"/>
  <c r="F89" i="1"/>
  <c r="E89" i="1"/>
  <c r="D89" i="1"/>
  <c r="C89" i="1"/>
  <c r="B89" i="1"/>
  <c r="A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C87" i="1"/>
  <c r="B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C85" i="1"/>
  <c r="B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C83" i="1"/>
  <c r="B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C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C75" i="1"/>
  <c r="B75" i="1"/>
  <c r="A75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C73" i="1"/>
  <c r="B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C71" i="1"/>
  <c r="B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C67" i="1"/>
  <c r="B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B61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I34" i="1"/>
  <c r="H34" i="1"/>
  <c r="F34" i="1"/>
  <c r="E34" i="1"/>
  <c r="G34" i="1" s="1"/>
  <c r="C34" i="1"/>
  <c r="B34" i="1"/>
  <c r="E33" i="1"/>
  <c r="B33" i="1"/>
  <c r="I31" i="1"/>
  <c r="F31" i="1"/>
  <c r="E31" i="1"/>
  <c r="C31" i="1"/>
  <c r="B31" i="1"/>
  <c r="I30" i="1"/>
  <c r="H30" i="1"/>
  <c r="F30" i="1"/>
  <c r="E30" i="1"/>
  <c r="C30" i="1"/>
  <c r="B30" i="1"/>
  <c r="I29" i="1"/>
  <c r="H29" i="1"/>
  <c r="F29" i="1"/>
  <c r="E29" i="1"/>
  <c r="C29" i="1"/>
  <c r="B29" i="1"/>
  <c r="I28" i="1"/>
  <c r="H28" i="1"/>
  <c r="F28" i="1"/>
  <c r="E28" i="1"/>
  <c r="C28" i="1"/>
  <c r="B28" i="1"/>
  <c r="J17" i="1"/>
  <c r="I17" i="1"/>
  <c r="H17" i="1"/>
  <c r="G17" i="1"/>
  <c r="E17" i="1"/>
  <c r="B17" i="1"/>
  <c r="J16" i="1"/>
  <c r="I16" i="1"/>
  <c r="H16" i="1"/>
  <c r="G16" i="1"/>
  <c r="E16" i="1"/>
  <c r="B16" i="1"/>
  <c r="D16" i="1" s="1"/>
  <c r="J15" i="1"/>
  <c r="I15" i="1"/>
  <c r="H15" i="1"/>
  <c r="G15" i="1"/>
  <c r="E15" i="1"/>
  <c r="B15" i="1"/>
  <c r="J14" i="1"/>
  <c r="I14" i="1"/>
  <c r="H14" i="1"/>
  <c r="G14" i="1"/>
  <c r="E14" i="1"/>
  <c r="B14" i="1"/>
  <c r="J13" i="1"/>
  <c r="I13" i="1"/>
  <c r="H13" i="1"/>
  <c r="G13" i="1"/>
  <c r="E13" i="1"/>
  <c r="B13" i="1"/>
  <c r="D13" i="1" s="1"/>
  <c r="J12" i="1"/>
  <c r="I12" i="1"/>
  <c r="H12" i="1"/>
  <c r="G12" i="1"/>
  <c r="E12" i="1"/>
  <c r="B12" i="1"/>
  <c r="J11" i="1"/>
  <c r="I11" i="1"/>
  <c r="H11" i="1"/>
  <c r="G11" i="1"/>
  <c r="E11" i="1"/>
  <c r="B11" i="1"/>
  <c r="B18" i="1" s="1"/>
  <c r="I7" i="1"/>
  <c r="G7" i="1"/>
  <c r="D7" i="1"/>
  <c r="B7" i="1"/>
  <c r="J6" i="1"/>
  <c r="H6" i="1"/>
  <c r="F6" i="1"/>
  <c r="D6" i="1"/>
  <c r="B6" i="1"/>
  <c r="A2" i="1"/>
  <c r="I48" i="1" l="1"/>
  <c r="G47" i="1"/>
  <c r="J45" i="1"/>
  <c r="H44" i="1"/>
  <c r="I49" i="1"/>
  <c r="J47" i="1"/>
  <c r="H46" i="1"/>
  <c r="H49" i="1"/>
  <c r="J46" i="1"/>
  <c r="H45" i="1"/>
  <c r="F33" i="1"/>
  <c r="G33" i="1" s="1"/>
  <c r="G49" i="1"/>
  <c r="I46" i="1"/>
  <c r="H33" i="1"/>
  <c r="J43" i="1"/>
  <c r="I42" i="1"/>
  <c r="G24" i="1"/>
  <c r="I33" i="1"/>
  <c r="C24" i="1"/>
  <c r="D24" i="1" s="1"/>
  <c r="F23" i="1"/>
  <c r="B23" i="1"/>
  <c r="C22" i="1"/>
  <c r="G45" i="1"/>
  <c r="I43" i="1"/>
  <c r="H42" i="1"/>
  <c r="G41" i="1"/>
  <c r="C33" i="1"/>
  <c r="D33" i="1" s="1"/>
  <c r="H41" i="1"/>
  <c r="H50" i="1"/>
  <c r="F22" i="1"/>
  <c r="B22" i="1"/>
  <c r="E22" i="1" s="1"/>
  <c r="J48" i="1"/>
  <c r="H47" i="1"/>
  <c r="I44" i="1"/>
  <c r="G43" i="1"/>
  <c r="J41" i="1"/>
  <c r="F24" i="1"/>
  <c r="G23" i="1"/>
  <c r="J49" i="1"/>
  <c r="G48" i="1"/>
  <c r="I45" i="1"/>
  <c r="G44" i="1"/>
  <c r="J42" i="1"/>
  <c r="I41" i="1"/>
  <c r="I47" i="1"/>
  <c r="G46" i="1"/>
  <c r="J44" i="1"/>
  <c r="H43" i="1"/>
  <c r="G42" i="1"/>
  <c r="G50" i="1"/>
  <c r="H48" i="1"/>
  <c r="B24" i="1"/>
  <c r="C23" i="1"/>
  <c r="G22" i="1"/>
  <c r="F32" i="1"/>
  <c r="F35" i="1" s="1"/>
  <c r="C32" i="1"/>
  <c r="H32" i="1"/>
  <c r="B32" i="1"/>
  <c r="B35" i="1" s="1"/>
  <c r="I32" i="1"/>
  <c r="E32" i="1"/>
  <c r="G57" i="1"/>
  <c r="H55" i="1"/>
  <c r="J52" i="1"/>
  <c r="I54" i="1"/>
  <c r="I51" i="1"/>
  <c r="J57" i="1"/>
  <c r="G52" i="1"/>
  <c r="J50" i="1"/>
  <c r="G53" i="1"/>
  <c r="G55" i="1"/>
  <c r="I53" i="1"/>
  <c r="H51" i="1"/>
  <c r="J53" i="1"/>
  <c r="J51" i="1"/>
  <c r="I50" i="1"/>
  <c r="H54" i="1"/>
  <c r="G51" i="1"/>
  <c r="G54" i="1"/>
  <c r="H52" i="1"/>
  <c r="G56" i="1"/>
  <c r="I56" i="1"/>
  <c r="H53" i="1"/>
  <c r="J54" i="1"/>
  <c r="I52" i="1"/>
  <c r="H31" i="1"/>
  <c r="H56" i="1"/>
  <c r="I55" i="1"/>
  <c r="J55" i="1"/>
  <c r="I57" i="1"/>
  <c r="J56" i="1"/>
  <c r="H57" i="1"/>
  <c r="J30" i="1"/>
  <c r="D23" i="1"/>
  <c r="J29" i="1"/>
  <c r="J28" i="1"/>
  <c r="E35" i="1"/>
  <c r="D22" i="1"/>
  <c r="D17" i="1"/>
  <c r="F17" i="1"/>
  <c r="F15" i="1"/>
  <c r="D15" i="1"/>
  <c r="D14" i="1"/>
  <c r="F14" i="1"/>
  <c r="F12" i="1"/>
  <c r="D12" i="1"/>
  <c r="D11" i="1"/>
  <c r="F13" i="1"/>
  <c r="F16" i="1"/>
  <c r="G28" i="1"/>
  <c r="G29" i="1"/>
  <c r="G30" i="1"/>
  <c r="G31" i="1"/>
  <c r="J34" i="1"/>
  <c r="D28" i="1"/>
  <c r="D29" i="1"/>
  <c r="D30" i="1"/>
  <c r="D31" i="1"/>
  <c r="D34" i="1"/>
  <c r="E18" i="1"/>
  <c r="I18" i="1"/>
  <c r="C18" i="1"/>
  <c r="D18" i="1" s="1"/>
  <c r="D58" i="1"/>
  <c r="H18" i="1"/>
  <c r="G18" i="1"/>
  <c r="C58" i="1"/>
  <c r="J18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 s="1"/>
  <c r="F11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 s="1"/>
  <c r="E24" i="1" l="1"/>
  <c r="H35" i="1"/>
  <c r="J31" i="1"/>
  <c r="I35" i="1"/>
  <c r="J35" i="1" s="1"/>
  <c r="C35" i="1"/>
  <c r="D35" i="1" s="1"/>
  <c r="J32" i="1"/>
  <c r="D32" i="1"/>
  <c r="G32" i="1"/>
  <c r="E23" i="1"/>
  <c r="J33" i="1"/>
  <c r="G58" i="1"/>
  <c r="J58" i="1"/>
  <c r="I58" i="1"/>
  <c r="H58" i="1"/>
  <c r="F18" i="1"/>
  <c r="G35" i="1"/>
</calcChain>
</file>

<file path=xl/sharedStrings.xml><?xml version="1.0" encoding="utf-8"?>
<sst xmlns="http://schemas.openxmlformats.org/spreadsheetml/2006/main" count="15170" uniqueCount="900">
  <si>
    <t>SDA Installation Dashboard</t>
  </si>
  <si>
    <t>Executive Summary</t>
  </si>
  <si>
    <t>Total Devices</t>
  </si>
  <si>
    <t>Completed</t>
  </si>
  <si>
    <t>On Plan</t>
  </si>
  <si>
    <t>Hold</t>
  </si>
  <si>
    <t>Pending</t>
  </si>
  <si>
    <t>Overall Progress:</t>
  </si>
  <si>
    <t>Actual Installed:</t>
  </si>
  <si>
    <t>Total Rows:</t>
  </si>
  <si>
    <t>Overdue Items:</t>
  </si>
  <si>
    <t>Progress by Fabric</t>
  </si>
  <si>
    <t>Fabric</t>
  </si>
  <si>
    <t>Total</t>
  </si>
  <si>
    <t>Done</t>
  </si>
  <si>
    <t>% Done</t>
  </si>
  <si>
    <t>Remaining</t>
  </si>
  <si>
    <t>Start Date</t>
  </si>
  <si>
    <t>End Date</t>
  </si>
  <si>
    <t>Overdue Qty</t>
  </si>
  <si>
    <t>D1-041</t>
  </si>
  <si>
    <t>CFZ</t>
  </si>
  <si>
    <t>T1-015</t>
  </si>
  <si>
    <t>D1-091</t>
  </si>
  <si>
    <t>RFF</t>
  </si>
  <si>
    <t>AMF</t>
  </si>
  <si>
    <t>PPW</t>
  </si>
  <si>
    <t>TOTAL</t>
  </si>
  <si>
    <t>Device Category Breakdown</t>
  </si>
  <si>
    <t>Category</t>
  </si>
  <si>
    <t>Switch</t>
  </si>
  <si>
    <t>AP</t>
  </si>
  <si>
    <t>Infra</t>
  </si>
  <si>
    <t>Progress by Fabric - Switch vs AP</t>
  </si>
  <si>
    <t>SW Total</t>
  </si>
  <si>
    <t>SW Done</t>
  </si>
  <si>
    <t>SW %</t>
  </si>
  <si>
    <t>AP Total</t>
  </si>
  <si>
    <t>AP Done</t>
  </si>
  <si>
    <t>AP %</t>
  </si>
  <si>
    <t>Infra Total</t>
  </si>
  <si>
    <t>Infra Done</t>
  </si>
  <si>
    <t>Infra %</t>
  </si>
  <si>
    <t>Weekly Installation Velocity</t>
  </si>
  <si>
    <t>Week</t>
  </si>
  <si>
    <t>Dates</t>
  </si>
  <si>
    <t>Planned</t>
  </si>
  <si>
    <t>Actual</t>
  </si>
  <si>
    <t>Cum.Plan</t>
  </si>
  <si>
    <t>Cum.Actual</t>
  </si>
  <si>
    <t>SW Plan</t>
  </si>
  <si>
    <t>SW Actual</t>
  </si>
  <si>
    <t>AP Plan</t>
  </si>
  <si>
    <t>AP Actual</t>
  </si>
  <si>
    <t>This Week Schedule</t>
  </si>
  <si>
    <t>Week:</t>
  </si>
  <si>
    <t>Location</t>
  </si>
  <si>
    <t>Room</t>
  </si>
  <si>
    <t>Device Type</t>
  </si>
  <si>
    <t>Qty</t>
  </si>
  <si>
    <t>Scheduled Date</t>
  </si>
  <si>
    <t>Status</t>
  </si>
  <si>
    <t>Remark</t>
  </si>
  <si>
    <t>Overdue Items (Scheduled &lt; Today &amp; Not Success)</t>
  </si>
  <si>
    <t>Days Late</t>
  </si>
  <si>
    <t>Hold / Blocked Items</t>
  </si>
  <si>
    <t>No.</t>
  </si>
  <si>
    <t>Qty. Success</t>
  </si>
  <si>
    <t>Install Date</t>
  </si>
  <si>
    <t>Qty. Remaining</t>
  </si>
  <si>
    <t>% Complete</t>
  </si>
  <si>
    <t>Days Until Due</t>
  </si>
  <si>
    <t>AMF4</t>
  </si>
  <si>
    <t>AMF4-FL.1</t>
  </si>
  <si>
    <t>Access Switch Type 2</t>
  </si>
  <si>
    <t>Success</t>
  </si>
  <si>
    <t>AMF1</t>
  </si>
  <si>
    <t>-</t>
  </si>
  <si>
    <t>Access Point</t>
  </si>
  <si>
    <t>งานซ่อมบำรุงยานยนต์</t>
  </si>
  <si>
    <t>Access Switch Type 4</t>
  </si>
  <si>
    <t>*Type 4 ไป 1 ตัว ห้องส่วนสนามบิน N5-AMF41-VS02</t>
  </si>
  <si>
    <t>AMF1 FL.2</t>
  </si>
  <si>
    <t>Wireless Controller</t>
  </si>
  <si>
    <t>Distribute Switch Type 1</t>
  </si>
  <si>
    <t>ส่วนบำรุงพื้นที่และสนับสนุนเครื่องทุนแรง</t>
  </si>
  <si>
    <r>
      <rPr>
        <sz val="11"/>
        <color theme="1"/>
        <rFont val="DejaVu Sans"/>
        <family val="2"/>
      </rPr>
      <t xml:space="preserve">ส่วนบำรุงพื้นที่และสนับสนุนเครื่องทุนแรง </t>
    </r>
    <r>
      <rPr>
        <sz val="11"/>
        <color theme="1"/>
        <rFont val="Calibri"/>
        <family val="2"/>
        <charset val="1"/>
      </rPr>
      <t>Room</t>
    </r>
  </si>
  <si>
    <t>Concourse D</t>
  </si>
  <si>
    <t>D4-009</t>
  </si>
  <si>
    <t>AMF12 Core Room</t>
  </si>
  <si>
    <t>Aggregation Switch Type 2</t>
  </si>
  <si>
    <t>D4-074</t>
  </si>
  <si>
    <t>D4-081</t>
  </si>
  <si>
    <t>Concourse A</t>
  </si>
  <si>
    <t>A2-009</t>
  </si>
  <si>
    <t>*ยังไม่ได้ถอด TCA2-009AS01 (FMSS 1 Port)</t>
  </si>
  <si>
    <t>Concourse B</t>
  </si>
  <si>
    <t>B2-031</t>
  </si>
  <si>
    <t>AMF2</t>
  </si>
  <si>
    <t>*ยังไม่ได้ถอด TCB2-031AS02 (FMSS 1 Port)</t>
  </si>
  <si>
    <t>Concourse C</t>
  </si>
  <si>
    <t>C2-044</t>
  </si>
  <si>
    <t>*ยังไม่ได้ถอด TCC2-044AS01 (FMSS 1 Port)</t>
  </si>
  <si>
    <t>AIMS</t>
  </si>
  <si>
    <r>
      <rPr>
        <sz val="11"/>
        <color theme="1"/>
        <rFont val="DejaVu Sans"/>
        <family val="2"/>
      </rPr>
      <t xml:space="preserve">ห้องลูกค้า </t>
    </r>
    <r>
      <rPr>
        <sz val="11"/>
        <color theme="1"/>
        <rFont val="Calibri"/>
        <family val="2"/>
        <charset val="1"/>
      </rPr>
      <t>Server</t>
    </r>
  </si>
  <si>
    <t>AMF3</t>
  </si>
  <si>
    <t>Emergency Operation Center</t>
  </si>
  <si>
    <t>B3-008</t>
  </si>
  <si>
    <t>B4-003</t>
  </si>
  <si>
    <t>AMF5</t>
  </si>
  <si>
    <t>C2-096</t>
  </si>
  <si>
    <t>FFT</t>
  </si>
  <si>
    <t>C2-120</t>
  </si>
  <si>
    <t>C3-009</t>
  </si>
  <si>
    <t>WWT</t>
  </si>
  <si>
    <t>C4-007</t>
  </si>
  <si>
    <t>อาคารสถานีกำจัดขยะ</t>
  </si>
  <si>
    <t>SWT Building</t>
  </si>
  <si>
    <t>Aggregation Switch Type 3</t>
  </si>
  <si>
    <t>A3-008</t>
  </si>
  <si>
    <t>A4-007</t>
  </si>
  <si>
    <t>อาคารสถานีซ้อมดับเพลิงอากาศยานสุวรรณภูมิ</t>
  </si>
  <si>
    <t>ELE-Mainroom</t>
  </si>
  <si>
    <t>A4-036</t>
  </si>
  <si>
    <t>FZ Service Center</t>
  </si>
  <si>
    <t>Core Node 7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</si>
  <si>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รายการนี้ไม่มีห้องอยู่จริง จะย้ายไปติดที่ </t>
    </r>
    <r>
      <rPr>
        <sz val="11"/>
        <color rgb="FFFF0000"/>
        <rFont val="Calibri"/>
        <family val="2"/>
        <charset val="1"/>
      </rPr>
      <t xml:space="preserve">P1 </t>
    </r>
    <r>
      <rPr>
        <sz val="11"/>
        <color rgb="FFFF0000"/>
        <rFont val="DejaVu Sans"/>
        <family val="2"/>
      </rPr>
      <t xml:space="preserve">และ </t>
    </r>
    <r>
      <rPr>
        <sz val="11"/>
        <color rgb="FFFF0000"/>
        <rFont val="Calibri"/>
        <family val="2"/>
        <charset val="1"/>
      </rPr>
      <t>SWT</t>
    </r>
  </si>
  <si>
    <t>Power house 19R</t>
  </si>
  <si>
    <t>A4-041</t>
  </si>
  <si>
    <t>A4-075</t>
  </si>
  <si>
    <t>A4-079</t>
  </si>
  <si>
    <t>A4-091</t>
  </si>
  <si>
    <t>C2-062</t>
  </si>
  <si>
    <t>C2-084</t>
  </si>
  <si>
    <t>D3-012</t>
  </si>
  <si>
    <t>B1-039</t>
  </si>
  <si>
    <t>B1-049</t>
  </si>
  <si>
    <t>C1-050</t>
  </si>
  <si>
    <t>อาคารสำนักงานท่าอากาศยานสุวรรณภูมิ</t>
  </si>
  <si>
    <t>500COM Room</t>
  </si>
  <si>
    <t>Access Switch Type 1</t>
  </si>
  <si>
    <t>501ELE</t>
  </si>
  <si>
    <t>Access Switch Type 3</t>
  </si>
  <si>
    <t>A1-027</t>
  </si>
  <si>
    <t>A1-041</t>
  </si>
  <si>
    <t>A2-121</t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</si>
  <si>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BFZ</t>
    </r>
  </si>
  <si>
    <t>A2-125</t>
  </si>
  <si>
    <t>A3-035</t>
  </si>
  <si>
    <t>A3-039</t>
  </si>
  <si>
    <t>B2-062</t>
  </si>
  <si>
    <t>B2-071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</si>
  <si>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BFZ</t>
    </r>
  </si>
  <si>
    <t>Data Center</t>
  </si>
  <si>
    <t>Router</t>
  </si>
  <si>
    <t>C1-023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</si>
  <si>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Carpark-1</t>
    </r>
  </si>
  <si>
    <t>P1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</si>
  <si>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DS Type 3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</si>
  <si>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t>C1-033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</si>
  <si>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CE-1</t>
    </r>
  </si>
  <si>
    <t>CE 1-1</t>
  </si>
  <si>
    <t>C1-060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</si>
  <si>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CI-1</t>
    </r>
  </si>
  <si>
    <t>CI 1-1</t>
  </si>
  <si>
    <t>C1-070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</si>
  <si>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CP-1</t>
    </r>
  </si>
  <si>
    <t>CP-1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</si>
  <si>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Access Control</t>
    </r>
  </si>
  <si>
    <t>Access Control</t>
  </si>
  <si>
    <t>*Change to Access Switch Type 4</t>
  </si>
  <si>
    <t>(BF-Z) COMM. RM.</t>
  </si>
  <si>
    <t>(BF-Z) MDB COMM</t>
  </si>
  <si>
    <t>BFZ FL.7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</si>
  <si>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S1</t>
    </r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</si>
  <si>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charset val="1"/>
      </rPr>
      <t>DC</t>
    </r>
  </si>
  <si>
    <t>Distribute Switch Type 2</t>
  </si>
  <si>
    <t>BFZ-7</t>
  </si>
  <si>
    <t>CCTV ROOM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</si>
  <si>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AS Type 4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</si>
  <si>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Gatehouse 1</t>
    </r>
  </si>
  <si>
    <t>GH-1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</si>
  <si>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Gatehouse 2</t>
    </r>
  </si>
  <si>
    <t>GH-2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</si>
  <si>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GH-6</t>
    </r>
  </si>
  <si>
    <t>GH-6 FL.1</t>
  </si>
  <si>
    <t>A1-059</t>
  </si>
  <si>
    <t>อาคารกรมศุลกากรคลองเตย</t>
  </si>
  <si>
    <t>A1-078</t>
  </si>
  <si>
    <t>A1-097</t>
  </si>
  <si>
    <t>A1-112</t>
  </si>
  <si>
    <t>SDN Witness</t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</si>
  <si>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charset val="1"/>
      </rPr>
      <t>D1-041</t>
    </r>
  </si>
  <si>
    <t>SDN Controller</t>
  </si>
  <si>
    <t>Next Gen Firewall Type 1</t>
  </si>
  <si>
    <t>A1-086</t>
  </si>
  <si>
    <t>Access Control Type 1</t>
  </si>
  <si>
    <t>A1-090</t>
  </si>
  <si>
    <t>A2-027</t>
  </si>
  <si>
    <t>A2-036</t>
  </si>
  <si>
    <t>A2-047</t>
  </si>
  <si>
    <t>A2-058</t>
  </si>
  <si>
    <t>A2-067</t>
  </si>
  <si>
    <t>A2-076</t>
  </si>
  <si>
    <t>A1-046</t>
  </si>
  <si>
    <t>A1-050</t>
  </si>
  <si>
    <t>304COM Room</t>
  </si>
  <si>
    <t>406COM Room</t>
  </si>
  <si>
    <t>202ELE</t>
  </si>
  <si>
    <t>Canteen</t>
  </si>
  <si>
    <t>งานบริการยานพาหนะ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</si>
  <si>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WH-4</t>
    </r>
  </si>
  <si>
    <t>WH-4</t>
  </si>
  <si>
    <t>CP-1 FL.1</t>
  </si>
  <si>
    <r>
      <rPr>
        <sz val="11"/>
        <color theme="1"/>
        <rFont val="DejaVu Sans"/>
        <family val="2"/>
      </rPr>
      <t>ฝปป</t>
    </r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DejaVu Sans"/>
        <family val="2"/>
      </rPr>
      <t>สคศ</t>
    </r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DejaVu Sans"/>
        <family val="2"/>
      </rPr>
      <t>สสภ</t>
    </r>
    <r>
      <rPr>
        <sz val="11"/>
        <color theme="1"/>
        <rFont val="Calibri"/>
        <family val="2"/>
        <charset val="1"/>
      </rPr>
      <t>.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</si>
  <si>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ต้องดูเรื่องตู้ </t>
    </r>
    <r>
      <rPr>
        <sz val="11"/>
        <color rgb="FFFF0000"/>
        <rFont val="Calibri"/>
        <family val="2"/>
        <charset val="1"/>
      </rPr>
      <t xml:space="preserve">Wall Rack </t>
    </r>
    <r>
      <rPr>
        <sz val="11"/>
        <color rgb="FFFF0000"/>
        <rFont val="DejaVu Sans"/>
        <family val="2"/>
      </rPr>
      <t>ฝาตู้ปิดไม่ได้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</si>
  <si>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CT-1</t>
    </r>
  </si>
  <si>
    <t>SECURITY 1</t>
  </si>
  <si>
    <t>เจ้าหน้าที่ศุลกากรตรวจสินค้าขาเข้า</t>
  </si>
  <si>
    <t>S-1 FL.1</t>
  </si>
  <si>
    <t>S-1 FL.2</t>
  </si>
  <si>
    <t>(CE-1)EE</t>
  </si>
  <si>
    <t>CE-1 FL.1</t>
  </si>
  <si>
    <t>CI-1 FL.1</t>
  </si>
  <si>
    <t>CI-1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</si>
  <si>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BC-1</t>
    </r>
  </si>
  <si>
    <t>BC-1 FL.3</t>
  </si>
  <si>
    <t>งานสืบสวนและปราบปราม</t>
  </si>
  <si>
    <t>ผู้เชี่ยวชาญด้านเทคนิคการตรวจสอบสินค้า</t>
  </si>
  <si>
    <t>ฝ่ายคดี</t>
  </si>
  <si>
    <t>ฝ่ายทบทวนหลังการตรวจปล่อย</t>
  </si>
  <si>
    <t>ฝ่ายสืบสวนและปราบปราม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</si>
  <si>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BC-2</t>
    </r>
  </si>
  <si>
    <t>BC-2 FL.1</t>
  </si>
  <si>
    <t>BC-2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</si>
  <si>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Scanning Export</t>
    </r>
  </si>
  <si>
    <t>Scanning Export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</si>
  <si>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Scanning Import</t>
    </r>
  </si>
  <si>
    <t>Scanning Import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</si>
  <si>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WH-1</t>
    </r>
  </si>
  <si>
    <t>WH-1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</si>
  <si>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WH-2</t>
    </r>
  </si>
  <si>
    <t>WH-2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</si>
  <si>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WH-3</t>
    </r>
  </si>
  <si>
    <t>WH-3</t>
  </si>
  <si>
    <t>A3-068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</si>
  <si>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AO-1</t>
    </r>
  </si>
  <si>
    <t>AO-1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</si>
  <si>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AO-2</t>
    </r>
  </si>
  <si>
    <t>AO-2 FL.1</t>
  </si>
  <si>
    <t>A3-072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</si>
  <si>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AO-3</t>
    </r>
  </si>
  <si>
    <t>AO-3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</si>
  <si>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AO-4</t>
    </r>
  </si>
  <si>
    <t>AO-4 FL.1</t>
  </si>
  <si>
    <t>ฝ่ายเอกสิทธิ์และส่งเสริมการลงทุน</t>
  </si>
  <si>
    <r>
      <rPr>
        <sz val="11"/>
        <color theme="1"/>
        <rFont val="DejaVu Sans"/>
        <family val="2"/>
      </rPr>
      <t>ส่วนบัญชีและอากร สสภ</t>
    </r>
    <r>
      <rPr>
        <sz val="11"/>
        <color theme="1"/>
        <rFont val="Calibri"/>
        <family val="2"/>
        <charset val="1"/>
      </rPr>
      <t>.</t>
    </r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</si>
  <si>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BC-1</t>
    </r>
  </si>
  <si>
    <t>(BC-1) COMM.</t>
  </si>
  <si>
    <t>e - IMPORT</t>
  </si>
  <si>
    <t>E-IMPORT</t>
  </si>
  <si>
    <t>ส่วนบริการกลาง</t>
  </si>
  <si>
    <t>101ELE</t>
  </si>
  <si>
    <t>B1-024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</si>
  <si>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ยังไม่ได้ติด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</t>
    </r>
  </si>
  <si>
    <t>502ELE</t>
  </si>
  <si>
    <t>201ELE</t>
  </si>
  <si>
    <t>204COM Room</t>
  </si>
  <si>
    <t>302ELE</t>
  </si>
  <si>
    <t>603FAN</t>
  </si>
  <si>
    <t>603FAN2</t>
  </si>
  <si>
    <t>Corridor</t>
  </si>
  <si>
    <t>AOB3 Coridor Casecade via 302ELE</t>
  </si>
  <si>
    <t>ฝ่ายบริหารทรัพย์สิน</t>
  </si>
  <si>
    <t>Casecade via 302ELE</t>
  </si>
  <si>
    <t>B2-010</t>
  </si>
  <si>
    <t>C2-007</t>
  </si>
  <si>
    <t>D2-006</t>
  </si>
  <si>
    <t>402ELE</t>
  </si>
  <si>
    <t>Unknown Room (APM)</t>
  </si>
  <si>
    <t>Room APM Casecade via 402ELE</t>
  </si>
  <si>
    <r>
      <rPr>
        <sz val="11"/>
        <color theme="1"/>
        <rFont val="DejaVu Sans"/>
        <family val="2"/>
      </rPr>
      <t>สปค</t>
    </r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charset val="1"/>
      </rPr>
      <t>.</t>
    </r>
  </si>
  <si>
    <t>Casecade via 402ELE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</si>
  <si>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พี่เน็ท</t>
    </r>
    <r>
      <rPr>
        <sz val="11"/>
        <color rgb="FFFF0000"/>
        <rFont val="Calibri"/>
        <family val="2"/>
        <charset val="1"/>
      </rPr>
      <t>)</t>
    </r>
  </si>
  <si>
    <t>ห้องส่วนระบบสื่อสาร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</si>
  <si>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</t>
    </r>
    <r>
      <rPr>
        <sz val="11"/>
        <color rgb="FFFF0000"/>
        <rFont val="Calibri"/>
        <family val="2"/>
        <charset val="1"/>
      </rPr>
      <t xml:space="preserve">(Stack) </t>
    </r>
    <r>
      <rPr>
        <sz val="11"/>
        <color rgb="FFFF0000"/>
        <rFont val="DejaVu Sans"/>
        <family val="2"/>
      </rPr>
      <t xml:space="preserve">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</si>
  <si>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t>301ELE</t>
  </si>
  <si>
    <t>401ELE</t>
  </si>
  <si>
    <t>AOCC Room</t>
  </si>
  <si>
    <t>AFD</t>
  </si>
  <si>
    <t>Computer Room</t>
  </si>
  <si>
    <t>Air Conditioned Room</t>
  </si>
  <si>
    <t>AMF11</t>
  </si>
  <si>
    <t>AMF12</t>
  </si>
  <si>
    <t>AMF13</t>
  </si>
  <si>
    <t>AMF1-FL.3</t>
  </si>
  <si>
    <t>Core Node Room</t>
  </si>
  <si>
    <t>D1-007</t>
  </si>
  <si>
    <t>ประชุมผู้บริหารท่าอากาศยาน</t>
  </si>
  <si>
    <r>
      <rPr>
        <sz val="11"/>
        <color theme="1"/>
        <rFont val="DejaVu Sans"/>
        <family val="2"/>
      </rPr>
      <t>งานฝ่ายอาคารทั่วไป ฝสอ</t>
    </r>
    <r>
      <rPr>
        <sz val="11"/>
        <color theme="1"/>
        <rFont val="Calibri"/>
        <family val="2"/>
        <charset val="1"/>
      </rPr>
      <t>. Room</t>
    </r>
  </si>
  <si>
    <t>D1-012</t>
  </si>
  <si>
    <r>
      <rPr>
        <sz val="11"/>
        <color theme="1"/>
        <rFont val="DejaVu Sans"/>
        <family val="2"/>
      </rPr>
      <t>งานอาคารทั่วไป ฝสอ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</si>
  <si>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DejaVu Sans"/>
        <family val="2"/>
      </rPr>
      <t xml:space="preserve">ฝ่ายพัฒนาดิจิทัลโซลูชั่น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charset val="1"/>
      </rPr>
      <t>.)</t>
    </r>
  </si>
  <si>
    <t>D1-017</t>
  </si>
  <si>
    <r>
      <rPr>
        <sz val="11"/>
        <color theme="1"/>
        <rFont val="DejaVu Sans"/>
        <family val="2"/>
      </rPr>
      <t>สอค</t>
    </r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DejaVu Sans"/>
        <family val="2"/>
      </rPr>
      <t>ฝสอ</t>
    </r>
    <r>
      <rPr>
        <sz val="11"/>
        <color theme="1"/>
        <rFont val="Calibri"/>
        <family val="2"/>
        <charset val="1"/>
      </rPr>
      <t>.</t>
    </r>
  </si>
  <si>
    <t>D1-025</t>
  </si>
  <si>
    <t>AMF31</t>
  </si>
  <si>
    <r>
      <rPr>
        <sz val="11"/>
        <color theme="1"/>
        <rFont val="DejaVu Sans"/>
        <family val="2"/>
      </rPr>
      <t>สคพ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ฝพอ </t>
    </r>
    <r>
      <rPr>
        <sz val="11"/>
        <color theme="1"/>
        <rFont val="Calibri"/>
        <family val="2"/>
        <charset val="1"/>
      </rPr>
      <t>Room</t>
    </r>
  </si>
  <si>
    <t>D1-030</t>
  </si>
  <si>
    <t>AMF5-FL.1</t>
  </si>
  <si>
    <t>อาคารภูมิสถาปัตยกรรม</t>
  </si>
  <si>
    <t>D1-035</t>
  </si>
  <si>
    <t>Next Gen Firewall Type 2</t>
  </si>
  <si>
    <t>Extranet Switch Type 1</t>
  </si>
  <si>
    <t>Core Switch Type 1</t>
  </si>
  <si>
    <t>Office-Room</t>
  </si>
  <si>
    <r>
      <rPr>
        <sz val="11"/>
        <color theme="1"/>
        <rFont val="Calibri"/>
        <family val="2"/>
        <charset val="1"/>
      </rPr>
      <t>MET(</t>
    </r>
    <r>
      <rPr>
        <sz val="11"/>
        <color theme="1"/>
        <rFont val="DejaVu Sans"/>
        <family val="2"/>
      </rPr>
      <t>อาคารอุตุนิยม</t>
    </r>
    <r>
      <rPr>
        <sz val="11"/>
        <color theme="1"/>
        <rFont val="Calibri"/>
        <family val="2"/>
        <charset val="1"/>
      </rPr>
      <t>)</t>
    </r>
  </si>
  <si>
    <t>MET-FL.2</t>
  </si>
  <si>
    <t>D1-063</t>
  </si>
  <si>
    <t>ห้องควบคุมระบบบำบัดน้ำเสีย</t>
  </si>
  <si>
    <t>อาคารรอบนอก</t>
  </si>
  <si>
    <t>D1-068</t>
  </si>
  <si>
    <t>SWT-OFFICE FL.2</t>
  </si>
  <si>
    <t>งานซ่อมบำรุงเครื่องจักรและระบบควบคุม</t>
  </si>
  <si>
    <t>Airmail</t>
  </si>
  <si>
    <t>High Voltage Electrical Room</t>
  </si>
  <si>
    <t>BFS-Cargo</t>
  </si>
  <si>
    <t>Server Room</t>
  </si>
  <si>
    <t>19R-FL.1</t>
  </si>
  <si>
    <t>TGA</t>
  </si>
  <si>
    <t>Network &amp; PABX Room</t>
  </si>
  <si>
    <t>TG-Cargo</t>
  </si>
  <si>
    <t>BAS Control Room</t>
  </si>
  <si>
    <t>BC-1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</si>
  <si>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BFS Cargo Terminal</t>
    </r>
  </si>
  <si>
    <t>CT2</t>
  </si>
  <si>
    <t>BTL Room</t>
  </si>
  <si>
    <t>CCC Room</t>
  </si>
  <si>
    <t>SCC Room</t>
  </si>
  <si>
    <t>security and control system room</t>
  </si>
  <si>
    <t>A2-093</t>
  </si>
  <si>
    <t>A3-060</t>
  </si>
  <si>
    <t>A3-061</t>
  </si>
  <si>
    <t>D3-031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</si>
  <si>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1</t>
    </r>
  </si>
  <si>
    <t>ระบบสื่อสาร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</si>
  <si>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2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</si>
  <si>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3</t>
    </r>
  </si>
  <si>
    <t>D2-017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</si>
  <si>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4</t>
    </r>
  </si>
  <si>
    <t>D2-026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</si>
  <si>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PMC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</si>
  <si>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SBIA-NEWBULDING</t>
    </r>
  </si>
  <si>
    <t>D2-035</t>
  </si>
  <si>
    <t>D2-046</t>
  </si>
  <si>
    <t>อาคารสถานีดับเพลิงและกู้ภัยฝั่งตะวันออก</t>
  </si>
  <si>
    <t>Communication Room</t>
  </si>
  <si>
    <t>D2-060</t>
  </si>
  <si>
    <t>D2-069</t>
  </si>
  <si>
    <t>D2-082</t>
  </si>
  <si>
    <t>D2-094</t>
  </si>
  <si>
    <t>104LAN Server Room</t>
  </si>
  <si>
    <t>Aggregation Switch Type 1</t>
  </si>
  <si>
    <t>D2-105</t>
  </si>
  <si>
    <t>D4-065</t>
  </si>
  <si>
    <t>D4-075</t>
  </si>
  <si>
    <t>D4-082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</si>
  <si>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แยกรายการมาจาก </t>
    </r>
    <r>
      <rPr>
        <sz val="11"/>
        <color rgb="FFFF0000"/>
        <rFont val="Calibri"/>
        <family val="2"/>
        <charset val="1"/>
      </rPr>
      <t xml:space="preserve">Access Point </t>
    </r>
    <r>
      <rPr>
        <sz val="11"/>
        <color rgb="FFFF0000"/>
        <rFont val="DejaVu Sans"/>
        <family val="2"/>
      </rPr>
      <t>หลัก</t>
    </r>
  </si>
  <si>
    <t>D4-083</t>
  </si>
  <si>
    <t>CtrlPost-2</t>
  </si>
  <si>
    <t>CtrlPost-3</t>
  </si>
  <si>
    <t>CtrlPost-4</t>
  </si>
  <si>
    <t>Power house 01R</t>
  </si>
  <si>
    <t>ห้องเครื่อง</t>
  </si>
  <si>
    <t>BPDU</t>
  </si>
  <si>
    <t>Unknown Room</t>
  </si>
  <si>
    <t>ฝ่ายวิศวกรรมก่อสร้าง</t>
  </si>
  <si>
    <t>Information Technology</t>
  </si>
  <si>
    <t>สำนักงานบริหารการก่อสร้าง อาคารวิศวกรรม</t>
  </si>
  <si>
    <t>ราชเทวะ</t>
  </si>
  <si>
    <t>อาคารโรงสูบน้ำฝั่งตะออก</t>
  </si>
  <si>
    <t>Storage Room</t>
  </si>
  <si>
    <r>
      <rPr>
        <sz val="11"/>
        <color theme="1"/>
        <rFont val="DejaVu Sans"/>
        <family val="2"/>
      </rPr>
      <t xml:space="preserve">ริมบันได </t>
    </r>
    <r>
      <rPr>
        <sz val="11"/>
        <color theme="1"/>
        <rFont val="Calibri"/>
        <family val="2"/>
        <charset val="1"/>
      </rPr>
      <t>FL.2</t>
    </r>
  </si>
  <si>
    <t>ห้องเก็บของ</t>
  </si>
  <si>
    <t>ห้องสื่อสาร</t>
  </si>
  <si>
    <t>104LAN Air-Condition</t>
  </si>
  <si>
    <t>105 Computer-Security Department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</si>
  <si>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หน้างานติดตั้งไม่ได้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</si>
  <si>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t>ห้องส่วนระบบเครือข่าย</t>
  </si>
  <si>
    <t>Carpark Zone 5</t>
  </si>
  <si>
    <t>ตู้เก็บเงินทางเข้า</t>
  </si>
  <si>
    <t>Concourse E</t>
  </si>
  <si>
    <t>E1-023</t>
  </si>
  <si>
    <t>E1-033</t>
  </si>
  <si>
    <t>E1-050</t>
  </si>
  <si>
    <t>E1-060</t>
  </si>
  <si>
    <t>E1-070</t>
  </si>
  <si>
    <t>E2-019</t>
  </si>
  <si>
    <t>E2-047</t>
  </si>
  <si>
    <t>E2-065</t>
  </si>
  <si>
    <t>E2-087</t>
  </si>
  <si>
    <t>E2-099</t>
  </si>
  <si>
    <t>E2-123</t>
  </si>
  <si>
    <t>E3-009</t>
  </si>
  <si>
    <t>E4-007</t>
  </si>
  <si>
    <t>Concourse F</t>
  </si>
  <si>
    <t>F1-024</t>
  </si>
  <si>
    <t>F1-039</t>
  </si>
  <si>
    <t>F1-049</t>
  </si>
  <si>
    <t>F2-008</t>
  </si>
  <si>
    <t>F2-037</t>
  </si>
  <si>
    <t>F2-051</t>
  </si>
  <si>
    <t>F2-077</t>
  </si>
  <si>
    <t>F3-008</t>
  </si>
  <si>
    <t>F4-007</t>
  </si>
  <si>
    <t>Concourse G</t>
  </si>
  <si>
    <t>G1-028</t>
  </si>
  <si>
    <t>G1-041</t>
  </si>
  <si>
    <t>G1-045</t>
  </si>
  <si>
    <t>G1-050</t>
  </si>
  <si>
    <t>G1-057</t>
  </si>
  <si>
    <t>G1-078</t>
  </si>
  <si>
    <t>G1-082</t>
  </si>
  <si>
    <t>G1-088</t>
  </si>
  <si>
    <t>G1-093</t>
  </si>
  <si>
    <t>G2-009</t>
  </si>
  <si>
    <t>G2-026</t>
  </si>
  <si>
    <t>G2-034</t>
  </si>
  <si>
    <t>G2-047</t>
  </si>
  <si>
    <t>G2-056</t>
  </si>
  <si>
    <t>G2-065</t>
  </si>
  <si>
    <t>G2-079</t>
  </si>
  <si>
    <t>G2-083</t>
  </si>
  <si>
    <t>G2-095</t>
  </si>
  <si>
    <t>G2-099</t>
  </si>
  <si>
    <t>G3-016</t>
  </si>
  <si>
    <t>G3-031</t>
  </si>
  <si>
    <t>G3-035</t>
  </si>
  <si>
    <t>G3-046</t>
  </si>
  <si>
    <t>G3-050</t>
  </si>
  <si>
    <t>G4-013</t>
  </si>
  <si>
    <t>G4-026</t>
  </si>
  <si>
    <t>G4-030</t>
  </si>
  <si>
    <t>G4-042</t>
  </si>
  <si>
    <t>G4-046</t>
  </si>
  <si>
    <t>CtrlPost-1</t>
  </si>
  <si>
    <t>หอควบคุมลานจอดฝั่งตะวันตก</t>
  </si>
  <si>
    <t>CT-4-02 Equipment Room</t>
  </si>
  <si>
    <t>หอควบคุมลานจอดฝั่งตะวันออก</t>
  </si>
  <si>
    <t>อาคารบริษัทวิทยุการบินแห่งประเทศไทย จำกัด</t>
  </si>
  <si>
    <t>Surveillance System Room</t>
  </si>
  <si>
    <t>อาคารฝ่ายบริการอุปกรณ์ภาคพื้น การบินไทย</t>
  </si>
  <si>
    <t>Electrical Control Room</t>
  </si>
  <si>
    <t>อาคารสถานีดับเพลิงและกู้ภัยฝั่งตะวันตก</t>
  </si>
  <si>
    <t>Office Room</t>
  </si>
  <si>
    <t>Store Room</t>
  </si>
  <si>
    <t>Power house 01L</t>
  </si>
  <si>
    <t>01L-FL.1</t>
  </si>
  <si>
    <t>PPW Core Room</t>
  </si>
  <si>
    <t>ASIG</t>
  </si>
  <si>
    <t>Control Room</t>
  </si>
  <si>
    <t>BAFS</t>
  </si>
  <si>
    <t>IT SYSTEM ENGINEERING</t>
  </si>
  <si>
    <t>BFSC</t>
  </si>
  <si>
    <t>BFS-GSE</t>
  </si>
  <si>
    <t>SCADA Room</t>
  </si>
  <si>
    <t>CGP</t>
  </si>
  <si>
    <t>Control Equipment Room</t>
  </si>
  <si>
    <t>LSG</t>
  </si>
  <si>
    <t>MTS</t>
  </si>
  <si>
    <t>Power house 19L</t>
  </si>
  <si>
    <t>19L-FL.1</t>
  </si>
  <si>
    <t>Electical High Voltage Room</t>
  </si>
  <si>
    <t>Electical Room</t>
  </si>
  <si>
    <t>Fl.2</t>
  </si>
  <si>
    <t>Fl.3</t>
  </si>
  <si>
    <t>Node 4</t>
  </si>
  <si>
    <t>RFF FL.1</t>
  </si>
  <si>
    <t>RFF FL.2</t>
  </si>
  <si>
    <t>งานควบคุมและมาตรฐาน</t>
  </si>
  <si>
    <t>ตรวจถังดับเพลิง</t>
  </si>
  <si>
    <t>ห้องไฟฟ้า</t>
  </si>
  <si>
    <t>ห้้องไฟฟ้า</t>
  </si>
  <si>
    <t>ห้องประชุมใหญ่</t>
  </si>
  <si>
    <t>ห้องผู้อำนวยการ</t>
  </si>
  <si>
    <t>TGC</t>
  </si>
  <si>
    <t>System Control Room</t>
  </si>
  <si>
    <t>TGD</t>
  </si>
  <si>
    <t>AS-B6-5 SUBSTATION 51</t>
  </si>
  <si>
    <t>TG-GSE</t>
  </si>
  <si>
    <t>Building Automation System</t>
  </si>
  <si>
    <t>TGO</t>
  </si>
  <si>
    <t>Computer Operations center</t>
  </si>
  <si>
    <t>WSS</t>
  </si>
  <si>
    <t>ศูนย์การขนส่งสาธารณะ</t>
  </si>
  <si>
    <t>AOT Office Server Room</t>
  </si>
  <si>
    <t>BUS-ELE</t>
  </si>
  <si>
    <t>SECURE-REST-BLD</t>
  </si>
  <si>
    <t>ส่่วนบริหารรถเช่าและรถรับจ้าง</t>
  </si>
  <si>
    <t>ส่วนบริหารระบบขนส่งสาธารณะ</t>
  </si>
  <si>
    <r>
      <rPr>
        <sz val="11"/>
        <color theme="1"/>
        <rFont val="DejaVu Sans"/>
        <family val="2"/>
      </rPr>
      <t xml:space="preserve">ห้องสอบสวนที่ </t>
    </r>
    <r>
      <rPr>
        <sz val="11"/>
        <color theme="1"/>
        <rFont val="Calibri"/>
        <family val="2"/>
        <charset val="1"/>
      </rPr>
      <t>2</t>
    </r>
  </si>
  <si>
    <t>Carpark East</t>
  </si>
  <si>
    <t>CPE1-09</t>
  </si>
  <si>
    <t>Operation-Room</t>
  </si>
  <si>
    <t>Carpark West</t>
  </si>
  <si>
    <t>CPW1-09</t>
  </si>
  <si>
    <r>
      <rPr>
        <sz val="11"/>
        <color theme="1"/>
        <rFont val="Calibri"/>
        <family val="2"/>
        <charset val="1"/>
      </rPr>
      <t xml:space="preserve">CPW1-09 </t>
    </r>
    <r>
      <rPr>
        <sz val="11"/>
        <color theme="1"/>
        <rFont val="DejaVu Sans"/>
        <family val="2"/>
      </rPr>
      <t>ห้องงานไฟฟ้า</t>
    </r>
  </si>
  <si>
    <t>Museum FL.6</t>
  </si>
  <si>
    <t>Terminal</t>
  </si>
  <si>
    <t>อาคารปฏิบัติการและระบบลำเลียงกระเป๋าสัมภาระเปลี่ยนเที่ยวบิน</t>
  </si>
  <si>
    <r>
      <rPr>
        <sz val="11"/>
        <color theme="1"/>
        <rFont val="DejaVu Sans"/>
        <family val="2"/>
      </rPr>
      <t xml:space="preserve">ตู้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DejaVu Sans"/>
        <family val="2"/>
      </rPr>
      <t>ลอย</t>
    </r>
  </si>
  <si>
    <t>ห้องติดตั้งระบบดับเพลิงอัตโนมัติ</t>
  </si>
  <si>
    <t>อาคารผู้โดยสาร</t>
  </si>
  <si>
    <t>CheckinRow A Island-1</t>
  </si>
  <si>
    <t>CheckinRow C Island-2</t>
  </si>
  <si>
    <t>CheckinRow E Island-3</t>
  </si>
  <si>
    <t>CheckinRow G Island-4</t>
  </si>
  <si>
    <t>CheckinRow J Island-5</t>
  </si>
  <si>
    <t>CheckinRow L Island-6</t>
  </si>
  <si>
    <t>CheckinRow N Island-7</t>
  </si>
  <si>
    <t>CheckinRow Q Island-8</t>
  </si>
  <si>
    <t>CheckinRow S Island-9</t>
  </si>
  <si>
    <t>CheckinRow U Island-10</t>
  </si>
  <si>
    <t>T1-003</t>
  </si>
  <si>
    <t>T1-019</t>
  </si>
  <si>
    <t>T1-037</t>
  </si>
  <si>
    <t>T1-058</t>
  </si>
  <si>
    <t>T1-071</t>
  </si>
  <si>
    <t>T1-077</t>
  </si>
  <si>
    <t>T1-085</t>
  </si>
  <si>
    <t>T1-095</t>
  </si>
  <si>
    <t>T1-107</t>
  </si>
  <si>
    <t>T1-123</t>
  </si>
  <si>
    <t>T1-138</t>
  </si>
  <si>
    <t>T1-149</t>
  </si>
  <si>
    <t>T1-TM-101A</t>
  </si>
  <si>
    <t>T2-009</t>
  </si>
  <si>
    <t>T2-032</t>
  </si>
  <si>
    <t>T2-048</t>
  </si>
  <si>
    <t>T2-079</t>
  </si>
  <si>
    <t>T2-091</t>
  </si>
  <si>
    <t>T2-098</t>
  </si>
  <si>
    <t>T2-125</t>
  </si>
  <si>
    <t>T2-140</t>
  </si>
  <si>
    <t>T2-147</t>
  </si>
  <si>
    <t>T2-158</t>
  </si>
  <si>
    <t>T3-002</t>
  </si>
  <si>
    <t>T3-012</t>
  </si>
  <si>
    <t>T3-031</t>
  </si>
  <si>
    <t>T3-052</t>
  </si>
  <si>
    <t>T3-067</t>
  </si>
  <si>
    <t>T3-076</t>
  </si>
  <si>
    <t>T3-084</t>
  </si>
  <si>
    <t>T3-090</t>
  </si>
  <si>
    <t>T3-102</t>
  </si>
  <si>
    <t>T3-107</t>
  </si>
  <si>
    <t>T4-008</t>
  </si>
  <si>
    <t>T4-008a</t>
  </si>
  <si>
    <t>T4-031</t>
  </si>
  <si>
    <t>T4-031(Screening)</t>
  </si>
  <si>
    <t>T4-048</t>
  </si>
  <si>
    <t>T4-063</t>
  </si>
  <si>
    <t>T4-063(Screening)</t>
  </si>
  <si>
    <t>T5-003</t>
  </si>
  <si>
    <t>T5-016</t>
  </si>
  <si>
    <t>T5-020</t>
  </si>
  <si>
    <t>T5-032</t>
  </si>
  <si>
    <t>T6-007</t>
  </si>
  <si>
    <t>T6-014</t>
  </si>
  <si>
    <r>
      <rPr>
        <b/>
        <sz val="16"/>
        <rFont val="Calibri"/>
        <family val="2"/>
        <charset val="1"/>
      </rPr>
      <t xml:space="preserve">SDA Installation Plan - Summary (Based on </t>
    </r>
    <r>
      <rPr>
        <b/>
        <sz val="16"/>
        <rFont val="DejaVu Sans"/>
        <family val="2"/>
      </rPr>
      <t>ภาคผนวก ค</t>
    </r>
    <r>
      <rPr>
        <b/>
        <sz val="16"/>
        <rFont val="Calibri"/>
        <family val="2"/>
        <charset val="1"/>
      </rPr>
      <t>)</t>
    </r>
  </si>
  <si>
    <t>Generated: 2026-02-01 06:26</t>
  </si>
  <si>
    <t>Duration</t>
  </si>
  <si>
    <t>Total/Day</t>
  </si>
  <si>
    <t>Switch/Day</t>
  </si>
  <si>
    <t>AP/Day</t>
  </si>
  <si>
    <t>Locations</t>
  </si>
  <si>
    <t>Rooms</t>
  </si>
  <si>
    <t>2026-02-14</t>
  </si>
  <si>
    <t>2026-06-10</t>
  </si>
  <si>
    <t>2026-02-22</t>
  </si>
  <si>
    <t>2026-04-08</t>
  </si>
  <si>
    <t>2026-03-01</t>
  </si>
  <si>
    <t>2026-05-11</t>
  </si>
  <si>
    <t>2026-03-08</t>
  </si>
  <si>
    <t>2026-04-23</t>
  </si>
  <si>
    <t>2026-03-15</t>
  </si>
  <si>
    <t>2026-04-15</t>
  </si>
  <si>
    <t>2026-04-21</t>
  </si>
  <si>
    <t>2026-04-01</t>
  </si>
  <si>
    <t>2026-04-16</t>
  </si>
  <si>
    <t>Device Type Summary by Fabric</t>
  </si>
  <si>
    <t>Location Summary by Fabric - Installation Planning</t>
  </si>
  <si>
    <t>Generated: 2026-02-01 06:26 | Days allocated proportionally by device count</t>
  </si>
  <si>
    <t>Days</t>
  </si>
  <si>
    <t>2026-04-03</t>
  </si>
  <si>
    <t>2026-04-04</t>
  </si>
  <si>
    <t>2026-04-19</t>
  </si>
  <si>
    <t>2026-04-20</t>
  </si>
  <si>
    <t>2026-04-30</t>
  </si>
  <si>
    <t>2026-05-01</t>
  </si>
  <si>
    <t>2026-05-10</t>
  </si>
  <si>
    <t>2026-05-15</t>
  </si>
  <si>
    <t>2026-05-16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</si>
  <si>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</si>
  <si>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</si>
  <si>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</si>
  <si>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</si>
  <si>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</si>
  <si>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</si>
  <si>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</si>
  <si>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</si>
  <si>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</si>
  <si>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</si>
  <si>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</si>
  <si>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</si>
  <si>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</si>
  <si>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</si>
  <si>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</si>
  <si>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2026-03-04</t>
  </si>
  <si>
    <t>2026-03-05</t>
  </si>
  <si>
    <t>2026-03-10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</si>
  <si>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</si>
  <si>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</si>
  <si>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</si>
  <si>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</si>
  <si>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</si>
  <si>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</si>
  <si>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</si>
  <si>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</si>
  <si>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</si>
  <si>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</si>
  <si>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</si>
  <si>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</si>
  <si>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</si>
  <si>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</si>
  <si>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</si>
  <si>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</si>
  <si>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</si>
  <si>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</si>
  <si>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</si>
  <si>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2026-04-02</t>
  </si>
  <si>
    <t>2026-04-05</t>
  </si>
  <si>
    <t>2026-04-06</t>
  </si>
  <si>
    <t>2026-04-07</t>
  </si>
  <si>
    <t>2026-04-09</t>
  </si>
  <si>
    <t>2026-04-28</t>
  </si>
  <si>
    <t>2026-04-29</t>
  </si>
  <si>
    <t>2026-05-06</t>
  </si>
  <si>
    <t>2026-05-07</t>
  </si>
  <si>
    <t>2026-05-08</t>
  </si>
  <si>
    <t>2026-04-10</t>
  </si>
  <si>
    <t>2026-04-11</t>
  </si>
  <si>
    <t>2026-04-17</t>
  </si>
  <si>
    <t>2026-04-18</t>
  </si>
  <si>
    <t>2026-04-12</t>
  </si>
  <si>
    <t>2026-04-13</t>
  </si>
  <si>
    <t>2026-04-14</t>
  </si>
  <si>
    <t>94 locations</t>
  </si>
  <si>
    <t>Room Summary by Location - Installation Tracking</t>
  </si>
  <si>
    <t>Generated: 2026-02-01 06:26 | Complete room by room, rate balanced</t>
  </si>
  <si>
    <t>Work Day</t>
  </si>
  <si>
    <t>Team</t>
  </si>
  <si>
    <t>Notes</t>
  </si>
  <si>
    <t>2026-04-22</t>
  </si>
  <si>
    <t>2026-04-24</t>
  </si>
  <si>
    <t>2026-04-25</t>
  </si>
  <si>
    <t>2026-04-26</t>
  </si>
  <si>
    <t>2026-04-27</t>
  </si>
  <si>
    <t>2026-05-02</t>
  </si>
  <si>
    <t>2026-05-03</t>
  </si>
  <si>
    <t>2026-05-04</t>
  </si>
  <si>
    <t>2026-05-05</t>
  </si>
  <si>
    <t>2026-05-09</t>
  </si>
  <si>
    <t>2026-05-12</t>
  </si>
  <si>
    <t>2026-05-13</t>
  </si>
  <si>
    <t>2026-05-14</t>
  </si>
  <si>
    <t>2026-05-17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</si>
  <si>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</si>
  <si>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</si>
  <si>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</si>
  <si>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</si>
  <si>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</si>
  <si>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</si>
  <si>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</si>
  <si>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</si>
  <si>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2026-02-27</t>
  </si>
  <si>
    <t>2026-02-28</t>
  </si>
  <si>
    <t>2026-03-02</t>
  </si>
  <si>
    <t>2026-03-03</t>
  </si>
  <si>
    <t>2026-03-06</t>
  </si>
  <si>
    <t>2026-03-07</t>
  </si>
  <si>
    <t>2026-03-09</t>
  </si>
  <si>
    <t>2026-03-12</t>
  </si>
  <si>
    <t>ส่่วนบริการกลาง</t>
  </si>
  <si>
    <t xml:space="preserve"> Core Node 7</t>
  </si>
  <si>
    <t>งานซ่่อมบำรุงยานยนต์</t>
  </si>
  <si>
    <t>ห้้องควบคุมระบบบำบัดน้ำเสีย</t>
  </si>
  <si>
    <t>370 rooms</t>
  </si>
  <si>
    <r>
      <rPr>
        <b/>
        <sz val="14"/>
        <rFont val="Calibri"/>
        <family val="2"/>
        <charset val="1"/>
      </rPr>
      <t xml:space="preserve">Cross-Check: </t>
    </r>
    <r>
      <rPr>
        <b/>
        <sz val="14"/>
        <rFont val="DejaVu Sans"/>
        <family val="2"/>
      </rPr>
      <t xml:space="preserve">ภาคผนวก ค </t>
    </r>
    <r>
      <rPr>
        <b/>
        <sz val="14"/>
        <rFont val="Calibri"/>
        <family val="2"/>
        <charset val="1"/>
      </rPr>
      <t>vs Device Install Old-New</t>
    </r>
  </si>
  <si>
    <t>ภาคผนวก ค</t>
  </si>
  <si>
    <t>Device Install</t>
  </si>
  <si>
    <t>Diff</t>
  </si>
  <si>
    <t>✅ OK</t>
  </si>
  <si>
    <t>⚠️ Check</t>
  </si>
  <si>
    <t>❌ Gap</t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</si>
  <si>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อุปกรณ์กระจายสัญญาณเครือข่ายรองแบบที่ </t>
    </r>
    <r>
      <rPr>
        <sz val="11"/>
        <color theme="1"/>
        <rFont val="Calibri"/>
        <family val="2"/>
        <charset val="1"/>
      </rPr>
      <t>3 (Distribute Switch Type 2)</t>
    </r>
  </si>
  <si>
    <t>TOTAL (no AP)</t>
  </si>
  <si>
    <r>
      <rPr>
        <b/>
        <sz val="14"/>
        <rFont val="Calibri"/>
        <family val="2"/>
        <charset val="1"/>
      </rPr>
      <t xml:space="preserve">Normalized Data from </t>
    </r>
    <r>
      <rPr>
        <b/>
        <sz val="14"/>
        <rFont val="DejaVu Sans"/>
        <family val="2"/>
      </rPr>
      <t>ภาคผนวก ค</t>
    </r>
  </si>
  <si>
    <t>Device Type (Thai)</t>
  </si>
  <si>
    <t>Quantity</t>
  </si>
  <si>
    <r>
      <rPr>
        <sz val="11"/>
        <color theme="1"/>
        <rFont val="DejaVu Sans"/>
        <family val="2"/>
      </rPr>
      <t xml:space="preserve">อุปกรณ์กระจายสัญญาณเครือข่ายแบบที่ </t>
    </r>
    <r>
      <rPr>
        <sz val="11"/>
        <color theme="1"/>
        <rFont val="Calibri"/>
        <family val="2"/>
        <charset val="1"/>
      </rPr>
      <t>2 (Access Switch Type 2)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</si>
  <si>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อุปกรณ์กระจายสัญญาณเครือข่ายไร้สาย </t>
    </r>
    <r>
      <rPr>
        <sz val="11"/>
        <color theme="1"/>
        <rFont val="Calibri"/>
        <family val="2"/>
        <charset val="1"/>
      </rPr>
      <t>(Access Point)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</si>
  <si>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อุปกรณ์กระจายสัญญาณเครือข่ายรองแบบที่ </t>
    </r>
    <r>
      <rPr>
        <sz val="11"/>
        <color theme="1"/>
        <rFont val="Calibri"/>
        <family val="2"/>
        <charset val="1"/>
      </rPr>
      <t>1 (Distribute Switch Type 1)</t>
    </r>
  </si>
  <si>
    <r>
      <rPr>
        <sz val="11"/>
        <color theme="1"/>
        <rFont val="DejaVu Sans"/>
        <family val="2"/>
      </rPr>
      <t xml:space="preserve">อุปกรณ์ควบคุมการกระจายสัญญาณเครือข่ายไร้สาย </t>
    </r>
    <r>
      <rPr>
        <sz val="11"/>
        <color theme="1"/>
        <rFont val="Calibri"/>
        <family val="2"/>
        <charset val="1"/>
      </rPr>
      <t>(Wireless Controller)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</si>
  <si>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อุปกรณ์กระจายสัญญาณเครือข่ายแบบที่ </t>
    </r>
    <r>
      <rPr>
        <sz val="11"/>
        <color theme="1"/>
        <rFont val="Calibri"/>
        <family val="2"/>
        <charset val="1"/>
      </rPr>
      <t>3 (Access Switch Type 3)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</si>
  <si>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อุปกรณ์กระจายสัญญาณเครือข่ายรวมแบบที่ </t>
    </r>
    <r>
      <rPr>
        <sz val="11"/>
        <color theme="1"/>
        <rFont val="Calibri"/>
        <family val="2"/>
        <charset val="1"/>
      </rPr>
      <t>2 (Aggregation Switch Type 2)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</si>
  <si>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อุปกรณ์กระจายสัญญาณเครือข่ายแบบที่ </t>
    </r>
    <r>
      <rPr>
        <sz val="11"/>
        <color theme="1"/>
        <rFont val="Calibri"/>
        <family val="2"/>
        <charset val="1"/>
      </rPr>
      <t>1 (Access Switch Type 1)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</si>
  <si>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อุปกรณ์กระจายสัญญาณเครือข่ายแบบที่ </t>
    </r>
    <r>
      <rPr>
        <sz val="11"/>
        <color theme="1"/>
        <rFont val="Calibri"/>
        <family val="2"/>
        <charset val="1"/>
      </rPr>
      <t>4 (Access Switch Type 4)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</si>
  <si>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อุปกรณ์กระจายสัญญาณเครือข่ายรวมแบบที่ </t>
    </r>
    <r>
      <rPr>
        <sz val="11"/>
        <color theme="1"/>
        <rFont val="Calibri"/>
        <family val="2"/>
        <charset val="1"/>
      </rPr>
      <t>3 (Aggregation Switch Type 3)</t>
    </r>
  </si>
  <si>
    <r>
      <rPr>
        <sz val="11"/>
        <color theme="1"/>
        <rFont val="DejaVu Sans"/>
        <family val="2"/>
      </rPr>
      <t xml:space="preserve">อุปกรณ์ค้นหาเส้นทาง </t>
    </r>
    <r>
      <rPr>
        <sz val="11"/>
        <color theme="1"/>
        <rFont val="Calibri"/>
        <family val="2"/>
        <charset val="1"/>
      </rPr>
      <t>(Router)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</si>
  <si>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อุปกรณ์กระจายสัญญาณเครือข่ายรองแบบที่ </t>
    </r>
    <r>
      <rPr>
        <sz val="11"/>
        <color theme="1"/>
        <rFont val="Calibri"/>
        <family val="2"/>
        <charset val="1"/>
      </rPr>
      <t>2 (Distribute Switch Type 2)</t>
    </r>
  </si>
  <si>
    <r>
      <rPr>
        <sz val="11"/>
        <color theme="1"/>
        <rFont val="DejaVu Sans"/>
        <family val="2"/>
      </rPr>
      <t xml:space="preserve">อุปกรณ์ควบคุมการเข้าถึงระบบเครือข่ายแบบที่ </t>
    </r>
    <r>
      <rPr>
        <sz val="11"/>
        <color theme="1"/>
        <rFont val="Calibri"/>
        <family val="2"/>
        <charset val="1"/>
      </rPr>
      <t>1 (Access Control Type 1)</t>
    </r>
  </si>
  <si>
    <r>
      <rPr>
        <sz val="11"/>
        <color theme="1"/>
        <rFont val="DejaVu Sans"/>
        <family val="2"/>
      </rPr>
      <t xml:space="preserve">อุปกรณ์รักษาความปลอดภัยระบบเครือข่าย </t>
    </r>
    <r>
      <rPr>
        <sz val="11"/>
        <color theme="1"/>
        <rFont val="Calibri"/>
        <family val="2"/>
        <charset val="1"/>
      </rPr>
      <t xml:space="preserve">Next Generation Firewall </t>
    </r>
    <r>
      <rPr>
        <sz val="11"/>
        <color theme="1"/>
        <rFont val="DejaVu Sans"/>
        <family val="2"/>
      </rPr>
      <t xml:space="preserve">แบบที่ </t>
    </r>
    <r>
      <rPr>
        <sz val="11"/>
        <color theme="1"/>
        <rFont val="Calibri"/>
        <family val="2"/>
        <charset val="1"/>
      </rPr>
      <t xml:space="preserve">1 </t>
    </r>
  </si>
  <si>
    <r>
      <rPr>
        <sz val="11"/>
        <color theme="1"/>
        <rFont val="DejaVu Sans"/>
        <family val="2"/>
      </rPr>
      <t xml:space="preserve">อุปกรณ์ควบคุมระบบครือข่ายด้วยซอฟต์แวร์ </t>
    </r>
    <r>
      <rPr>
        <sz val="11"/>
        <color theme="1"/>
        <rFont val="Calibri"/>
        <family val="2"/>
        <charset val="1"/>
      </rPr>
      <t>(SDN Controller)</t>
    </r>
  </si>
  <si>
    <r>
      <rPr>
        <sz val="11"/>
        <color theme="1"/>
        <rFont val="DejaVu Sans"/>
        <family val="2"/>
      </rPr>
      <t xml:space="preserve">อุปกรณ์ช่วยกู้คืนระบบควบคุมเครือข่ายด้วยซอฟต์แวร์ </t>
    </r>
    <r>
      <rPr>
        <sz val="11"/>
        <color theme="1"/>
        <rFont val="Calibri"/>
        <family val="2"/>
        <charset val="1"/>
      </rPr>
      <t>(SDN Witness)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</si>
  <si>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อุปกรณ์กระจายสัญญาณเครือข่ายหลักแบบที่ </t>
    </r>
    <r>
      <rPr>
        <sz val="11"/>
        <color theme="1"/>
        <rFont val="Calibri"/>
        <family val="2"/>
        <charset val="1"/>
      </rPr>
      <t>1 (Core Switch Type 1)</t>
    </r>
  </si>
  <si>
    <r>
      <rPr>
        <sz val="11"/>
        <color theme="1"/>
        <rFont val="DejaVu Sans"/>
        <family val="2"/>
      </rPr>
      <t xml:space="preserve">อุปกรณ์เชื่อมต่อระบบกับเครือข่ายภายนอกแบบที่ </t>
    </r>
    <r>
      <rPr>
        <sz val="11"/>
        <color theme="1"/>
        <rFont val="Calibri"/>
        <family val="2"/>
        <charset val="1"/>
      </rPr>
      <t>1 (Extranet Switch Type 1)</t>
    </r>
  </si>
  <si>
    <r>
      <rPr>
        <sz val="11"/>
        <color theme="1"/>
        <rFont val="DejaVu Sans"/>
        <family val="2"/>
      </rPr>
      <t xml:space="preserve">อุปกรณ์รักษาความปลอดภัยระบบเครือข่าย </t>
    </r>
    <r>
      <rPr>
        <sz val="11"/>
        <color theme="1"/>
        <rFont val="Calibri"/>
        <family val="2"/>
        <charset val="1"/>
      </rPr>
      <t xml:space="preserve">Next Generation Firewall </t>
    </r>
    <r>
      <rPr>
        <sz val="11"/>
        <color theme="1"/>
        <rFont val="DejaVu Sans"/>
        <family val="2"/>
      </rPr>
      <t xml:space="preserve">แบบที่ </t>
    </r>
    <r>
      <rPr>
        <sz val="11"/>
        <color theme="1"/>
        <rFont val="Calibri"/>
        <family val="2"/>
        <charset val="1"/>
      </rPr>
      <t xml:space="preserve">2 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</si>
  <si>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อุปกรณ์กระจายสัญญาณเครือข่ายรวมแบบที่ </t>
    </r>
    <r>
      <rPr>
        <sz val="11"/>
        <color theme="1"/>
        <rFont val="Calibri"/>
        <family val="2"/>
        <charset val="1"/>
      </rPr>
      <t>1 (Aggregation Switch Type 1)</t>
    </r>
  </si>
  <si>
    <t>Fabric D1-041 - Installation Details</t>
  </si>
  <si>
    <t>Period: 2026-02-14 to 2026-06-10 | Total: 712 devices (AP: 290) | Proportional scheduling</t>
  </si>
  <si>
    <t>Summary by Device Type</t>
  </si>
  <si>
    <t>Fabric CFZ - Installation Details</t>
  </si>
  <si>
    <t>Period: 2026-02-22 to 2026-04-08 | Total: 187 devices (AP: 25) | Proportional scheduling</t>
  </si>
  <si>
    <t>2026-02-23</t>
  </si>
  <si>
    <t>2026-02-24</t>
  </si>
  <si>
    <t>2026-02-25</t>
  </si>
  <si>
    <t>2026-02-26</t>
  </si>
  <si>
    <t>Fabric T1-015 - Installation Details</t>
  </si>
  <si>
    <t>Period: 2026-03-01 to 2026-05-11 | Total: 327 devices (AP: 44) | Proportional scheduling</t>
  </si>
  <si>
    <t>Fabric D1-091 - Installation Details</t>
  </si>
  <si>
    <t>Period: 2026-03-08 to 2026-04-23 | Total: 145 devices (AP: 11) | Proportional scheduling</t>
  </si>
  <si>
    <t>Fabric RFF - Installation Details</t>
  </si>
  <si>
    <t>Period: 2026-03-15 to 2026-04-15 | Total: 99 devices (AP: 32) | Proportional scheduling</t>
  </si>
  <si>
    <t>Fabric AMF - Installation Details</t>
  </si>
  <si>
    <t>Period: 2026-03-15 to 2026-04-21 | Total: 114 devices (AP: 43) | Proportional scheduling</t>
  </si>
  <si>
    <t>Fabric PPW - Installation Details</t>
  </si>
  <si>
    <t>Period: 2026-04-01 to 2026-04-16 | Total: 8 devices (AP: 0) | Proportional scheduling</t>
  </si>
  <si>
    <r>
      <rPr>
        <b/>
        <sz val="14"/>
        <rFont val="DejaVu Sans"/>
        <family val="2"/>
      </rPr>
      <t>ภาคผนวก ค</t>
    </r>
    <r>
      <rPr>
        <b/>
        <sz val="14"/>
        <rFont val="Calibri"/>
        <family val="2"/>
        <charset val="1"/>
      </rPr>
      <t xml:space="preserve">.5 </t>
    </r>
    <r>
      <rPr>
        <b/>
        <sz val="14"/>
        <rFont val="DejaVu Sans"/>
        <family val="2"/>
      </rPr>
      <t>รายการอุปกรณ์</t>
    </r>
  </si>
  <si>
    <t>ลำดับที่</t>
  </si>
  <si>
    <t>รายการอุปกรณ์</t>
  </si>
  <si>
    <t>จำนวน</t>
  </si>
  <si>
    <r>
      <rPr>
        <sz val="11"/>
        <color theme="1"/>
        <rFont val="DejaVu Sans"/>
        <family val="2"/>
      </rPr>
      <t xml:space="preserve">ซอฟต์แวร์ควบคุมการเข้าถึงระบบเครือข่าย </t>
    </r>
    <r>
      <rPr>
        <sz val="11"/>
        <color theme="1"/>
        <rFont val="Calibri"/>
        <family val="2"/>
        <charset val="1"/>
      </rPr>
      <t>(Access Control)</t>
    </r>
  </si>
  <si>
    <t>10000 license</t>
  </si>
  <si>
    <r>
      <rPr>
        <sz val="11"/>
        <color theme="1"/>
        <rFont val="DejaVu Sans"/>
        <family val="2"/>
      </rPr>
      <t xml:space="preserve">สิทธิการใช้งาน </t>
    </r>
    <r>
      <rPr>
        <sz val="11"/>
        <color theme="1"/>
        <rFont val="Calibri"/>
        <family val="2"/>
        <charset val="1"/>
      </rPr>
      <t>Software Defined Network (SDN)</t>
    </r>
  </si>
  <si>
    <r>
      <rPr>
        <sz val="11"/>
        <color theme="1"/>
        <rFont val="DejaVu Sans"/>
        <family val="2"/>
      </rPr>
      <t xml:space="preserve">อุปกรณ์รักษาความปลอดภัยระบบเครือข่าย </t>
    </r>
    <r>
      <rPr>
        <sz val="11"/>
        <color theme="1"/>
        <rFont val="Calibri"/>
        <family val="2"/>
        <charset val="1"/>
      </rPr>
      <t xml:space="preserve">Next Generation Firewall </t>
    </r>
    <r>
      <rPr>
        <sz val="11"/>
        <color theme="1"/>
        <rFont val="DejaVu Sans"/>
        <family val="2"/>
      </rPr>
      <t xml:space="preserve">แบบที่ </t>
    </r>
    <r>
      <rPr>
        <sz val="11"/>
        <color theme="1"/>
        <rFont val="Calibri"/>
        <family val="2"/>
        <charset val="1"/>
      </rPr>
      <t>1</t>
    </r>
  </si>
  <si>
    <r>
      <rPr>
        <sz val="11"/>
        <color theme="1"/>
        <rFont val="DejaVu Sans"/>
        <family val="2"/>
      </rPr>
      <t xml:space="preserve">อุปกรณ์รักษาความปลอดภัยระบบเครือข่าย </t>
    </r>
    <r>
      <rPr>
        <sz val="11"/>
        <color theme="1"/>
        <rFont val="Calibri"/>
        <family val="2"/>
        <charset val="1"/>
      </rPr>
      <t xml:space="preserve">Next Generation Firewall </t>
    </r>
    <r>
      <rPr>
        <sz val="11"/>
        <color theme="1"/>
        <rFont val="DejaVu Sans"/>
        <family val="2"/>
      </rPr>
      <t xml:space="preserve">แบบที่ </t>
    </r>
    <r>
      <rPr>
        <sz val="11"/>
        <color theme="1"/>
        <rFont val="Calibri"/>
        <family val="2"/>
        <charset val="1"/>
      </rPr>
      <t>2</t>
    </r>
  </si>
  <si>
    <r>
      <rPr>
        <sz val="11"/>
        <color theme="1"/>
        <rFont val="DejaVu Sans"/>
        <family val="2"/>
      </rPr>
      <t xml:space="preserve">ระบบบริหารจัดการอุปกรณ์รักษาความปลอดภัยระบบเครือข่ายจากส่วนกลาง </t>
    </r>
    <r>
      <rPr>
        <sz val="11"/>
        <color theme="1"/>
        <rFont val="Calibri"/>
        <family val="2"/>
        <charset val="1"/>
      </rPr>
      <t>(Centralized Management)</t>
    </r>
  </si>
  <si>
    <r>
      <rPr>
        <sz val="11"/>
        <color theme="1"/>
        <rFont val="DejaVu Sans"/>
        <family val="2"/>
      </rPr>
      <t xml:space="preserve">โมดูลสำหรับเชื่อมต่ออุปกรณ์กระจายสัญญาณเครือข่าย </t>
    </r>
    <r>
      <rPr>
        <sz val="11"/>
        <color theme="1"/>
        <rFont val="Calibri"/>
        <family val="2"/>
        <charset val="1"/>
      </rPr>
      <t>(Stacking module)</t>
    </r>
  </si>
  <si>
    <t>23.1</t>
  </si>
  <si>
    <r>
      <rPr>
        <sz val="11"/>
        <color theme="1"/>
        <rFont val="Calibri"/>
        <family val="2"/>
        <charset val="1"/>
      </rPr>
      <t xml:space="preserve">stack cable </t>
    </r>
    <r>
      <rPr>
        <sz val="11"/>
        <color theme="1"/>
        <rFont val="DejaVu Sans"/>
        <family val="2"/>
      </rPr>
      <t xml:space="preserve">ความยาว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DejaVu Sans"/>
        <family val="2"/>
      </rPr>
      <t>เซนติเมตร</t>
    </r>
  </si>
  <si>
    <t>23.2</t>
  </si>
  <si>
    <r>
      <rPr>
        <sz val="11"/>
        <color theme="1"/>
        <rFont val="Calibri"/>
        <family val="2"/>
        <charset val="1"/>
      </rPr>
      <t xml:space="preserve">stack cable </t>
    </r>
    <r>
      <rPr>
        <sz val="11"/>
        <color theme="1"/>
        <rFont val="DejaVu Sans"/>
        <family val="2"/>
      </rPr>
      <t xml:space="preserve">ความยาว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>เมตร</t>
    </r>
  </si>
  <si>
    <r>
      <rPr>
        <sz val="11"/>
        <color theme="1"/>
        <rFont val="DejaVu Sans"/>
        <family val="2"/>
      </rPr>
      <t xml:space="preserve">โมดูลตัวรับส่งสัญญาณ </t>
    </r>
    <r>
      <rPr>
        <sz val="11"/>
        <color theme="1"/>
        <rFont val="Calibri"/>
        <family val="2"/>
        <charset val="1"/>
      </rPr>
      <t>(Transceiver module)</t>
    </r>
  </si>
  <si>
    <t>24.1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</si>
  <si>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40Gigabit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40GBASE-LR4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SMF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>กิโลเมตร</t>
    </r>
  </si>
  <si>
    <t>24.2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</si>
  <si>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40Gigabit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40GBASE-LR4 Lite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SMF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>กิโลเมตร</t>
    </r>
  </si>
  <si>
    <t>24.3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</si>
  <si>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25Gigabit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25GBASE-LR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SMF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>กิโลเมตร</t>
    </r>
  </si>
  <si>
    <t>24.4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</si>
  <si>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25Gigabit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25GBASE-SR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MMF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DejaVu Sans"/>
        <family val="2"/>
      </rPr>
      <t>เมตร</t>
    </r>
  </si>
  <si>
    <t>24.5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</si>
  <si>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10Gigabit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10GBASE-LR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SMF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>กิโลเมตร</t>
    </r>
  </si>
  <si>
    <t>24.6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</si>
  <si>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10Gigabit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10GBASE-SR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MMF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DejaVu Sans"/>
        <family val="2"/>
      </rPr>
      <t>เมตร</t>
    </r>
  </si>
  <si>
    <t>24.7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</si>
  <si>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1000BASE-LX/LH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SMF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>กิโลเมตร</t>
    </r>
  </si>
  <si>
    <t>24.8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</si>
  <si>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1000BASE-T </t>
    </r>
    <r>
      <rPr>
        <sz val="11"/>
        <color theme="1"/>
        <rFont val="DejaVu Sans"/>
        <family val="2"/>
      </rPr>
      <t xml:space="preserve">ประเภทสายแลนเดี่ยว </t>
    </r>
    <r>
      <rPr>
        <sz val="11"/>
        <color theme="1"/>
        <rFont val="Calibri"/>
        <family val="2"/>
        <charset val="1"/>
      </rPr>
      <t xml:space="preserve">CAT5 UTP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DejaVu Sans"/>
        <family val="2"/>
      </rPr>
      <t>เมตร</t>
    </r>
  </si>
  <si>
    <t>Verification vs Calculated</t>
  </si>
  <si>
    <t>Reference</t>
  </si>
  <si>
    <t>Calculated</t>
  </si>
  <si>
    <t>Match</t>
  </si>
  <si>
    <t>✅</t>
  </si>
  <si>
    <t>NG Firewall Type 1</t>
  </si>
  <si>
    <t>NG Firewall Type 2</t>
  </si>
  <si>
    <t>Gantt Chart - Fabric Timeline</t>
  </si>
  <si>
    <t>Generated: 2026-02-01 06:27 | Each cell = 1 week</t>
  </si>
  <si>
    <t>Feb</t>
  </si>
  <si>
    <t>Mar</t>
  </si>
  <si>
    <t>Apr</t>
  </si>
  <si>
    <t>May</t>
  </si>
  <si>
    <t>Jun</t>
  </si>
  <si>
    <t>Devices</t>
  </si>
  <si>
    <t>Start</t>
  </si>
  <si>
    <t>End</t>
  </si>
  <si>
    <t>14</t>
  </si>
  <si>
    <t>21</t>
  </si>
  <si>
    <t>28</t>
  </si>
  <si>
    <t>07</t>
  </si>
  <si>
    <t>04</t>
  </si>
  <si>
    <t>11</t>
  </si>
  <si>
    <t>18</t>
  </si>
  <si>
    <t>25</t>
  </si>
  <si>
    <t>02</t>
  </si>
  <si>
    <t>09</t>
  </si>
  <si>
    <t>16</t>
  </si>
  <si>
    <t>23</t>
  </si>
  <si>
    <t>30</t>
  </si>
  <si>
    <t>06</t>
  </si>
  <si>
    <t>Legend:</t>
  </si>
  <si>
    <t>Gantt Chart - Location Timeline</t>
  </si>
  <si>
    <r>
      <rPr>
        <sz val="11"/>
        <color theme="1"/>
        <rFont val="DejaVu Sans"/>
        <family val="2"/>
      </rPr>
      <t>อาคารสำนักงานท่าอากาศยานสุวรรณ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</si>
  <si>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>อาคารสถานีดับเพลิงและกู้ภัยฝั่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</si>
  <si>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>สำนักงานบริหารการก่อสร้าง อาคา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</si>
  <si>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>อาคารปฏิบัติการและระบบลำเลียงก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</si>
  <si>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>อาคารบริษัทวิทยุการบินแห่งประเ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</si>
  <si>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 xml:space="preserve">อาคารฝ่ายบริการอุปกรณ์ภาคพื้น 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</si>
  <si>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>อาคารสถานีซ้อมดับเพลิงอากาศยาน</t>
    </r>
    <r>
      <rPr>
        <sz val="11"/>
        <color theme="1"/>
        <rFont val="Calibri"/>
        <family val="2"/>
        <charset val="1"/>
      </rPr>
      <t>...</t>
    </r>
  </si>
  <si>
    <t>Gantt Chart - Room Timeline (Top 100 by device count)</t>
  </si>
  <si>
    <t>Dev</t>
  </si>
  <si>
    <r>
      <rPr>
        <sz val="11"/>
        <color theme="1"/>
        <rFont val="DejaVu Sans"/>
        <family val="2"/>
      </rPr>
      <t>อาคารสำนักงานท่าอากา</t>
    </r>
    <r>
      <rPr>
        <sz val="11"/>
        <color theme="1"/>
        <rFont val="Calibri"/>
        <family val="2"/>
        <charset val="1"/>
      </rPr>
      <t>..</t>
    </r>
  </si>
  <si>
    <t>02-14</t>
  </si>
  <si>
    <t>03-01</t>
  </si>
  <si>
    <t>04-20</t>
  </si>
  <si>
    <t>04-29</t>
  </si>
  <si>
    <t>03-15</t>
  </si>
  <si>
    <t>05-01</t>
  </si>
  <si>
    <t>02-22</t>
  </si>
  <si>
    <t>04-04</t>
  </si>
  <si>
    <t>05-02</t>
  </si>
  <si>
    <t>02-23</t>
  </si>
  <si>
    <t>03-16</t>
  </si>
  <si>
    <r>
      <rPr>
        <sz val="11"/>
        <color theme="1"/>
        <rFont val="DejaVu Sans"/>
        <family val="2"/>
      </rPr>
      <t>อาคารสถานีดับเพลิงแล</t>
    </r>
    <r>
      <rPr>
        <sz val="11"/>
        <color theme="1"/>
        <rFont val="Calibri"/>
        <family val="2"/>
        <charset val="1"/>
      </rPr>
      <t>..</t>
    </r>
  </si>
  <si>
    <t>05-19</t>
  </si>
  <si>
    <t>04-11</t>
  </si>
  <si>
    <t>02-15</t>
  </si>
  <si>
    <r>
      <rPr>
        <sz val="11"/>
        <color theme="1"/>
        <rFont val="DejaVu Sans"/>
        <family val="2"/>
      </rPr>
      <t>สำนักงานบริหารการก่อ</t>
    </r>
    <r>
      <rPr>
        <sz val="11"/>
        <color theme="1"/>
        <rFont val="Calibri"/>
        <family val="2"/>
        <charset val="1"/>
      </rPr>
      <t>..</t>
    </r>
  </si>
  <si>
    <t>Information Tec..</t>
  </si>
  <si>
    <t>05-21</t>
  </si>
  <si>
    <t>05-24</t>
  </si>
  <si>
    <t>02-25</t>
  </si>
  <si>
    <t>05-22</t>
  </si>
  <si>
    <t>05-23</t>
  </si>
  <si>
    <t>03-11</t>
  </si>
  <si>
    <t>02-17</t>
  </si>
  <si>
    <r>
      <rPr>
        <sz val="11"/>
        <color theme="1"/>
        <rFont val="DejaVu Sans"/>
        <family val="2"/>
      </rPr>
      <t xml:space="preserve">ห้องลูกค้า </t>
    </r>
    <r>
      <rPr>
        <sz val="11"/>
        <color theme="1"/>
        <rFont val="Calibri"/>
        <family val="2"/>
        <charset val="1"/>
      </rPr>
      <t>Serv..</t>
    </r>
  </si>
  <si>
    <t>05-03</t>
  </si>
  <si>
    <t>03-31</t>
  </si>
  <si>
    <t>02-19</t>
  </si>
  <si>
    <r>
      <rPr>
        <sz val="11"/>
        <color theme="1"/>
        <rFont val="DejaVu Sans"/>
        <family val="2"/>
      </rPr>
      <t>ห้องส่วนระบบเคร</t>
    </r>
    <r>
      <rPr>
        <sz val="11"/>
        <color theme="1"/>
        <rFont val="Calibri"/>
        <family val="2"/>
        <charset val="1"/>
      </rPr>
      <t>..</t>
    </r>
  </si>
  <si>
    <t>02-21</t>
  </si>
  <si>
    <t>03-12</t>
  </si>
  <si>
    <t>03-14</t>
  </si>
  <si>
    <t>105 Computer-Se..</t>
  </si>
  <si>
    <t>02-24</t>
  </si>
  <si>
    <t>05-25</t>
  </si>
  <si>
    <t>(BF-Z) COMM. RM..</t>
  </si>
  <si>
    <t>02-26</t>
  </si>
  <si>
    <t>CheckinRow C Is..</t>
  </si>
  <si>
    <t>03-02</t>
  </si>
  <si>
    <t>CheckinRow S Is..</t>
  </si>
  <si>
    <t>03-03</t>
  </si>
  <si>
    <t>03-04</t>
  </si>
  <si>
    <t>CheckinRow E Is..</t>
  </si>
  <si>
    <t>03-05</t>
  </si>
  <si>
    <t>03-06</t>
  </si>
  <si>
    <t>CheckinRow U Is..</t>
  </si>
  <si>
    <t>03-07</t>
  </si>
  <si>
    <t>03-08</t>
  </si>
  <si>
    <t>CheckinRow Q Is..</t>
  </si>
  <si>
    <t>CheckinRow N Is..</t>
  </si>
  <si>
    <t>03-09</t>
  </si>
  <si>
    <t>CheckinRow L Is..</t>
  </si>
  <si>
    <t>03-10</t>
  </si>
  <si>
    <t>CheckinRow G Is..</t>
  </si>
  <si>
    <t>CheckinRow J Is..</t>
  </si>
  <si>
    <t>04-05</t>
  </si>
  <si>
    <t>05-16</t>
  </si>
  <si>
    <r>
      <rPr>
        <sz val="11"/>
        <color theme="1"/>
        <rFont val="DejaVu Sans"/>
        <family val="2"/>
      </rPr>
      <t>ฝ่ายเอกสิทธิ์แล</t>
    </r>
    <r>
      <rPr>
        <sz val="11"/>
        <color theme="1"/>
        <rFont val="Calibri"/>
        <family val="2"/>
        <charset val="1"/>
      </rPr>
      <t>..</t>
    </r>
  </si>
  <si>
    <r>
      <rPr>
        <sz val="11"/>
        <color theme="1"/>
        <rFont val="DejaVu Sans"/>
        <family val="2"/>
      </rPr>
      <t>ส่วนบัญชีและอาก</t>
    </r>
    <r>
      <rPr>
        <sz val="11"/>
        <color theme="1"/>
        <rFont val="Calibri"/>
        <family val="2"/>
        <charset val="1"/>
      </rPr>
      <t>..</t>
    </r>
  </si>
  <si>
    <t>03-13</t>
  </si>
  <si>
    <t>CheckinRow A Is..</t>
  </si>
  <si>
    <r>
      <rPr>
        <sz val="11"/>
        <color theme="1"/>
        <rFont val="DejaVu Sans"/>
        <family val="2"/>
      </rPr>
      <t>อาคารปฏิบัติการและระ</t>
    </r>
    <r>
      <rPr>
        <sz val="11"/>
        <color theme="1"/>
        <rFont val="Calibri"/>
        <family val="2"/>
        <charset val="1"/>
      </rPr>
      <t>..</t>
    </r>
  </si>
  <si>
    <r>
      <rPr>
        <sz val="11"/>
        <color theme="1"/>
        <rFont val="DejaVu Sans"/>
        <family val="2"/>
      </rPr>
      <t>ห้องติดตั้งระบบ</t>
    </r>
    <r>
      <rPr>
        <sz val="11"/>
        <color theme="1"/>
        <rFont val="Calibri"/>
        <family val="2"/>
        <charset val="1"/>
      </rPr>
      <t>..</t>
    </r>
  </si>
  <si>
    <t>05-07</t>
  </si>
  <si>
    <t>03-25</t>
  </si>
  <si>
    <t>03-29</t>
  </si>
  <si>
    <t>04-08</t>
  </si>
  <si>
    <t>02-28</t>
  </si>
  <si>
    <t>04-06</t>
  </si>
  <si>
    <t>04-07</t>
  </si>
  <si>
    <t>05-11</t>
  </si>
  <si>
    <t>03-18</t>
  </si>
  <si>
    <t>03-17</t>
  </si>
  <si>
    <t>05-08</t>
  </si>
  <si>
    <t>03-26</t>
  </si>
  <si>
    <t>Electical High ..</t>
  </si>
  <si>
    <t>03-19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</si>
</sst>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"/>
    <numFmt numFmtId="166" formatCode="d/m/yy"/>
    <numFmt numFmtId="167" formatCode="[$-1070000]d/m/yy;@"/>
  </numFmts>
  <fonts count="26">
    <font>
      <sz val="11"/>
      <color theme="1"/>
      <name val="Calibri"/>
      <family val="2"/>
      <charset val="1"/>
    </font>
    <font>
      <b/>
      <sz val="16"/>
      <color rgb="FF2F5496"/>
      <name val="Calibri"/>
      <family val="2"/>
      <charset val="1"/>
    </font>
    <font>
      <sz val="11"/>
      <color rgb="FF808080"/>
      <name val="Calibri"/>
      <family val="2"/>
      <charset val="1"/>
    </font>
    <font>
      <b/>
      <sz val="12"/>
      <color rgb="FF2F5496"/>
      <name val="Calibri"/>
      <family val="2"/>
      <charset val="1"/>
    </font>
    <font>
      <b/>
      <sz val="11"/>
      <name val="Calibri"/>
      <family val="2"/>
      <charset val="1"/>
    </font>
    <font>
      <b/>
      <sz val="20"/>
      <color rgb="FF2F5496"/>
      <name val="Calibri"/>
      <family val="2"/>
      <charset val="1"/>
    </font>
    <font>
      <b/>
      <sz val="14"/>
      <name val="Calibri"/>
      <family val="2"/>
      <charset val="1"/>
    </font>
    <font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2"/>
      <color rgb="FF2F5496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sz val="11"/>
      <color theme="1"/>
      <name val="Calibri"/>
      <family val="2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6"/>
      <name val="Calibri"/>
      <family val="2"/>
      <charset val="1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DejaVu Sans"/>
      <family val="2"/>
    </font>
    <font>
      <sz val="11"/>
      <color theme="1"/>
      <name val="DejaVu Sans"/>
      <family val="2"/>
    </font>
    <font>
      <sz val="11"/>
      <color rgb="FF000000"/>
      <name val="DejaVu Sans"/>
      <family val="2"/>
    </font>
    <font>
      <b/>
      <sz val="16"/>
      <name val="DejaVu Sans"/>
      <family val="2"/>
    </font>
    <font>
      <b/>
      <sz val="14"/>
      <name val="DejaVu Sans"/>
      <family val="2"/>
    </font>
  </fonts>
  <fills count="20">
    <fill>
      <patternFill patternType="none"/>
    </fill>
    <fill>
      <patternFill patternType="gray125"/>
    </fill>
    <fill>
      <patternFill patternType="solid">
        <fgColor rgb="FFD6E4F0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6E4F0"/>
      </patternFill>
    </fill>
    <fill>
      <patternFill patternType="solid">
        <fgColor rgb="FFFFC7CE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2F5496"/>
        <bgColor rgb="FF1F4E79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4E79"/>
        <bgColor rgb="FF2F5496"/>
      </patternFill>
    </fill>
    <fill>
      <patternFill patternType="solid">
        <fgColor rgb="FFD6DCE5"/>
        <bgColor rgb="FFD6E4F0"/>
      </patternFill>
    </fill>
    <fill>
      <patternFill patternType="solid">
        <fgColor rgb="FFFF6B6B"/>
        <bgColor rgb="FFFF6600"/>
      </patternFill>
    </fill>
    <fill>
      <patternFill patternType="solid">
        <fgColor rgb="FF4ECDC4"/>
        <bgColor rgb="FF45B7D1"/>
      </patternFill>
    </fill>
    <fill>
      <patternFill patternType="solid">
        <fgColor rgb="FF45B7D1"/>
        <bgColor rgb="FF4ECDC4"/>
      </patternFill>
    </fill>
    <fill>
      <patternFill patternType="solid">
        <fgColor rgb="FFF7DC6F"/>
        <bgColor rgb="FFFCE4D6"/>
      </patternFill>
    </fill>
    <fill>
      <patternFill patternType="solid">
        <fgColor rgb="FFBB8FCE"/>
        <bgColor rgb="FF9999FF"/>
      </patternFill>
    </fill>
    <fill>
      <patternFill patternType="solid">
        <fgColor rgb="FF82E0AA"/>
        <bgColor rgb="FF4ECDC4"/>
      </patternFill>
    </fill>
    <fill>
      <patternFill patternType="solid">
        <fgColor rgb="FFF8B500"/>
        <bgColor rgb="FFFF99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79247413556324"/>
      </left>
      <right/>
      <top/>
      <bottom style="thin">
        <color theme="4" tint="0.39979247413556324"/>
      </bottom>
      <diagonal/>
    </border>
    <border>
      <left style="thin">
        <color theme="4" tint="0.39979247413556324"/>
      </left>
      <right/>
      <top/>
      <bottom/>
      <diagonal/>
    </border>
    <border>
      <left style="thin">
        <color theme="4" tint="0.39979247413556324"/>
      </left>
      <right/>
      <top style="thin">
        <color theme="4" tint="0.39979247413556324"/>
      </top>
      <bottom/>
      <diagonal/>
    </border>
    <border>
      <left/>
      <right/>
      <top style="thin">
        <color theme="4" tint="0.39979247413556324"/>
      </top>
      <bottom/>
      <diagonal/>
    </border>
    <border>
      <left style="thin">
        <color theme="4" tint="0.39979247413556324"/>
      </left>
      <right/>
      <top style="thin">
        <color theme="4" tint="0.39979247413556324"/>
      </top>
      <bottom style="thin">
        <color theme="4" tint="0.39979247413556324"/>
      </bottom>
      <diagonal/>
    </border>
    <border>
      <left/>
      <right/>
      <top style="thin">
        <color theme="4" tint="0.39979247413556324"/>
      </top>
      <bottom style="thin">
        <color theme="4" tint="0.3997924741355632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4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3" borderId="0" xfId="0" applyNumberFormat="1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3" fontId="5" fillId="5" borderId="0" xfId="0" applyNumberFormat="1" applyFont="1" applyFill="1" applyAlignment="1">
      <alignment horizontal="center"/>
    </xf>
    <xf numFmtId="3" fontId="5" fillId="6" borderId="0" xfId="0" applyNumberFormat="1" applyFont="1" applyFill="1" applyAlignment="1">
      <alignment horizontal="center"/>
    </xf>
    <xf numFmtId="0" fontId="4" fillId="0" borderId="0" xfId="0" applyFont="1"/>
    <xf numFmtId="164" fontId="6" fillId="0" borderId="0" xfId="0" applyNumberFormat="1" applyFont="1"/>
    <xf numFmtId="3" fontId="4" fillId="0" borderId="0" xfId="0" applyNumberFormat="1" applyFont="1"/>
    <xf numFmtId="0" fontId="7" fillId="0" borderId="0" xfId="0" applyFont="1"/>
    <xf numFmtId="0" fontId="8" fillId="0" borderId="0" xfId="0" applyFont="1"/>
    <xf numFmtId="0" fontId="9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4" fillId="2" borderId="1" xfId="0" applyFont="1" applyFill="1" applyBorder="1"/>
    <xf numFmtId="3" fontId="4" fillId="2" borderId="1" xfId="0" applyNumberFormat="1" applyFont="1" applyFill="1" applyBorder="1"/>
    <xf numFmtId="164" fontId="4" fillId="2" borderId="1" xfId="0" applyNumberFormat="1" applyFont="1" applyFill="1" applyBorder="1"/>
    <xf numFmtId="165" fontId="4" fillId="2" borderId="1" xfId="0" applyNumberFormat="1" applyFont="1" applyFill="1" applyBorder="1"/>
    <xf numFmtId="0" fontId="11" fillId="7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3" fillId="8" borderId="1" xfId="0" applyFont="1" applyFill="1" applyBorder="1"/>
    <xf numFmtId="0" fontId="13" fillId="8" borderId="1" xfId="0" applyFont="1" applyFill="1" applyBorder="1" applyAlignment="1">
      <alignment horizontal="center" vertical="center"/>
    </xf>
    <xf numFmtId="164" fontId="13" fillId="8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0" fillId="8" borderId="1" xfId="0" applyFill="1" applyBorder="1"/>
    <xf numFmtId="165" fontId="0" fillId="0" borderId="0" xfId="0" applyNumberFormat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4" xfId="0" applyBorder="1"/>
    <xf numFmtId="0" fontId="14" fillId="0" borderId="5" xfId="0" applyFont="1" applyBorder="1"/>
    <xf numFmtId="0" fontId="0" fillId="0" borderId="5" xfId="0" applyBorder="1"/>
    <xf numFmtId="3" fontId="0" fillId="0" borderId="5" xfId="0" applyNumberFormat="1" applyBorder="1"/>
    <xf numFmtId="9" fontId="0" fillId="0" borderId="0" xfId="0" applyNumberFormat="1"/>
    <xf numFmtId="3" fontId="0" fillId="0" borderId="0" xfId="0" applyNumberFormat="1"/>
    <xf numFmtId="0" fontId="15" fillId="0" borderId="0" xfId="0" applyFont="1"/>
    <xf numFmtId="3" fontId="15" fillId="0" borderId="5" xfId="0" applyNumberFormat="1" applyFont="1" applyBorder="1"/>
    <xf numFmtId="0" fontId="14" fillId="0" borderId="0" xfId="0" applyFont="1"/>
    <xf numFmtId="0" fontId="16" fillId="0" borderId="5" xfId="0" applyFont="1" applyBorder="1"/>
    <xf numFmtId="0" fontId="0" fillId="0" borderId="6" xfId="0" applyBorder="1"/>
    <xf numFmtId="0" fontId="0" fillId="0" borderId="7" xfId="0" applyBorder="1"/>
    <xf numFmtId="3" fontId="0" fillId="0" borderId="7" xfId="0" applyNumberFormat="1" applyBorder="1"/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14" fillId="0" borderId="1" xfId="0" applyFont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12" borderId="1" xfId="0" applyFill="1" applyBorder="1" applyAlignment="1">
      <alignment horizontal="center"/>
    </xf>
    <xf numFmtId="0" fontId="14" fillId="12" borderId="1" xfId="0" applyFont="1" applyFill="1" applyBorder="1" applyAlignment="1">
      <alignment horizontal="left"/>
    </xf>
    <xf numFmtId="0" fontId="20" fillId="11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4" fillId="0" borderId="1" xfId="0" applyFont="1" applyBorder="1"/>
    <xf numFmtId="0" fontId="0" fillId="12" borderId="1" xfId="0" applyFill="1" applyBorder="1"/>
    <xf numFmtId="0" fontId="14" fillId="12" borderId="1" xfId="0" applyFont="1" applyFill="1" applyBorder="1"/>
    <xf numFmtId="0" fontId="9" fillId="11" borderId="8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 wrapText="1"/>
    </xf>
    <xf numFmtId="0" fontId="14" fillId="0" borderId="11" xfId="0" applyFont="1" applyBorder="1"/>
    <xf numFmtId="166" fontId="0" fillId="0" borderId="1" xfId="0" applyNumberFormat="1" applyBorder="1"/>
    <xf numFmtId="166" fontId="0" fillId="0" borderId="12" xfId="0" applyNumberFormat="1" applyBorder="1"/>
    <xf numFmtId="0" fontId="0" fillId="0" borderId="12" xfId="0" applyBorder="1"/>
    <xf numFmtId="0" fontId="0" fillId="0" borderId="11" xfId="0" applyBorder="1"/>
    <xf numFmtId="0" fontId="14" fillId="0" borderId="13" xfId="0" applyFont="1" applyBorder="1"/>
    <xf numFmtId="0" fontId="0" fillId="0" borderId="14" xfId="0" applyBorder="1"/>
    <xf numFmtId="166" fontId="0" fillId="0" borderId="14" xfId="0" applyNumberFormat="1" applyBorder="1"/>
    <xf numFmtId="166" fontId="0" fillId="0" borderId="15" xfId="0" applyNumberFormat="1" applyBorder="1"/>
    <xf numFmtId="0" fontId="0" fillId="0" borderId="15" xfId="0" applyBorder="1"/>
    <xf numFmtId="166" fontId="0" fillId="0" borderId="0" xfId="0" applyNumberFormat="1"/>
    <xf numFmtId="0" fontId="19" fillId="0" borderId="0" xfId="0" applyFont="1"/>
    <xf numFmtId="0" fontId="0" fillId="0" borderId="0" xfId="0" applyAlignment="1">
      <alignment horizont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167" fontId="9" fillId="0" borderId="0" xfId="0" applyNumberFormat="1" applyFont="1" applyAlignment="1">
      <alignment horizontal="center"/>
    </xf>
    <xf numFmtId="167" fontId="0" fillId="0" borderId="5" xfId="0" applyNumberFormat="1" applyBorder="1"/>
    <xf numFmtId="167" fontId="0" fillId="0" borderId="0" xfId="0" applyNumberFormat="1"/>
    <xf numFmtId="167" fontId="0" fillId="0" borderId="7" xfId="0" applyNumberFormat="1" applyBorder="1"/>
    <xf numFmtId="0" fontId="14" fillId="0" borderId="7" xfId="0" applyFont="1" applyBorder="1"/>
    <xf numFmtId="0" fontId="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2" borderId="0" xfId="0" applyFont="1" applyFill="1" applyAlignment="1"/>
    <xf numFmtId="0" fontId="10" fillId="2" borderId="0" xfId="0" applyFont="1" applyFill="1" applyAlignment="1"/>
    <xf numFmtId="0" fontId="10" fillId="5" borderId="0" xfId="0" applyFont="1" applyFill="1" applyAlignment="1"/>
    <xf numFmtId="0" fontId="10" fillId="10" borderId="0" xfId="0" applyFont="1" applyFill="1" applyAlignment="1"/>
    <xf numFmtId="0" fontId="18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8"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numFmt numFmtId="167" formatCode="[$-1070000]d/m/yy;@"/>
    </dxf>
    <dxf>
      <numFmt numFmtId="167" formatCode="[$-1070000]d/m/yy;@"/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7DC6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DDEBF7"/>
      <rgbColor rgb="FF660066"/>
      <rgbColor rgb="FFFF6B6B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45B7D1"/>
      <rgbColor rgb="FFE2EFDA"/>
      <rgbColor rgb="FFC6EFCE"/>
      <rgbColor rgb="FFFCE4D6"/>
      <rgbColor rgb="FF95B3D7"/>
      <rgbColor rgb="FFF2F2F2"/>
      <rgbColor rgb="FFBB8FCE"/>
      <rgbColor rgb="FFFFC7CE"/>
      <rgbColor rgb="FF3366FF"/>
      <rgbColor rgb="FF4ECDC4"/>
      <rgbColor rgb="FF82E0AA"/>
      <rgbColor rgb="FFF8B500"/>
      <rgbColor rgb="FFFF9900"/>
      <rgbColor rgb="FFFF6600"/>
      <rgbColor rgb="FF666699"/>
      <rgbColor rgb="FF7F7F7F"/>
      <rgbColor rgb="FF1F4E79"/>
      <rgbColor rgb="FF00B050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_Detail_v2" displayName="All_Detail_v2" ref="A1:P740" totalsRowShown="0">
  <autoFilter ref="A1:P740" xr:uid="{00000000-0009-0000-0100-000001000000}">
    <filterColumn colId="4">
      <filters>
        <filter val="Access Switch Type 1"/>
        <filter val="Access Switch Type 2"/>
        <filter val="Access Switch Type 3"/>
        <filter val="Access Switch Type 4"/>
      </filters>
    </filterColumn>
  </autoFilter>
  <sortState xmlns:xlrd2="http://schemas.microsoft.com/office/spreadsheetml/2017/richdata2" ref="A2:P740">
    <sortCondition descending="1" ref="H1:H740"/>
  </sortState>
  <tableColumns count="16">
    <tableColumn id="1" xr3:uid="{00000000-0010-0000-0000-000001000000}" name="No."/>
    <tableColumn id="2" xr3:uid="{00000000-0010-0000-0000-000002000000}" name="Fabric"/>
    <tableColumn id="3" xr3:uid="{00000000-0010-0000-0000-000003000000}" name="Location"/>
    <tableColumn id="4" xr3:uid="{00000000-0010-0000-0000-000004000000}" name="Room"/>
    <tableColumn id="5" xr3:uid="{00000000-0010-0000-0000-000005000000}" name="Device Type"/>
    <tableColumn id="6" xr3:uid="{00000000-0010-0000-0000-000006000000}" name="Qty"/>
    <tableColumn id="7" xr3:uid="{00000000-0010-0000-0000-000007000000}" name="Qty. Success"/>
    <tableColumn id="8" xr3:uid="{00000000-0010-0000-0000-000008000000}" name="Install Date" dataDxfId="4"/>
    <tableColumn id="9" xr3:uid="{00000000-0010-0000-0000-000009000000}" name="Scheduled Date" dataDxfId="3"/>
    <tableColumn id="10" xr3:uid="{00000000-0010-0000-0000-00000A000000}" name="Status"/>
    <tableColumn id="11" xr3:uid="{00000000-0010-0000-0000-00000B000000}" name="Qty. Remaining"/>
    <tableColumn id="12" xr3:uid="{00000000-0010-0000-0000-00000C000000}" name="% Complete"/>
    <tableColumn id="13" xr3:uid="{00000000-0010-0000-0000-00000D000000}" name="Days Until Due"/>
    <tableColumn id="14" xr3:uid="{00000000-0010-0000-0000-00000E000000}" name="Week"/>
    <tableColumn id="15" xr3:uid="{00000000-0010-0000-0000-00000F000000}" name="Category"/>
    <tableColumn id="16" xr3:uid="{00000000-0010-0000-0000-000010000000}" name="Remark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1_041_Detail" displayName="D1_041_Detail" ref="A4:H301" totalsRowShown="0">
  <autoFilter ref="A4:H301" xr:uid="{00000000-0009-0000-0100-000002000000}"/>
  <tableColumns count="8">
    <tableColumn id="1" xr3:uid="{00000000-0010-0000-0100-000001000000}" name="Location"/>
    <tableColumn id="2" xr3:uid="{00000000-0010-0000-0100-000002000000}" name="Room"/>
    <tableColumn id="3" xr3:uid="{00000000-0010-0000-0100-000003000000}" name="Device Type"/>
    <tableColumn id="4" xr3:uid="{00000000-0010-0000-0100-000004000000}" name="Qty"/>
    <tableColumn id="5" xr3:uid="{00000000-0010-0000-0100-000005000000}" name="Qty. Success"/>
    <tableColumn id="6" xr3:uid="{00000000-0010-0000-0100-000006000000}" name="Scheduled Date"/>
    <tableColumn id="7" xr3:uid="{00000000-0010-0000-0100-000007000000}" name="Install Date"/>
    <tableColumn id="8" xr3:uid="{00000000-0010-0000-0100-000008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J201"/>
  <sheetViews>
    <sheetView zoomScaleNormal="100" workbookViewId="0">
      <pane ySplit="3" topLeftCell="A21" activePane="bottomLeft" state="frozen"/>
      <selection pane="bottomLeft" activeCell="C33" sqref="C33"/>
    </sheetView>
  </sheetViews>
  <sheetFormatPr defaultColWidth="8.7109375" defaultRowHeight="14.25" customHeight="1"/>
  <cols>
    <col min="1" max="1" width="14" customWidth="1"/>
    <col min="2" max="2" width="32" customWidth="1"/>
    <col min="3" max="3" width="22" customWidth="1"/>
    <col min="4" max="4" width="24" customWidth="1"/>
    <col min="5" max="5" width="11.42578125" customWidth="1"/>
    <col min="6" max="6" width="15.42578125" customWidth="1"/>
    <col min="7" max="8" width="14" customWidth="1"/>
    <col min="9" max="9" width="12" customWidth="1"/>
    <col min="10" max="10" width="14" customWidth="1"/>
  </cols>
  <sheetData>
    <row r="1" spans="1:10" ht="34.5" customHeight="1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ht="14.25" customHeight="1">
      <c r="A2" s="92" t="str">
        <f ca="1">TEXT(TODAY(),"DD MMMM YYYY")</f>
        <v>01 April 2026</v>
      </c>
      <c r="B2" s="92"/>
      <c r="C2" s="92"/>
      <c r="D2" s="92"/>
      <c r="E2" s="92"/>
      <c r="F2" s="92"/>
      <c r="G2" s="92"/>
      <c r="H2" s="92"/>
      <c r="I2" s="92"/>
      <c r="J2" s="92"/>
    </row>
    <row r="4" spans="1:10" ht="15" customHeight="1">
      <c r="A4" s="93" t="s">
        <v>1</v>
      </c>
      <c r="B4" s="93"/>
      <c r="C4" s="93"/>
      <c r="D4" s="93"/>
      <c r="E4" s="93"/>
      <c r="F4" s="93"/>
      <c r="G4" s="93"/>
      <c r="H4" s="93"/>
      <c r="I4" s="93"/>
      <c r="J4" s="93"/>
    </row>
    <row r="5" spans="1:10" ht="14.25" customHeight="1">
      <c r="B5" s="1" t="s">
        <v>2</v>
      </c>
      <c r="D5" s="1" t="s">
        <v>3</v>
      </c>
      <c r="F5" s="1" t="s">
        <v>4</v>
      </c>
      <c r="H5" s="1" t="s">
        <v>5</v>
      </c>
      <c r="J5" s="1" t="s">
        <v>6</v>
      </c>
    </row>
    <row r="6" spans="1:10" ht="21.75" customHeight="1">
      <c r="B6" s="2">
        <f>SUM(All_Detail!F2:F740)</f>
        <v>1592</v>
      </c>
      <c r="D6" s="3">
        <f>SUMIFS(All_Detail!F2:F740,All_Detail!J2:J740,"Success")</f>
        <v>505</v>
      </c>
      <c r="F6" s="4">
        <f>SUMIFS(All_Detail!F2:F740,All_Detail!J2:J740,"On Plan")</f>
        <v>1081</v>
      </c>
      <c r="H6" s="5">
        <f>SUMIFS(All_Detail!F2:F740,All_Detail!J2:J740,"Hold")</f>
        <v>6</v>
      </c>
      <c r="J6" s="6">
        <f>SUMIFS(All_Detail!F2:F740,All_Detail!J2:J740,"Pending")</f>
        <v>0</v>
      </c>
    </row>
    <row r="7" spans="1:10" ht="18" customHeight="1">
      <c r="A7" s="7" t="s">
        <v>7</v>
      </c>
      <c r="B7" s="8">
        <f>IF(SUM(All_Detail!F2:F740)=0,"",SUM(All_Detail!G2:G740)/SUM(All_Detail!F2:F740))</f>
        <v>0.31783919597989951</v>
      </c>
      <c r="C7" s="7" t="s">
        <v>8</v>
      </c>
      <c r="D7" s="9">
        <f>SUM(All_Detail!G2:G740)</f>
        <v>506</v>
      </c>
      <c r="F7" s="7" t="s">
        <v>9</v>
      </c>
      <c r="G7" s="10">
        <f>COUNTA(All_Detail!B2:B740)</f>
        <v>739</v>
      </c>
      <c r="H7" s="7" t="s">
        <v>10</v>
      </c>
      <c r="I7" s="11">
        <f ca="1">SUMPRODUCT((All_Detail!I2:I740&lt;TODAY())*(All_Detail!J2:J740&lt;&gt;"Success")*(All_Detail!F2:F740))</f>
        <v>260</v>
      </c>
    </row>
    <row r="9" spans="1:10" ht="15" customHeight="1">
      <c r="A9" s="93" t="s">
        <v>11</v>
      </c>
      <c r="B9" s="93"/>
      <c r="C9" s="93"/>
      <c r="D9" s="93"/>
      <c r="E9" s="93"/>
      <c r="F9" s="93"/>
      <c r="G9" s="93"/>
      <c r="H9" s="93"/>
      <c r="I9" s="93"/>
      <c r="J9" s="93"/>
    </row>
    <row r="10" spans="1:10" ht="14.25" customHeight="1">
      <c r="A10" s="12" t="s">
        <v>12</v>
      </c>
      <c r="B10" s="12" t="s">
        <v>13</v>
      </c>
      <c r="C10" s="12" t="s">
        <v>14</v>
      </c>
      <c r="D10" s="12" t="s">
        <v>15</v>
      </c>
      <c r="E10" s="12" t="s">
        <v>5</v>
      </c>
      <c r="F10" s="12" t="s">
        <v>16</v>
      </c>
      <c r="G10" s="12" t="s">
        <v>17</v>
      </c>
      <c r="H10" s="12" t="s">
        <v>18</v>
      </c>
      <c r="I10" s="12" t="s">
        <v>4</v>
      </c>
      <c r="J10" s="12" t="s">
        <v>19</v>
      </c>
    </row>
    <row r="11" spans="1:10" ht="14.25" customHeight="1">
      <c r="A11" s="13" t="s">
        <v>20</v>
      </c>
      <c r="B11" s="14">
        <f>SUMIFS(All_Detail!F2:F740,All_Detail!B2:B740,A11)</f>
        <v>710</v>
      </c>
      <c r="C11" s="14">
        <f>SUMIFS(All_Detail!G2:G740,All_Detail!B2:B740,A11)</f>
        <v>306</v>
      </c>
      <c r="D11" s="15">
        <f t="shared" ref="D11:D18" si="0">IF(B11=0,"",C11/B11)</f>
        <v>0.43098591549295773</v>
      </c>
      <c r="E11" s="16">
        <f>SUMIFS(All_Detail!F2:F740,All_Detail!B2:B740,A11,All_Detail!J2:J740,"Hold")</f>
        <v>4</v>
      </c>
      <c r="F11" s="14">
        <f t="shared" ref="F11:F17" si="1">B11-C11</f>
        <v>404</v>
      </c>
      <c r="G11" s="17">
        <f>_xlfn.MINIFS(All_Detail!I2:I740,All_Detail!B2:B740,A11)</f>
        <v>46063</v>
      </c>
      <c r="H11" s="17">
        <f>_xlfn.MAXIFS(All_Detail!I2:I740,All_Detail!B2:B740,A11)</f>
        <v>46174</v>
      </c>
      <c r="I11" s="16">
        <f>SUMIFS(All_Detail!F2:F740,All_Detail!B2:B740,A11,All_Detail!J2:J740,"On Plan")</f>
        <v>399</v>
      </c>
      <c r="J11" s="14">
        <f ca="1">SUMPRODUCT((All_Detail!B2:B740=A11)*(All_Detail!I2:I740&lt;TODAY())*(All_Detail!J2:J740&lt;&gt;"Success")*(All_Detail!F2:F740))</f>
        <v>243</v>
      </c>
    </row>
    <row r="12" spans="1:10" ht="14.25" customHeight="1">
      <c r="A12" s="13" t="s">
        <v>21</v>
      </c>
      <c r="B12" s="14">
        <f>SUMIFS(All_Detail!F2:F740,All_Detail!B2:B740,A12)</f>
        <v>187</v>
      </c>
      <c r="C12" s="14">
        <f>SUMIFS(All_Detail!G2:G740,All_Detail!B2:B740,A12)</f>
        <v>169</v>
      </c>
      <c r="D12" s="15">
        <f t="shared" si="0"/>
        <v>0.90374331550802134</v>
      </c>
      <c r="E12" s="16">
        <f>SUMIFS(All_Detail!F2:F740,All_Detail!B2:B740,A12,All_Detail!J2:J740,"Hold")</f>
        <v>2</v>
      </c>
      <c r="F12" s="14">
        <f t="shared" si="1"/>
        <v>18</v>
      </c>
      <c r="G12" s="17">
        <f>_xlfn.MINIFS(All_Detail!I2:I740,All_Detail!B2:B740,A12)</f>
        <v>46063</v>
      </c>
      <c r="H12" s="17">
        <f>_xlfn.MAXIFS(All_Detail!I2:I740,All_Detail!B2:B740,A12)</f>
        <v>46174</v>
      </c>
      <c r="I12" s="16">
        <f>SUMIFS(All_Detail!F2:F740,All_Detail!B2:B740,A12,All_Detail!J2:J740,"On Plan")</f>
        <v>17</v>
      </c>
      <c r="J12" s="14">
        <f ca="1">SUMPRODUCT((All_Detail!B2:B740=A12)*(All_Detail!I2:I740&lt;TODAY())*(All_Detail!J2:J740&lt;&gt;"Success")*(All_Detail!F2:F740))</f>
        <v>17</v>
      </c>
    </row>
    <row r="13" spans="1:10" ht="14.25" customHeight="1">
      <c r="A13" s="13" t="s">
        <v>22</v>
      </c>
      <c r="B13" s="14">
        <f>SUMIFS(All_Detail!F2:F740,All_Detail!B2:B740,A13)</f>
        <v>327</v>
      </c>
      <c r="C13" s="14">
        <f>SUMIFS(All_Detail!G2:G740,All_Detail!B2:B740,A13)</f>
        <v>2</v>
      </c>
      <c r="D13" s="15">
        <f t="shared" si="0"/>
        <v>6.1162079510703364E-3</v>
      </c>
      <c r="E13" s="16">
        <f>SUMIFS(All_Detail!F2:F740,All_Detail!B2:B740,A13,All_Detail!J2:J740,"Hold")</f>
        <v>0</v>
      </c>
      <c r="F13" s="14">
        <f t="shared" si="1"/>
        <v>325</v>
      </c>
      <c r="G13" s="17">
        <f>_xlfn.MINIFS(All_Detail!I2:I740,All_Detail!B2:B740,A13)</f>
        <v>46063</v>
      </c>
      <c r="H13" s="17">
        <f>_xlfn.MAXIFS(All_Detail!I2:I740,All_Detail!B2:B740,A13)</f>
        <v>46169</v>
      </c>
      <c r="I13" s="16">
        <f>SUMIFS(All_Detail!F2:F740,All_Detail!B2:B740,A13,All_Detail!J2:J740,"On Plan")</f>
        <v>325</v>
      </c>
      <c r="J13" s="14">
        <f ca="1">SUMPRODUCT((All_Detail!B2:B740=A13)*(All_Detail!I2:I740&lt;TODAY())*(All_Detail!J2:J740&lt;&gt;"Success")*(All_Detail!F2:F740))</f>
        <v>0</v>
      </c>
    </row>
    <row r="14" spans="1:10" ht="14.25" customHeight="1">
      <c r="A14" s="13" t="s">
        <v>23</v>
      </c>
      <c r="B14" s="14">
        <f>SUMIFS(All_Detail!F2:F740,All_Detail!B2:B740,A14)</f>
        <v>147</v>
      </c>
      <c r="C14" s="14">
        <f>SUMIFS(All_Detail!G2:G740,All_Detail!B2:B740,A14)</f>
        <v>2</v>
      </c>
      <c r="D14" s="15">
        <f t="shared" si="0"/>
        <v>1.3605442176870748E-2</v>
      </c>
      <c r="E14" s="16">
        <f>SUMIFS(All_Detail!F2:F740,All_Detail!B2:B740,A14,All_Detail!J2:J740,"Hold")</f>
        <v>0</v>
      </c>
      <c r="F14" s="14">
        <f t="shared" si="1"/>
        <v>145</v>
      </c>
      <c r="G14" s="17">
        <f>_xlfn.MINIFS(All_Detail!I2:I740,All_Detail!B2:B740,A14)</f>
        <v>46063</v>
      </c>
      <c r="H14" s="17">
        <f>_xlfn.MAXIFS(All_Detail!I2:I740,All_Detail!B2:B740,A14)</f>
        <v>46181</v>
      </c>
      <c r="I14" s="16">
        <f>SUMIFS(All_Detail!F2:F740,All_Detail!B2:B740,A14,All_Detail!J2:J740,"On Plan")</f>
        <v>145</v>
      </c>
      <c r="J14" s="14">
        <f ca="1">SUMPRODUCT((All_Detail!B2:B740=A14)*(All_Detail!I2:I740&lt;TODAY())*(All_Detail!J2:J740&lt;&gt;"Success")*(All_Detail!F2:F740))</f>
        <v>0</v>
      </c>
    </row>
    <row r="15" spans="1:10" ht="14.25" customHeight="1">
      <c r="A15" s="13" t="s">
        <v>24</v>
      </c>
      <c r="B15" s="14">
        <f>SUMIFS(All_Detail!F2:F740,All_Detail!B2:B740,A15)</f>
        <v>99</v>
      </c>
      <c r="C15" s="14">
        <f>SUMIFS(All_Detail!G2:G740,All_Detail!B2:B740,A15)</f>
        <v>2</v>
      </c>
      <c r="D15" s="15">
        <f t="shared" si="0"/>
        <v>2.0202020202020204E-2</v>
      </c>
      <c r="E15" s="16">
        <f>SUMIFS(All_Detail!F2:F740,All_Detail!B2:B740,A15,All_Detail!J2:J740,"Hold")</f>
        <v>0</v>
      </c>
      <c r="F15" s="14">
        <f t="shared" si="1"/>
        <v>97</v>
      </c>
      <c r="G15" s="17">
        <f>_xlfn.MINIFS(All_Detail!I2:I740,All_Detail!B2:B740,A15)</f>
        <v>46063</v>
      </c>
      <c r="H15" s="17">
        <f>_xlfn.MAXIFS(All_Detail!I2:I740,All_Detail!B2:B740,A15)</f>
        <v>46188</v>
      </c>
      <c r="I15" s="16">
        <f>SUMIFS(All_Detail!F2:F740,All_Detail!B2:B740,A15,All_Detail!J2:J740,"On Plan")</f>
        <v>97</v>
      </c>
      <c r="J15" s="14">
        <f ca="1">SUMPRODUCT((All_Detail!B2:B740=A15)*(All_Detail!I2:I740&lt;TODAY())*(All_Detail!J2:J740&lt;&gt;"Success")*(All_Detail!F2:F740))</f>
        <v>0</v>
      </c>
    </row>
    <row r="16" spans="1:10" ht="14.25" customHeight="1">
      <c r="A16" s="13" t="s">
        <v>25</v>
      </c>
      <c r="B16" s="14">
        <f>SUMIFS(All_Detail!F2:F740,All_Detail!B2:B740,A16)</f>
        <v>114</v>
      </c>
      <c r="C16" s="14">
        <f>SUMIFS(All_Detail!G2:G740,All_Detail!B2:B740,A16)</f>
        <v>23</v>
      </c>
      <c r="D16" s="15">
        <f t="shared" si="0"/>
        <v>0.20175438596491227</v>
      </c>
      <c r="E16" s="16">
        <f>SUMIFS(All_Detail!F2:F740,All_Detail!B2:B740,A16,All_Detail!J2:J740,"Hold")</f>
        <v>0</v>
      </c>
      <c r="F16" s="14">
        <f t="shared" si="1"/>
        <v>91</v>
      </c>
      <c r="G16" s="17">
        <f>_xlfn.MINIFS(All_Detail!I2:I740,All_Detail!B2:B740,A16)</f>
        <v>46063</v>
      </c>
      <c r="H16" s="17">
        <f>_xlfn.MAXIFS(All_Detail!I2:I740,All_Detail!B2:B740,A16)</f>
        <v>46195</v>
      </c>
      <c r="I16" s="16">
        <f>SUMIFS(All_Detail!F2:F740,All_Detail!B2:B740,A16,All_Detail!J2:J740,"On Plan")</f>
        <v>92</v>
      </c>
      <c r="J16" s="14">
        <f ca="1">SUMPRODUCT((All_Detail!B2:B740=A16)*(All_Detail!I2:I740&lt;TODAY())*(All_Detail!J2:J740&lt;&gt;"Success")*(All_Detail!F2:F740))</f>
        <v>0</v>
      </c>
    </row>
    <row r="17" spans="1:10" ht="14.25" customHeight="1">
      <c r="A17" s="13" t="s">
        <v>26</v>
      </c>
      <c r="B17" s="14">
        <f>SUMIFS(All_Detail!F2:F740,All_Detail!B2:B740,A17)</f>
        <v>8</v>
      </c>
      <c r="C17" s="14">
        <f>SUMIFS(All_Detail!G2:G740,All_Detail!B2:B740,A17)</f>
        <v>2</v>
      </c>
      <c r="D17" s="15">
        <f t="shared" si="0"/>
        <v>0.25</v>
      </c>
      <c r="E17" s="16">
        <f>SUMIFS(All_Detail!F2:F740,All_Detail!B2:B740,A17,All_Detail!J2:J740,"Hold")</f>
        <v>0</v>
      </c>
      <c r="F17" s="14">
        <f t="shared" si="1"/>
        <v>6</v>
      </c>
      <c r="G17" s="17">
        <f>_xlfn.MINIFS(All_Detail!I2:I740,All_Detail!B2:B740,A17)</f>
        <v>46063</v>
      </c>
      <c r="H17" s="17">
        <f>_xlfn.MAXIFS(All_Detail!I2:I740,All_Detail!B2:B740,A17)</f>
        <v>46196</v>
      </c>
      <c r="I17" s="16">
        <f>SUMIFS(All_Detail!F2:F740,All_Detail!B2:B740,A17,All_Detail!J2:J740,"On Plan")</f>
        <v>6</v>
      </c>
      <c r="J17" s="14">
        <f ca="1">SUMPRODUCT((All_Detail!B2:B740=A17)*(All_Detail!I2:I740&lt;TODAY())*(All_Detail!J2:J740&lt;&gt;"Success")*(All_Detail!F2:F740))</f>
        <v>0</v>
      </c>
    </row>
    <row r="18" spans="1:10" ht="14.25" customHeight="1">
      <c r="A18" s="18" t="s">
        <v>27</v>
      </c>
      <c r="B18" s="19">
        <f>SUM(B11:B17)</f>
        <v>1592</v>
      </c>
      <c r="C18" s="19">
        <f>SUM(C11:C17)</f>
        <v>506</v>
      </c>
      <c r="D18" s="20">
        <f t="shared" si="0"/>
        <v>0.31783919597989951</v>
      </c>
      <c r="E18" s="19">
        <f>SUM(E11:E17)</f>
        <v>6</v>
      </c>
      <c r="F18" s="19">
        <f>SUM(F11:F17)</f>
        <v>1086</v>
      </c>
      <c r="G18" s="21">
        <f>MIN(G11:G17)</f>
        <v>46063</v>
      </c>
      <c r="H18" s="21">
        <f>MAX(H11:H17)</f>
        <v>46196</v>
      </c>
      <c r="I18" s="18">
        <f>SUM(I11:I17)</f>
        <v>1081</v>
      </c>
      <c r="J18" s="18">
        <f ca="1">SUM(J11:J17)</f>
        <v>260</v>
      </c>
    </row>
    <row r="20" spans="1:10" ht="15" customHeight="1">
      <c r="A20" s="93" t="s">
        <v>28</v>
      </c>
      <c r="B20" s="93"/>
      <c r="C20" s="93"/>
      <c r="D20" s="93"/>
      <c r="E20" s="93"/>
      <c r="F20" s="93"/>
      <c r="G20" s="93"/>
      <c r="H20" s="93"/>
      <c r="I20" s="93"/>
      <c r="J20" s="93"/>
    </row>
    <row r="21" spans="1:10" ht="14.25" customHeight="1">
      <c r="A21" s="12" t="s">
        <v>29</v>
      </c>
      <c r="B21" s="12" t="s">
        <v>13</v>
      </c>
      <c r="C21" s="12" t="s">
        <v>14</v>
      </c>
      <c r="D21" s="12" t="s">
        <v>15</v>
      </c>
      <c r="E21" s="12" t="s">
        <v>16</v>
      </c>
      <c r="F21" s="12" t="s">
        <v>5</v>
      </c>
      <c r="G21" s="12" t="s">
        <v>19</v>
      </c>
    </row>
    <row r="22" spans="1:10" ht="14.25" customHeight="1">
      <c r="A22" s="13" t="s">
        <v>30</v>
      </c>
      <c r="B22" s="14">
        <f>SUMIFS(All_Detail!F2:F740,All_Detail!O2:O740,A22)</f>
        <v>1121</v>
      </c>
      <c r="C22" s="14">
        <f>SUMIFS(All_Detail!G2:G740,All_Detail!O2:O740,A22)</f>
        <v>407</v>
      </c>
      <c r="D22" s="15">
        <f>IF(B22=0,"",C22/B22)</f>
        <v>0.36306868867082964</v>
      </c>
      <c r="E22" s="14">
        <f>B22-C22</f>
        <v>714</v>
      </c>
      <c r="F22" s="16">
        <f>SUMIFS(All_Detail!F2:F740,All_Detail!O2:O740,A22,All_Detail!J2:J740,"Hold")</f>
        <v>6</v>
      </c>
      <c r="G22" s="16">
        <f ca="1">SUMPRODUCT((All_Detail!O2:O740=A22)*(All_Detail!I2:I740&lt;TODAY())*(All_Detail!J2:J740&lt;&gt;"Success")*(All_Detail!F2:F740))</f>
        <v>81</v>
      </c>
    </row>
    <row r="23" spans="1:10" ht="14.25" customHeight="1">
      <c r="A23" s="13" t="s">
        <v>31</v>
      </c>
      <c r="B23" s="14">
        <f>SUMIFS(All_Detail!F2:F740,All_Detail!O2:O740,A23)</f>
        <v>445</v>
      </c>
      <c r="C23" s="14">
        <f>SUMIFS(All_Detail!G2:G740,All_Detail!O2:O740,A23)</f>
        <v>75</v>
      </c>
      <c r="D23" s="15">
        <f>IF(B23=0,"",C23/B23)</f>
        <v>0.16853932584269662</v>
      </c>
      <c r="E23" s="14">
        <f>B23-C23</f>
        <v>370</v>
      </c>
      <c r="F23" s="16">
        <f>SUMIFS(All_Detail!F2:F740,All_Detail!O2:O740,A23,All_Detail!J2:J740,"Hold")</f>
        <v>0</v>
      </c>
      <c r="G23" s="16">
        <f ca="1">SUMPRODUCT((All_Detail!O2:O740=A23)*(All_Detail!I2:I740&lt;TODAY())*(All_Detail!J2:J740&lt;&gt;"Success")*(All_Detail!F2:F740))</f>
        <v>177</v>
      </c>
    </row>
    <row r="24" spans="1:10" ht="14.25" customHeight="1">
      <c r="A24" s="13" t="s">
        <v>32</v>
      </c>
      <c r="B24" s="14">
        <f>SUMIFS(All_Detail!F2:F740,All_Detail!O2:O740,A24)</f>
        <v>26</v>
      </c>
      <c r="C24" s="14">
        <f>SUMIFS(All_Detail!G2:G740,All_Detail!O2:O740,A24)</f>
        <v>24</v>
      </c>
      <c r="D24" s="15">
        <f>IF(B24=0,"",C24/B24)</f>
        <v>0.92307692307692313</v>
      </c>
      <c r="E24" s="14">
        <f>B24-C24</f>
        <v>2</v>
      </c>
      <c r="F24" s="16">
        <f>SUMIFS(All_Detail!F2:F740,All_Detail!O2:O740,A24,All_Detail!J2:J740,"Hold")</f>
        <v>0</v>
      </c>
      <c r="G24" s="16">
        <f ca="1">SUMPRODUCT((All_Detail!O2:O740=A24)*(All_Detail!I2:I740&lt;TODAY())*(All_Detail!J2:J740&lt;&gt;"Success")*(All_Detail!F2:F740))</f>
        <v>2</v>
      </c>
    </row>
    <row r="26" spans="1:10" ht="15" customHeight="1">
      <c r="A26" s="94" t="s">
        <v>33</v>
      </c>
      <c r="B26" s="94"/>
      <c r="C26" s="94"/>
      <c r="D26" s="94"/>
      <c r="E26" s="94"/>
      <c r="F26" s="94"/>
      <c r="G26" s="94"/>
      <c r="H26" s="94"/>
      <c r="I26" s="94"/>
      <c r="J26" s="94"/>
    </row>
    <row r="27" spans="1:10" ht="14.25" customHeight="1">
      <c r="A27" s="22" t="s">
        <v>12</v>
      </c>
      <c r="B27" s="22" t="s">
        <v>34</v>
      </c>
      <c r="C27" s="22" t="s">
        <v>35</v>
      </c>
      <c r="D27" s="22" t="s">
        <v>36</v>
      </c>
      <c r="E27" s="22" t="s">
        <v>37</v>
      </c>
      <c r="F27" s="22" t="s">
        <v>38</v>
      </c>
      <c r="G27" s="22" t="s">
        <v>39</v>
      </c>
      <c r="H27" s="22" t="s">
        <v>40</v>
      </c>
      <c r="I27" s="22" t="s">
        <v>41</v>
      </c>
      <c r="J27" s="22" t="s">
        <v>42</v>
      </c>
    </row>
    <row r="28" spans="1:10" ht="14.25" customHeight="1">
      <c r="A28" s="23" t="s">
        <v>20</v>
      </c>
      <c r="B28" s="24">
        <f>SUMIFS(All_Detail!F$2:F$740,All_Detail!B$2:B$740,A28,All_Detail!O$2:O$740,"Switch")</f>
        <v>410</v>
      </c>
      <c r="C28" s="24">
        <f>SUMIFS(All_Detail!G$2:G$740,All_Detail!B$2:B$740,A28,All_Detail!O$2:O$740,"Switch")</f>
        <v>253</v>
      </c>
      <c r="D28" s="25">
        <f t="shared" ref="D28:D35" si="2">IF(B28=0,"",C28/B28)</f>
        <v>0.61707317073170731</v>
      </c>
      <c r="E28" s="24">
        <f>SUMIFS(All_Detail!F$2:F$740,All_Detail!B$2:B$740,A28,All_Detail!O$2:O$740,"AP")</f>
        <v>290</v>
      </c>
      <c r="F28" s="24">
        <f>SUMIFS(All_Detail!G$2:G$740,All_Detail!B$2:B$740,A28,All_Detail!O$2:O$740,"AP")</f>
        <v>43</v>
      </c>
      <c r="G28" s="25">
        <f t="shared" ref="G28:G35" si="3">IF(E28=0,"",F28/E28)</f>
        <v>0.14827586206896551</v>
      </c>
      <c r="H28" s="24">
        <f>SUMIFS(All_Detail!F$2:F$740,All_Detail!B$2:B$740,A28,All_Detail!O$2:O$740,"Infra")</f>
        <v>10</v>
      </c>
      <c r="I28" s="24">
        <f>SUMIFS(All_Detail!G$2:G$740,All_Detail!B$2:B$740,A28,All_Detail!O$2:O$740,"Infra")</f>
        <v>10</v>
      </c>
      <c r="J28" s="25">
        <f t="shared" ref="J28:J35" si="4">IF(H28=0,"",I28/H28)</f>
        <v>1</v>
      </c>
    </row>
    <row r="29" spans="1:10" ht="14.25" customHeight="1">
      <c r="A29" s="23" t="s">
        <v>21</v>
      </c>
      <c r="B29" s="24">
        <f>SUMIFS(All_Detail!F$2:F$740,All_Detail!B$2:B$740,A29,All_Detail!O$2:O$740,"Switch")</f>
        <v>156</v>
      </c>
      <c r="C29" s="24">
        <f>SUMIFS(All_Detail!G$2:G$740,All_Detail!B$2:B$740,A29,All_Detail!O$2:O$740,"Switch")</f>
        <v>141</v>
      </c>
      <c r="D29" s="25">
        <f t="shared" si="2"/>
        <v>0.90384615384615385</v>
      </c>
      <c r="E29" s="24">
        <f>SUMIFS(All_Detail!F$2:F$740,All_Detail!B$2:B$740,A29,All_Detail!O$2:O$740,"AP")</f>
        <v>25</v>
      </c>
      <c r="F29" s="24">
        <f>SUMIFS(All_Detail!G$2:G$740,All_Detail!B$2:B$740,A29,All_Detail!O$2:O$740,"AP")</f>
        <v>24</v>
      </c>
      <c r="G29" s="25">
        <f t="shared" si="3"/>
        <v>0.96</v>
      </c>
      <c r="H29" s="24">
        <f>SUMIFS(All_Detail!F$2:F$740,All_Detail!B$2:B$740,A29,All_Detail!O$2:O$740,"Infra")</f>
        <v>6</v>
      </c>
      <c r="I29" s="24">
        <f>SUMIFS(All_Detail!G$2:G$740,All_Detail!B$2:B$740,A29,All_Detail!O$2:O$740,"Infra")</f>
        <v>4</v>
      </c>
      <c r="J29" s="25">
        <f t="shared" si="4"/>
        <v>0.66666666666666663</v>
      </c>
    </row>
    <row r="30" spans="1:10" ht="14.25" customHeight="1">
      <c r="A30" s="23" t="s">
        <v>22</v>
      </c>
      <c r="B30" s="24">
        <f>SUMIFS(All_Detail!F$2:F$740,All_Detail!B$2:B$740,A30,All_Detail!O$2:O$740,"Switch")</f>
        <v>281</v>
      </c>
      <c r="C30" s="24">
        <f>SUMIFS(All_Detail!G$2:G$740,All_Detail!B$2:B$740,A30,All_Detail!O$2:O$740,"Switch")</f>
        <v>0</v>
      </c>
      <c r="D30" s="25">
        <f t="shared" si="2"/>
        <v>0</v>
      </c>
      <c r="E30" s="24">
        <f>SUMIFS(All_Detail!F$2:F$740,All_Detail!B$2:B$740,A30,All_Detail!O$2:O$740,"AP")</f>
        <v>44</v>
      </c>
      <c r="F30" s="24">
        <f>SUMIFS(All_Detail!G$2:G$740,All_Detail!B$2:B$740,A30,All_Detail!O$2:O$740,"AP")</f>
        <v>0</v>
      </c>
      <c r="G30" s="25">
        <f t="shared" si="3"/>
        <v>0</v>
      </c>
      <c r="H30" s="24">
        <f>SUMIFS(All_Detail!F$2:F$740,All_Detail!B$2:B$740,A30,All_Detail!O$2:O$740,"Infra")</f>
        <v>2</v>
      </c>
      <c r="I30" s="24">
        <f>SUMIFS(All_Detail!G$2:G$740,All_Detail!B$2:B$740,A30,All_Detail!O$2:O$740,"Infra")</f>
        <v>2</v>
      </c>
      <c r="J30" s="25">
        <f t="shared" si="4"/>
        <v>1</v>
      </c>
    </row>
    <row r="31" spans="1:10" ht="14.25" customHeight="1">
      <c r="A31" s="23" t="s">
        <v>23</v>
      </c>
      <c r="B31" s="24">
        <f>SUMIFS(All_Detail!F$2:F$740,All_Detail!B$2:B$740,A31,All_Detail!O$2:O$740,"Switch")</f>
        <v>134</v>
      </c>
      <c r="C31" s="24">
        <f>SUMIFS(All_Detail!G$2:G$740,All_Detail!B$2:B$740,A31,All_Detail!O$2:O$740,"Switch")</f>
        <v>0</v>
      </c>
      <c r="D31" s="25">
        <f t="shared" si="2"/>
        <v>0</v>
      </c>
      <c r="E31" s="24">
        <f>SUMIFS(All_Detail!F$2:F$740,All_Detail!B$2:B$740,A31,All_Detail!O$2:O$740,"AP")</f>
        <v>11</v>
      </c>
      <c r="F31" s="24">
        <f>SUMIFS(All_Detail!G$2:G$740,All_Detail!B$2:B$740,A31,All_Detail!O$2:O$740,"AP")</f>
        <v>0</v>
      </c>
      <c r="G31" s="25">
        <f t="shared" si="3"/>
        <v>0</v>
      </c>
      <c r="H31" s="24">
        <f>SUMIFS(All_Detail!F$2:F$740,All_Detail!B$2:B$740,A31,All_Detail!O$2:O$740,"Infra")</f>
        <v>2</v>
      </c>
      <c r="I31" s="24">
        <f>SUMIFS(All_Detail!G$2:G$740,All_Detail!B$2:B$740,A31,All_Detail!O$2:O$740,"Infra")</f>
        <v>2</v>
      </c>
      <c r="J31" s="25">
        <f t="shared" si="4"/>
        <v>1</v>
      </c>
    </row>
    <row r="32" spans="1:10" ht="14.25" customHeight="1">
      <c r="A32" s="23" t="s">
        <v>24</v>
      </c>
      <c r="B32" s="24">
        <f>SUMIFS(All_Detail!F$2:F$740,All_Detail!B$2:B$740,A32,All_Detail!O$2:O$740,"Switch")</f>
        <v>65</v>
      </c>
      <c r="C32" s="24">
        <f>SUMIFS(All_Detail!G$2:G$740,All_Detail!B$2:B$740,A32,All_Detail!O$2:O$740,"Switch")</f>
        <v>0</v>
      </c>
      <c r="D32" s="25">
        <f t="shared" si="2"/>
        <v>0</v>
      </c>
      <c r="E32" s="24">
        <f>SUMIFS(All_Detail!F$2:F$740,All_Detail!B$2:B$740,A32,All_Detail!O$2:O$740,"AP")</f>
        <v>32</v>
      </c>
      <c r="F32" s="24">
        <f>SUMIFS(All_Detail!G$2:G$740,All_Detail!B$2:B$740,A32,All_Detail!O$2:O$740,"AP")</f>
        <v>0</v>
      </c>
      <c r="G32" s="25">
        <f t="shared" si="3"/>
        <v>0</v>
      </c>
      <c r="H32" s="24">
        <f>SUMIFS(All_Detail!F$2:F$740,All_Detail!B$2:B$740,A32,All_Detail!O$2:O$740,"Infra")</f>
        <v>2</v>
      </c>
      <c r="I32" s="24">
        <f>SUMIFS(All_Detail!G$2:G$740,All_Detail!B$2:B$740,A32,All_Detail!O$2:O$740,"Infra")</f>
        <v>2</v>
      </c>
      <c r="J32" s="25">
        <f t="shared" si="4"/>
        <v>1</v>
      </c>
    </row>
    <row r="33" spans="1:10" ht="14.25" customHeight="1">
      <c r="A33" s="23" t="s">
        <v>25</v>
      </c>
      <c r="B33" s="24">
        <f>SUMIFS(All_Detail!F$2:F$740,All_Detail!B$2:B$740,A33,All_Detail!O$2:O$740,"Switch")</f>
        <v>69</v>
      </c>
      <c r="C33" s="24">
        <f>SUMIFS(All_Detail!G$2:G$740,All_Detail!B$2:B$740,A33,All_Detail!O$2:O$740,"Switch")</f>
        <v>13</v>
      </c>
      <c r="D33" s="25">
        <f t="shared" si="2"/>
        <v>0.18840579710144928</v>
      </c>
      <c r="E33" s="24">
        <f>SUMIFS(All_Detail!F$2:F$740,All_Detail!B$2:B$740,A33,All_Detail!O$2:O$740,"AP")</f>
        <v>43</v>
      </c>
      <c r="F33" s="24">
        <f>SUMIFS(All_Detail!G$2:G$740,All_Detail!B$2:B$740,A33,All_Detail!O$2:O$740,"AP")</f>
        <v>8</v>
      </c>
      <c r="G33" s="25">
        <f t="shared" si="3"/>
        <v>0.18604651162790697</v>
      </c>
      <c r="H33" s="24">
        <f>SUMIFS(All_Detail!F$2:F$740,All_Detail!B$2:B$740,A33,All_Detail!O$2:O$740,"Infra")</f>
        <v>2</v>
      </c>
      <c r="I33" s="24">
        <f>SUMIFS(All_Detail!G$2:G$740,All_Detail!B$2:B$740,A33,All_Detail!O$2:O$740,"Infra")</f>
        <v>2</v>
      </c>
      <c r="J33" s="25">
        <f t="shared" si="4"/>
        <v>1</v>
      </c>
    </row>
    <row r="34" spans="1:10" ht="14.25" customHeight="1">
      <c r="A34" s="23" t="s">
        <v>26</v>
      </c>
      <c r="B34" s="24">
        <f>SUMIFS(All_Detail!F$2:F$740,All_Detail!B$2:B$740,A34,All_Detail!O$2:O$740,"Switch")</f>
        <v>6</v>
      </c>
      <c r="C34" s="24">
        <f>SUMIFS(All_Detail!G$2:G$740,All_Detail!B$2:B$740,A34,All_Detail!O$2:O$740,"Switch")</f>
        <v>0</v>
      </c>
      <c r="D34" s="25">
        <f t="shared" si="2"/>
        <v>0</v>
      </c>
      <c r="E34" s="24">
        <f>SUMIFS(All_Detail!F$2:F$740,All_Detail!B$2:B$740,A34,All_Detail!O$2:O$740,"AP")</f>
        <v>0</v>
      </c>
      <c r="F34" s="24">
        <f>SUMIFS(All_Detail!G$2:G$740,All_Detail!B$2:B$740,A34,All_Detail!O$2:O$740,"AP")</f>
        <v>0</v>
      </c>
      <c r="G34" s="25" t="str">
        <f t="shared" si="3"/>
        <v/>
      </c>
      <c r="H34" s="24">
        <f>SUMIFS(All_Detail!F$2:F$740,All_Detail!B$2:B$740,A34,All_Detail!O$2:O$740,"Infra")</f>
        <v>2</v>
      </c>
      <c r="I34" s="24">
        <f>SUMIFS(All_Detail!G$2:G$740,All_Detail!B$2:B$740,A34,All_Detail!O$2:O$740,"Infra")</f>
        <v>2</v>
      </c>
      <c r="J34" s="25">
        <f t="shared" si="4"/>
        <v>1</v>
      </c>
    </row>
    <row r="35" spans="1:10" ht="14.25" customHeight="1">
      <c r="A35" s="26" t="s">
        <v>27</v>
      </c>
      <c r="B35" s="27">
        <f>SUM(B28:B34)</f>
        <v>1121</v>
      </c>
      <c r="C35" s="27">
        <f>SUM(C28:C34)</f>
        <v>407</v>
      </c>
      <c r="D35" s="28">
        <f t="shared" si="2"/>
        <v>0.36306868867082964</v>
      </c>
      <c r="E35" s="27">
        <f>SUM(E28:E34)</f>
        <v>445</v>
      </c>
      <c r="F35" s="27">
        <f>SUM(F28:F34)</f>
        <v>75</v>
      </c>
      <c r="G35" s="28">
        <f t="shared" si="3"/>
        <v>0.16853932584269662</v>
      </c>
      <c r="H35" s="27">
        <f>SUM(H28:H34)</f>
        <v>26</v>
      </c>
      <c r="I35" s="27">
        <f>SUM(I28:I34)</f>
        <v>24</v>
      </c>
      <c r="J35" s="28">
        <f t="shared" si="4"/>
        <v>0.92307692307692313</v>
      </c>
    </row>
    <row r="38" spans="1:10" ht="15" customHeight="1"/>
    <row r="39" spans="1:10" ht="14.25" customHeight="1">
      <c r="A39" s="94" t="s">
        <v>43</v>
      </c>
      <c r="B39" s="94"/>
      <c r="C39" s="94"/>
      <c r="D39" s="94"/>
      <c r="E39" s="94"/>
      <c r="F39" s="94"/>
      <c r="G39" s="94"/>
      <c r="H39" s="94"/>
      <c r="I39" s="94"/>
      <c r="J39" s="94"/>
    </row>
    <row r="40" spans="1:10" ht="14.25" customHeight="1">
      <c r="A40" s="22" t="s">
        <v>44</v>
      </c>
      <c r="B40" s="22" t="s">
        <v>45</v>
      </c>
      <c r="C40" s="22" t="s">
        <v>46</v>
      </c>
      <c r="D40" s="22" t="s">
        <v>47</v>
      </c>
      <c r="E40" s="22" t="s">
        <v>48</v>
      </c>
      <c r="F40" s="22" t="s">
        <v>49</v>
      </c>
      <c r="G40" s="22" t="s">
        <v>50</v>
      </c>
      <c r="H40" s="22" t="s">
        <v>51</v>
      </c>
      <c r="I40" s="22" t="s">
        <v>52</v>
      </c>
      <c r="J40" s="22" t="s">
        <v>53</v>
      </c>
    </row>
    <row r="41" spans="1:10" ht="14.25" customHeight="1">
      <c r="A41" s="24">
        <v>7</v>
      </c>
      <c r="B41" s="24" t="str">
        <f t="shared" ref="B41:B57" si="5">TEXT(DATE(2025,12,29)+(A41-1)*7,"DD MMM")&amp;" - "&amp;TEXT(DATE(2025,12,29)+(A41-1)*7+6,"DD MMM")</f>
        <v>09 Feb - 15 Feb</v>
      </c>
      <c r="C41" s="24">
        <f>SUMPRODUCT((_xlfn.ISOWEEKNUM(All_Detail!I$2:I$740)=A41)*(All_Detail!F$2:F$740))</f>
        <v>50</v>
      </c>
      <c r="D41" s="24">
        <f>SUMPRODUCT((_xlfn.ISOWEEKNUM(All_Detail!H$2:H$740)=A41)*(All_Detail!G$2:G$740))</f>
        <v>80</v>
      </c>
      <c r="E41" s="24">
        <f>SUM(C41)</f>
        <v>50</v>
      </c>
      <c r="F41" s="24">
        <f>SUM(D41)</f>
        <v>80</v>
      </c>
      <c r="G41" s="24">
        <f>SUMPRODUCT((_xlfn.ISOWEEKNUM(All_Detail!I$2:I$740)=A41)*(All_Detail!O$2:O$740="Switch")*(All_Detail!F$2:F$740))</f>
        <v>28</v>
      </c>
      <c r="H41" s="24">
        <f>SUMPRODUCT((_xlfn.ISOWEEKNUM(All_Detail!H$2:H$740)=A41)*(All_Detail!O$2:O$740="Switch")*(All_Detail!G$2:G$740))</f>
        <v>32</v>
      </c>
      <c r="I41" s="24">
        <f>SUMPRODUCT((_xlfn.ISOWEEKNUM(All_Detail!I$2:I$740)=A41)*(All_Detail!O$2:O$740="AP")*(All_Detail!F$2:F$740))</f>
        <v>0</v>
      </c>
      <c r="J41" s="24">
        <f>SUMPRODUCT((_xlfn.ISOWEEKNUM(All_Detail!H$2:H$740)=A41)*(All_Detail!O$2:O$740="AP")*(All_Detail!G$2:G$740))</f>
        <v>24</v>
      </c>
    </row>
    <row r="42" spans="1:10" ht="14.25" customHeight="1">
      <c r="A42" s="24">
        <v>8</v>
      </c>
      <c r="B42" s="24" t="str">
        <f t="shared" si="5"/>
        <v>16 Feb - 22 Feb</v>
      </c>
      <c r="C42" s="24">
        <f>SUMPRODUCT((_xlfn.ISOWEEKNUM(All_Detail!I$2:I$740)=A42)*(All_Detail!F$2:F$740))</f>
        <v>103</v>
      </c>
      <c r="D42" s="24">
        <f>SUMPRODUCT((_xlfn.ISOWEEKNUM(All_Detail!H$2:H$740)=A42)*(All_Detail!G$2:G$740))</f>
        <v>99</v>
      </c>
      <c r="E42" s="24">
        <f>SUM(C41:C42)</f>
        <v>153</v>
      </c>
      <c r="F42" s="24">
        <f>SUM(D41:D42)</f>
        <v>179</v>
      </c>
      <c r="G42" s="24">
        <f>SUMPRODUCT((_xlfn.ISOWEEKNUM(All_Detail!I$2:I$740)=A42)*(All_Detail!O$2:O$740="Switch")*(All_Detail!F$2:F$740))</f>
        <v>60</v>
      </c>
      <c r="H42" s="24">
        <f>SUMPRODUCT((_xlfn.ISOWEEKNUM(All_Detail!H$2:H$740)=A42)*(All_Detail!O$2:O$740="Switch")*(All_Detail!G$2:G$740))</f>
        <v>56</v>
      </c>
      <c r="I42" s="24">
        <f>SUMPRODUCT((_xlfn.ISOWEEKNUM(All_Detail!I$2:I$740)=A42)*(All_Detail!O$2:O$740="AP")*(All_Detail!F$2:F$740))</f>
        <v>43</v>
      </c>
      <c r="J42" s="24">
        <f>SUMPRODUCT((_xlfn.ISOWEEKNUM(All_Detail!H$2:H$740)=A42)*(All_Detail!O$2:O$740="AP")*(All_Detail!G$2:G$740))</f>
        <v>43</v>
      </c>
    </row>
    <row r="43" spans="1:10" ht="14.25" customHeight="1">
      <c r="A43" s="24">
        <v>9</v>
      </c>
      <c r="B43" s="24" t="str">
        <f t="shared" si="5"/>
        <v>23 Feb - 01 Mar</v>
      </c>
      <c r="C43" s="24">
        <f>SUMPRODUCT((_xlfn.ISOWEEKNUM(All_Detail!I$2:I$740)=A43)*(All_Detail!F$2:F$740))</f>
        <v>94</v>
      </c>
      <c r="D43" s="24">
        <f>SUMPRODUCT((_xlfn.ISOWEEKNUM(All_Detail!H$2:H$740)=A43)*(All_Detail!G$2:G$740))</f>
        <v>70</v>
      </c>
      <c r="E43" s="24">
        <f>SUM(C41:C43)</f>
        <v>247</v>
      </c>
      <c r="F43" s="24">
        <f>SUM(D41:D43)</f>
        <v>249</v>
      </c>
      <c r="G43" s="24">
        <f>SUMPRODUCT((_xlfn.ISOWEEKNUM(All_Detail!I$2:I$740)=A43)*(All_Detail!O$2:O$740="Switch")*(All_Detail!F$2:F$740))</f>
        <v>70</v>
      </c>
      <c r="H43" s="24">
        <f>SUMPRODUCT((_xlfn.ISOWEEKNUM(All_Detail!H$2:H$740)=A43)*(All_Detail!O$2:O$740="Switch")*(All_Detail!G$2:G$740))</f>
        <v>70</v>
      </c>
      <c r="I43" s="24">
        <f>SUMPRODUCT((_xlfn.ISOWEEKNUM(All_Detail!I$2:I$740)=A43)*(All_Detail!O$2:O$740="AP")*(All_Detail!F$2:F$740))</f>
        <v>24</v>
      </c>
      <c r="J43" s="24">
        <f>SUMPRODUCT((_xlfn.ISOWEEKNUM(All_Detail!H$2:H$740)=A43)*(All_Detail!O$2:O$740="AP")*(All_Detail!G$2:G$740))</f>
        <v>0</v>
      </c>
    </row>
    <row r="44" spans="1:10" ht="14.25" customHeight="1">
      <c r="A44" s="24">
        <v>10</v>
      </c>
      <c r="B44" s="24" t="str">
        <f t="shared" si="5"/>
        <v>02 Mar - 08 Mar</v>
      </c>
      <c r="C44" s="24">
        <f>SUMPRODUCT((_xlfn.ISOWEEKNUM(All_Detail!I$2:I$740)=A44)*(All_Detail!F$2:F$740))</f>
        <v>41</v>
      </c>
      <c r="D44" s="24">
        <f>SUMPRODUCT((_xlfn.ISOWEEKNUM(All_Detail!H$2:H$740)=A44)*(All_Detail!G$2:G$740))</f>
        <v>39</v>
      </c>
      <c r="E44" s="24">
        <f>SUM(C41:C44)</f>
        <v>288</v>
      </c>
      <c r="F44" s="24">
        <f>SUM(D41:D44)</f>
        <v>288</v>
      </c>
      <c r="G44" s="24">
        <f>SUMPRODUCT((_xlfn.ISOWEEKNUM(All_Detail!I$2:I$740)=A44)*(All_Detail!O$2:O$740="Switch")*(All_Detail!F$2:F$740))</f>
        <v>39</v>
      </c>
      <c r="H44" s="24">
        <f>SUMPRODUCT((_xlfn.ISOWEEKNUM(All_Detail!H$2:H$740)=A44)*(All_Detail!O$2:O$740="Switch")*(All_Detail!G$2:G$740))</f>
        <v>39</v>
      </c>
      <c r="I44" s="24">
        <f>SUMPRODUCT((_xlfn.ISOWEEKNUM(All_Detail!I$2:I$740)=A44)*(All_Detail!O$2:O$740="AP")*(All_Detail!F$2:F$740))</f>
        <v>0</v>
      </c>
      <c r="J44" s="24">
        <f>SUMPRODUCT((_xlfn.ISOWEEKNUM(All_Detail!H$2:H$740)=A44)*(All_Detail!O$2:O$740="AP")*(All_Detail!G$2:G$740))</f>
        <v>0</v>
      </c>
    </row>
    <row r="45" spans="1:10" ht="14.25" customHeight="1">
      <c r="A45" s="29">
        <v>11</v>
      </c>
      <c r="B45" s="29" t="str">
        <f t="shared" si="5"/>
        <v>09 Mar - 15 Mar</v>
      </c>
      <c r="C45" s="29">
        <f>SUMPRODUCT((_xlfn.ISOWEEKNUM(All_Detail!I$2:I$740)=A45)*(All_Detail!F$2:F$740))</f>
        <v>94</v>
      </c>
      <c r="D45" s="29">
        <f>SUMPRODUCT((_xlfn.ISOWEEKNUM(All_Detail!H$2:H$740)=A45)*(All_Detail!G$2:G$740))</f>
        <v>93</v>
      </c>
      <c r="E45" s="29">
        <f>SUM(C41:C45)</f>
        <v>382</v>
      </c>
      <c r="F45" s="29">
        <f>SUM(D41:D45)</f>
        <v>381</v>
      </c>
      <c r="G45" s="29">
        <f>SUMPRODUCT((_xlfn.ISOWEEKNUM(All_Detail!I$2:I$740)=A45)*(All_Detail!O$2:O$740="Switch")*(All_Detail!F$2:F$740))</f>
        <v>94</v>
      </c>
      <c r="H45" s="29">
        <f>SUMPRODUCT((_xlfn.ISOWEEKNUM(All_Detail!H$2:H$740)=A45)*(All_Detail!O$2:O$740="Switch")*(All_Detail!G$2:G$740))</f>
        <v>93</v>
      </c>
      <c r="I45" s="29">
        <f>SUMPRODUCT((_xlfn.ISOWEEKNUM(All_Detail!I$2:I$740)=A45)*(All_Detail!O$2:O$740="AP")*(All_Detail!F$2:F$740))</f>
        <v>0</v>
      </c>
      <c r="J45" s="29">
        <f>SUMPRODUCT((_xlfn.ISOWEEKNUM(All_Detail!H$2:H$740)=A45)*(All_Detail!O$2:O$740="AP")*(All_Detail!G$2:G$740))</f>
        <v>0</v>
      </c>
    </row>
    <row r="46" spans="1:10" ht="14.25" customHeight="1">
      <c r="A46" s="24">
        <v>12</v>
      </c>
      <c r="B46" s="24" t="str">
        <f t="shared" si="5"/>
        <v>16 Mar - 22 Mar</v>
      </c>
      <c r="C46" s="24">
        <f>SUMPRODUCT((_xlfn.ISOWEEKNUM(All_Detail!I$2:I$740)=A46)*(All_Detail!F$2:F$740))</f>
        <v>60</v>
      </c>
      <c r="D46" s="24">
        <f>SUMPRODUCT((_xlfn.ISOWEEKNUM(All_Detail!H$2:H$740)=A46)*(All_Detail!G$2:G$740))</f>
        <v>80</v>
      </c>
      <c r="E46" s="24">
        <f>SUM(C41:C46)</f>
        <v>442</v>
      </c>
      <c r="F46" s="24">
        <f>SUM(D41:D46)</f>
        <v>461</v>
      </c>
      <c r="G46" s="24">
        <f>SUMPRODUCT((_xlfn.ISOWEEKNUM(All_Detail!I$2:I$740)=A46)*(All_Detail!O$2:O$740="Switch")*(All_Detail!F$2:F$740))</f>
        <v>60</v>
      </c>
      <c r="H46" s="24">
        <f>SUMPRODUCT((_xlfn.ISOWEEKNUM(All_Detail!H$2:H$740)=A46)*(All_Detail!O$2:O$740="Switch")*(All_Detail!G$2:G$740))</f>
        <v>80</v>
      </c>
      <c r="I46" s="24">
        <f>SUMPRODUCT((_xlfn.ISOWEEKNUM(All_Detail!I$2:I$740)=A46)*(All_Detail!O$2:O$740="AP")*(All_Detail!F$2:F$740))</f>
        <v>0</v>
      </c>
      <c r="J46" s="24">
        <f>SUMPRODUCT((_xlfn.ISOWEEKNUM(All_Detail!H$2:H$740)=A46)*(All_Detail!O$2:O$740="AP")*(All_Detail!G$2:G$740))</f>
        <v>0</v>
      </c>
    </row>
    <row r="47" spans="1:10" ht="14.25" customHeight="1">
      <c r="A47" s="24">
        <v>13</v>
      </c>
      <c r="B47" s="24" t="str">
        <f t="shared" si="5"/>
        <v>23 Mar - 29 Mar</v>
      </c>
      <c r="C47" s="24">
        <f>SUMPRODUCT((_xlfn.ISOWEEKNUM(All_Detail!I$2:I$740)=A47)*(All_Detail!F$2:F$740))</f>
        <v>241</v>
      </c>
      <c r="D47" s="24">
        <f>SUMPRODUCT((_xlfn.ISOWEEKNUM(All_Detail!H$2:H$740)=A47)*(All_Detail!G$2:G$740))</f>
        <v>42</v>
      </c>
      <c r="E47" s="24">
        <f>SUM(C41:C47)</f>
        <v>683</v>
      </c>
      <c r="F47" s="24">
        <f>SUM(D41:D47)</f>
        <v>503</v>
      </c>
      <c r="G47" s="24">
        <f>SUMPRODUCT((_xlfn.ISOWEEKNUM(All_Detail!I$2:I$740)=A47)*(All_Detail!O$2:O$740="Switch")*(All_Detail!F$2:F$740))</f>
        <v>62</v>
      </c>
      <c r="H47" s="24">
        <f>SUMPRODUCT((_xlfn.ISOWEEKNUM(All_Detail!H$2:H$740)=A47)*(All_Detail!O$2:O$740="Switch")*(All_Detail!G$2:G$740))</f>
        <v>34</v>
      </c>
      <c r="I47" s="24">
        <f>SUMPRODUCT((_xlfn.ISOWEEKNUM(All_Detail!I$2:I$740)=A47)*(All_Detail!O$2:O$740="AP")*(All_Detail!F$2:F$740))</f>
        <v>177</v>
      </c>
      <c r="J47" s="24">
        <f>SUMPRODUCT((_xlfn.ISOWEEKNUM(All_Detail!H$2:H$740)=A47)*(All_Detail!O$2:O$740="AP")*(All_Detail!G$2:G$740))</f>
        <v>8</v>
      </c>
    </row>
    <row r="48" spans="1:10" ht="14.25" customHeight="1">
      <c r="A48" s="24">
        <v>14</v>
      </c>
      <c r="B48" s="24" t="str">
        <f t="shared" si="5"/>
        <v>30 Mar - 05 Apr</v>
      </c>
      <c r="C48" s="24">
        <f>SUMPRODUCT((_xlfn.ISOWEEKNUM(All_Detail!I$2:I$740)=A48)*(All_Detail!F$2:F$740))</f>
        <v>49</v>
      </c>
      <c r="D48" s="24">
        <f>SUMPRODUCT((_xlfn.ISOWEEKNUM(All_Detail!H$2:H$740)=A48)*(All_Detail!G$2:G$740))</f>
        <v>0</v>
      </c>
      <c r="E48" s="24">
        <f>SUM(C41:C48)</f>
        <v>732</v>
      </c>
      <c r="F48" s="24">
        <f>SUM(D41:D48)</f>
        <v>503</v>
      </c>
      <c r="G48" s="24">
        <f>SUMPRODUCT((_xlfn.ISOWEEKNUM(All_Detail!I$2:I$740)=A48)*(All_Detail!O$2:O$740="Switch")*(All_Detail!F$2:F$740))</f>
        <v>30</v>
      </c>
      <c r="H48" s="24">
        <f>SUMPRODUCT((_xlfn.ISOWEEKNUM(All_Detail!H$2:H$740)=A48)*(All_Detail!O$2:O$740="Switch")*(All_Detail!G$2:G$740))</f>
        <v>0</v>
      </c>
      <c r="I48" s="24">
        <f>SUMPRODUCT((_xlfn.ISOWEEKNUM(All_Detail!I$2:I$740)=A48)*(All_Detail!O$2:O$740="AP")*(All_Detail!F$2:F$740))</f>
        <v>19</v>
      </c>
      <c r="J48" s="24">
        <f>SUMPRODUCT((_xlfn.ISOWEEKNUM(All_Detail!H$2:H$740)=A48)*(All_Detail!O$2:O$740="AP")*(All_Detail!G$2:G$740))</f>
        <v>0</v>
      </c>
    </row>
    <row r="49" spans="1:10" ht="14.25" customHeight="1">
      <c r="A49" s="24">
        <v>15</v>
      </c>
      <c r="B49" s="24" t="str">
        <f t="shared" si="5"/>
        <v>06 Apr - 12 Apr</v>
      </c>
      <c r="C49" s="24">
        <f>SUMPRODUCT((_xlfn.ISOWEEKNUM(All_Detail!I$2:I$740)=A49)*(All_Detail!F$2:F$740))</f>
        <v>50</v>
      </c>
      <c r="D49" s="24">
        <f>SUMPRODUCT((_xlfn.ISOWEEKNUM(All_Detail!H$2:H$740)=A49)*(All_Detail!G$2:G$740))</f>
        <v>0</v>
      </c>
      <c r="E49" s="24">
        <f>SUM(C41:C49)</f>
        <v>782</v>
      </c>
      <c r="F49" s="24">
        <f>SUM(D41:D49)</f>
        <v>503</v>
      </c>
      <c r="G49" s="24">
        <f>SUMPRODUCT((_xlfn.ISOWEEKNUM(All_Detail!I$2:I$740)=A49)*(All_Detail!O$2:O$740="Switch")*(All_Detail!F$2:F$740))</f>
        <v>35</v>
      </c>
      <c r="H49" s="24">
        <f>SUMPRODUCT((_xlfn.ISOWEEKNUM(All_Detail!H$2:H$740)=A49)*(All_Detail!O$2:O$740="Switch")*(All_Detail!G$2:G$740))</f>
        <v>0</v>
      </c>
      <c r="I49" s="24">
        <f>SUMPRODUCT((_xlfn.ISOWEEKNUM(All_Detail!I$2:I$740)=A49)*(All_Detail!O$2:O$740="AP")*(All_Detail!F$2:F$740))</f>
        <v>15</v>
      </c>
      <c r="J49" s="24">
        <f>SUMPRODUCT((_xlfn.ISOWEEKNUM(All_Detail!H$2:H$740)=A49)*(All_Detail!O$2:O$740="AP")*(All_Detail!G$2:G$740))</f>
        <v>0</v>
      </c>
    </row>
    <row r="50" spans="1:10" ht="14.25" customHeight="1">
      <c r="A50" s="24">
        <v>16</v>
      </c>
      <c r="B50" s="24" t="str">
        <f t="shared" si="5"/>
        <v>13 Apr - 19 Apr</v>
      </c>
      <c r="C50" s="24">
        <f>SUMPRODUCT((_xlfn.ISOWEEKNUM(All_Detail!I$2:I$740)=A50)*(All_Detail!F$2:F$740))</f>
        <v>31</v>
      </c>
      <c r="D50" s="24">
        <f>SUMPRODUCT((_xlfn.ISOWEEKNUM(All_Detail!H$2:H$740)=A50)*(All_Detail!G$2:G$740))</f>
        <v>0</v>
      </c>
      <c r="E50" s="24">
        <f>SUM(C41:C50)</f>
        <v>813</v>
      </c>
      <c r="F50" s="24">
        <f>SUM(D41:D50)</f>
        <v>503</v>
      </c>
      <c r="G50" s="24">
        <f>SUMPRODUCT((_xlfn.ISOWEEKNUM(All_Detail!I$2:I$740)=A50)*(All_Detail!O$2:O$740="Switch")*(All_Detail!F$2:F$740))</f>
        <v>31</v>
      </c>
      <c r="H50" s="24">
        <f>SUMPRODUCT((_xlfn.ISOWEEKNUM(All_Detail!H$2:H$740)=A50)*(All_Detail!O$2:O$740="Switch")*(All_Detail!G$2:G$740))</f>
        <v>0</v>
      </c>
      <c r="I50" s="24">
        <f>SUMPRODUCT((_xlfn.ISOWEEKNUM(All_Detail!I$2:I$740)=A50)*(All_Detail!O$2:O$740="AP")*(All_Detail!F$2:F$740))</f>
        <v>0</v>
      </c>
      <c r="J50" s="24">
        <f>SUMPRODUCT((_xlfn.ISOWEEKNUM(All_Detail!H$2:H$740)=A50)*(All_Detail!O$2:O$740="AP")*(All_Detail!G$2:G$740))</f>
        <v>0</v>
      </c>
    </row>
    <row r="51" spans="1:10" ht="14.25" customHeight="1">
      <c r="A51" s="24">
        <v>17</v>
      </c>
      <c r="B51" s="24" t="str">
        <f t="shared" si="5"/>
        <v>20 Apr - 26 Apr</v>
      </c>
      <c r="C51" s="24">
        <f>SUMPRODUCT((_xlfn.ISOWEEKNUM(All_Detail!I$2:I$740)=A51)*(All_Detail!F$2:F$740))</f>
        <v>86</v>
      </c>
      <c r="D51" s="24">
        <f>SUMPRODUCT((_xlfn.ISOWEEKNUM(All_Detail!H$2:H$740)=A51)*(All_Detail!G$2:G$740))</f>
        <v>0</v>
      </c>
      <c r="E51" s="24">
        <f>SUM(C41:C51)</f>
        <v>899</v>
      </c>
      <c r="F51" s="24">
        <f>SUM(D41:D51)</f>
        <v>503</v>
      </c>
      <c r="G51" s="24">
        <f>SUMPRODUCT((_xlfn.ISOWEEKNUM(All_Detail!I$2:I$740)=A51)*(All_Detail!O$2:O$740="Switch")*(All_Detail!F$2:F$740))</f>
        <v>49</v>
      </c>
      <c r="H51" s="24">
        <f>SUMPRODUCT((_xlfn.ISOWEEKNUM(All_Detail!H$2:H$740)=A51)*(All_Detail!O$2:O$740="Switch")*(All_Detail!G$2:G$740))</f>
        <v>0</v>
      </c>
      <c r="I51" s="24">
        <f>SUMPRODUCT((_xlfn.ISOWEEKNUM(All_Detail!I$2:I$740)=A51)*(All_Detail!O$2:O$740="AP")*(All_Detail!F$2:F$740))</f>
        <v>37</v>
      </c>
      <c r="J51" s="24">
        <f>SUMPRODUCT((_xlfn.ISOWEEKNUM(All_Detail!H$2:H$740)=A51)*(All_Detail!O$2:O$740="AP")*(All_Detail!G$2:G$740))</f>
        <v>0</v>
      </c>
    </row>
    <row r="52" spans="1:10" ht="14.25" customHeight="1">
      <c r="A52" s="24">
        <v>18</v>
      </c>
      <c r="B52" s="24" t="str">
        <f t="shared" si="5"/>
        <v>27 Apr - 03 May</v>
      </c>
      <c r="C52" s="24">
        <f>SUMPRODUCT((_xlfn.ISOWEEKNUM(All_Detail!I$2:I$740)=A52)*(All_Detail!F$2:F$740))</f>
        <v>93</v>
      </c>
      <c r="D52" s="24">
        <f>SUMPRODUCT((_xlfn.ISOWEEKNUM(All_Detail!H$2:H$740)=A52)*(All_Detail!G$2:G$740))</f>
        <v>0</v>
      </c>
      <c r="E52" s="24">
        <f>SUM(C41:C52)</f>
        <v>992</v>
      </c>
      <c r="F52" s="24">
        <f>SUM(D41:D52)</f>
        <v>503</v>
      </c>
      <c r="G52" s="24">
        <f>SUMPRODUCT((_xlfn.ISOWEEKNUM(All_Detail!I$2:I$740)=A52)*(All_Detail!O$2:O$740="Switch")*(All_Detail!F$2:F$740))</f>
        <v>49</v>
      </c>
      <c r="H52" s="24">
        <f>SUMPRODUCT((_xlfn.ISOWEEKNUM(All_Detail!H$2:H$740)=A52)*(All_Detail!O$2:O$740="Switch")*(All_Detail!G$2:G$740))</f>
        <v>0</v>
      </c>
      <c r="I52" s="24">
        <f>SUMPRODUCT((_xlfn.ISOWEEKNUM(All_Detail!I$2:I$740)=A52)*(All_Detail!O$2:O$740="AP")*(All_Detail!F$2:F$740))</f>
        <v>44</v>
      </c>
      <c r="J52" s="24">
        <f>SUMPRODUCT((_xlfn.ISOWEEKNUM(All_Detail!H$2:H$740)=A52)*(All_Detail!O$2:O$740="AP")*(All_Detail!G$2:G$740))</f>
        <v>0</v>
      </c>
    </row>
    <row r="53" spans="1:10" ht="14.25" customHeight="1">
      <c r="A53" s="24">
        <v>19</v>
      </c>
      <c r="B53" s="24" t="str">
        <f t="shared" si="5"/>
        <v>04 May - 10 May</v>
      </c>
      <c r="C53" s="24">
        <f>SUMPRODUCT((_xlfn.ISOWEEKNUM(All_Detail!I$2:I$740)=A53)*(All_Detail!F$2:F$740))</f>
        <v>97</v>
      </c>
      <c r="D53" s="24">
        <f>SUMPRODUCT((_xlfn.ISOWEEKNUM(All_Detail!H$2:H$740)=A53)*(All_Detail!G$2:G$740))</f>
        <v>0</v>
      </c>
      <c r="E53" s="24">
        <f>SUM(C41:C53)</f>
        <v>1089</v>
      </c>
      <c r="F53" s="24">
        <f>SUM(D41:D53)</f>
        <v>503</v>
      </c>
      <c r="G53" s="24">
        <f>SUMPRODUCT((_xlfn.ISOWEEKNUM(All_Detail!I$2:I$740)=A53)*(All_Detail!O$2:O$740="Switch")*(All_Detail!F$2:F$740))</f>
        <v>97</v>
      </c>
      <c r="H53" s="24">
        <f>SUMPRODUCT((_xlfn.ISOWEEKNUM(All_Detail!H$2:H$740)=A53)*(All_Detail!O$2:O$740="Switch")*(All_Detail!G$2:G$740))</f>
        <v>0</v>
      </c>
      <c r="I53" s="24">
        <f>SUMPRODUCT((_xlfn.ISOWEEKNUM(All_Detail!I$2:I$740)=A53)*(All_Detail!O$2:O$740="AP")*(All_Detail!F$2:F$740))</f>
        <v>0</v>
      </c>
      <c r="J53" s="24">
        <f>SUMPRODUCT((_xlfn.ISOWEEKNUM(All_Detail!H$2:H$740)=A53)*(All_Detail!O$2:O$740="AP")*(All_Detail!G$2:G$740))</f>
        <v>0</v>
      </c>
    </row>
    <row r="54" spans="1:10" ht="14.25" customHeight="1">
      <c r="A54" s="24">
        <v>20</v>
      </c>
      <c r="B54" s="24" t="str">
        <f t="shared" si="5"/>
        <v>11 May - 17 May</v>
      </c>
      <c r="C54" s="24">
        <f>SUMPRODUCT((_xlfn.ISOWEEKNUM(All_Detail!I$2:I$740)=A54)*(All_Detail!F$2:F$740))</f>
        <v>50</v>
      </c>
      <c r="D54" s="24">
        <f>SUMPRODUCT((_xlfn.ISOWEEKNUM(All_Detail!H$2:H$740)=A54)*(All_Detail!G$2:G$740))</f>
        <v>0</v>
      </c>
      <c r="E54" s="24">
        <f>SUM(C41:C54)</f>
        <v>1139</v>
      </c>
      <c r="F54" s="24">
        <f>SUM(D41:D54)</f>
        <v>503</v>
      </c>
      <c r="G54" s="24">
        <f>SUMPRODUCT((_xlfn.ISOWEEKNUM(All_Detail!I$2:I$740)=A54)*(All_Detail!O$2:O$740="Switch")*(All_Detail!F$2:F$740))</f>
        <v>50</v>
      </c>
      <c r="H54" s="24">
        <f>SUMPRODUCT((_xlfn.ISOWEEKNUM(All_Detail!H$2:H$740)=A54)*(All_Detail!O$2:O$740="Switch")*(All_Detail!G$2:G$740))</f>
        <v>0</v>
      </c>
      <c r="I54" s="24">
        <f>SUMPRODUCT((_xlfn.ISOWEEKNUM(All_Detail!I$2:I$740)=A54)*(All_Detail!O$2:O$740="AP")*(All_Detail!F$2:F$740))</f>
        <v>0</v>
      </c>
      <c r="J54" s="24">
        <f>SUMPRODUCT((_xlfn.ISOWEEKNUM(All_Detail!H$2:H$740)=A54)*(All_Detail!O$2:O$740="AP")*(All_Detail!G$2:G$740))</f>
        <v>0</v>
      </c>
    </row>
    <row r="55" spans="1:10" ht="14.25" customHeight="1">
      <c r="A55" s="24">
        <v>21</v>
      </c>
      <c r="B55" s="24" t="str">
        <f t="shared" si="5"/>
        <v>18 May - 24 May</v>
      </c>
      <c r="C55" s="24">
        <f>SUMPRODUCT((_xlfn.ISOWEEKNUM(All_Detail!I$2:I$740)=A55)*(All_Detail!F$2:F$740))</f>
        <v>58</v>
      </c>
      <c r="D55" s="24">
        <f>SUMPRODUCT((_xlfn.ISOWEEKNUM(All_Detail!H$2:H$740)=A55)*(All_Detail!G$2:G$740))</f>
        <v>0</v>
      </c>
      <c r="E55" s="24">
        <f>SUM(C41:C55)</f>
        <v>1197</v>
      </c>
      <c r="F55" s="24">
        <f>SUM(D41:D55)</f>
        <v>503</v>
      </c>
      <c r="G55" s="24">
        <f>SUMPRODUCT((_xlfn.ISOWEEKNUM(All_Detail!I$2:I$740)=A55)*(All_Detail!O$2:O$740="Switch")*(All_Detail!F$2:F$740))</f>
        <v>58</v>
      </c>
      <c r="H55" s="24">
        <f>SUMPRODUCT((_xlfn.ISOWEEKNUM(All_Detail!H$2:H$740)=A55)*(All_Detail!O$2:O$740="Switch")*(All_Detail!G$2:G$740))</f>
        <v>0</v>
      </c>
      <c r="I55" s="24">
        <f>SUMPRODUCT((_xlfn.ISOWEEKNUM(All_Detail!I$2:I$740)=A55)*(All_Detail!O$2:O$740="AP")*(All_Detail!F$2:F$740))</f>
        <v>0</v>
      </c>
      <c r="J55" s="24">
        <f>SUMPRODUCT((_xlfn.ISOWEEKNUM(All_Detail!H$2:H$740)=A55)*(All_Detail!O$2:O$740="AP")*(All_Detail!G$2:G$740))</f>
        <v>0</v>
      </c>
    </row>
    <row r="56" spans="1:10" ht="14.25" customHeight="1">
      <c r="A56" s="24">
        <v>22</v>
      </c>
      <c r="B56" s="24" t="str">
        <f t="shared" si="5"/>
        <v>25 May - 31 May</v>
      </c>
      <c r="C56" s="24">
        <f>SUMPRODUCT((_xlfn.ISOWEEKNUM(All_Detail!I$2:I$740)=A56)*(All_Detail!F$2:F$740))</f>
        <v>77</v>
      </c>
      <c r="D56" s="24">
        <f>SUMPRODUCT((_xlfn.ISOWEEKNUM(All_Detail!H$2:H$740)=A56)*(All_Detail!G$2:G$740))</f>
        <v>0</v>
      </c>
      <c r="E56" s="24">
        <f>SUM(C41:C56)</f>
        <v>1274</v>
      </c>
      <c r="F56" s="24">
        <f>SUM(D41:D56)</f>
        <v>503</v>
      </c>
      <c r="G56" s="24">
        <f>SUMPRODUCT((_xlfn.ISOWEEKNUM(All_Detail!I$2:I$740)=A56)*(All_Detail!O$2:O$740="Switch")*(All_Detail!F$2:F$740))</f>
        <v>77</v>
      </c>
      <c r="H56" s="24">
        <f>SUMPRODUCT((_xlfn.ISOWEEKNUM(All_Detail!H$2:H$740)=A56)*(All_Detail!O$2:O$740="Switch")*(All_Detail!G$2:G$740))</f>
        <v>0</v>
      </c>
      <c r="I56" s="24">
        <f>SUMPRODUCT((_xlfn.ISOWEEKNUM(All_Detail!I$2:I$740)=A56)*(All_Detail!O$2:O$740="AP")*(All_Detail!F$2:F$740))</f>
        <v>0</v>
      </c>
      <c r="J56" s="24">
        <f>SUMPRODUCT((_xlfn.ISOWEEKNUM(All_Detail!H$2:H$740)=A56)*(All_Detail!O$2:O$740="AP")*(All_Detail!G$2:G$740))</f>
        <v>0</v>
      </c>
    </row>
    <row r="57" spans="1:10" ht="14.25" customHeight="1">
      <c r="A57" s="24">
        <v>23</v>
      </c>
      <c r="B57" s="24" t="str">
        <f t="shared" si="5"/>
        <v>01 Jun - 07 Jun</v>
      </c>
      <c r="C57" s="24">
        <f>SUMPRODUCT((_xlfn.ISOWEEKNUM(All_Detail!I$2:I$740)=A57)*(All_Detail!F$2:F$740))</f>
        <v>99</v>
      </c>
      <c r="D57" s="24">
        <f>SUMPRODUCT((_xlfn.ISOWEEKNUM(All_Detail!H$2:H$740)=A57)*(All_Detail!G$2:G$740))</f>
        <v>0</v>
      </c>
      <c r="E57" s="24">
        <f>SUM(C41:C57)</f>
        <v>1373</v>
      </c>
      <c r="F57" s="24">
        <f>SUM(D41:D57)</f>
        <v>503</v>
      </c>
      <c r="G57" s="24">
        <f>SUMPRODUCT((_xlfn.ISOWEEKNUM(All_Detail!I$2:I$740)=A57)*(All_Detail!O$2:O$740="Switch")*(All_Detail!F$2:F$740))</f>
        <v>88</v>
      </c>
      <c r="H57" s="24">
        <f>SUMPRODUCT((_xlfn.ISOWEEKNUM(All_Detail!H$2:H$740)=A57)*(All_Detail!O$2:O$740="Switch")*(All_Detail!G$2:G$740))</f>
        <v>0</v>
      </c>
      <c r="I57" s="24">
        <f>SUMPRODUCT((_xlfn.ISOWEEKNUM(All_Detail!I$2:I$740)=A57)*(All_Detail!O$2:O$740="AP")*(All_Detail!F$2:F$740))</f>
        <v>11</v>
      </c>
      <c r="J57" s="24">
        <f>SUMPRODUCT((_xlfn.ISOWEEKNUM(All_Detail!H$2:H$740)=A57)*(All_Detail!O$2:O$740="AP")*(All_Detail!G$2:G$740))</f>
        <v>0</v>
      </c>
    </row>
    <row r="58" spans="1:10" ht="14.25" customHeight="1">
      <c r="A58" s="27" t="s">
        <v>27</v>
      </c>
      <c r="B58" s="30"/>
      <c r="C58" s="27">
        <f>SUM(C41:C57)</f>
        <v>1373</v>
      </c>
      <c r="D58" s="27">
        <f>SUM(D41:D57)</f>
        <v>503</v>
      </c>
      <c r="E58" s="27">
        <f>E57</f>
        <v>1373</v>
      </c>
      <c r="F58" s="27">
        <f>F57</f>
        <v>503</v>
      </c>
      <c r="G58" s="27">
        <f>SUM(G41:G57)</f>
        <v>977</v>
      </c>
      <c r="H58" s="27">
        <f>SUM(H41:H57)</f>
        <v>404</v>
      </c>
      <c r="I58" s="27">
        <f>SUM(I41:I57)</f>
        <v>370</v>
      </c>
      <c r="J58" s="27">
        <f>SUM(J41:J57)</f>
        <v>75</v>
      </c>
    </row>
    <row r="60" spans="1:10" ht="14.25" customHeight="1">
      <c r="A60" s="94" t="s">
        <v>54</v>
      </c>
      <c r="B60" s="94"/>
      <c r="C60" s="94"/>
      <c r="D60" s="94"/>
      <c r="E60" s="94"/>
      <c r="F60" s="94"/>
      <c r="G60" s="94"/>
      <c r="H60" s="94"/>
      <c r="I60" s="94"/>
      <c r="J60" s="94"/>
    </row>
    <row r="61" spans="1:10" ht="14.25" customHeight="1">
      <c r="A61" s="7" t="s">
        <v>55</v>
      </c>
      <c r="B61" s="10" t="str">
        <f ca="1">TEXT(TODAY()-WEEKDAY(TODAY(),2)+1,"DD MMM")&amp;" - "&amp;TEXT(TODAY()-WEEKDAY(TODAY(),2)+7,"DD MMM YYYY")</f>
        <v>30 Mar - 05 Apr 2026</v>
      </c>
    </row>
    <row r="62" spans="1:10" ht="14.25" customHeight="1">
      <c r="A62" s="12" t="s">
        <v>12</v>
      </c>
      <c r="B62" s="12" t="s">
        <v>56</v>
      </c>
      <c r="C62" s="12" t="s">
        <v>57</v>
      </c>
      <c r="D62" s="12" t="s">
        <v>58</v>
      </c>
      <c r="E62" s="12" t="s">
        <v>59</v>
      </c>
      <c r="F62" s="12" t="s">
        <v>60</v>
      </c>
      <c r="G62" s="12" t="s">
        <v>61</v>
      </c>
      <c r="H62" s="12" t="s">
        <v>62</v>
      </c>
    </row>
    <row r="63" spans="1:10" ht="14.25" customHeight="1">
      <c r="A6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D1-041</v>
      </c>
      <c r="B6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Concourse D</v>
      </c>
      <c r="C6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D3-031</v>
      </c>
      <c r="D6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Aggregation Switch Type 2</v>
      </c>
      <c r="E63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1</v>
      </c>
      <c r="F63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46111</v>
      </c>
      <c r="G6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On Plan</v>
      </c>
      <c r="H63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0</v>
      </c>
    </row>
    <row r="64" spans="1:10" ht="14.25" customHeight="1">
      <c r="A6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D1-041</v>
      </c>
      <c r="B6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Concourse D</v>
      </c>
      <c r="C6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D2-069</v>
      </c>
      <c r="D6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Access Switch Type 4</v>
      </c>
      <c r="E64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1</v>
      </c>
      <c r="F64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46111</v>
      </c>
      <c r="G6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On Plan</v>
      </c>
      <c r="H64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0</v>
      </c>
    </row>
    <row r="65" spans="1:8" ht="14.25" customHeight="1">
      <c r="A6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D1-041</v>
      </c>
      <c r="B6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Concourse D</v>
      </c>
      <c r="C6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D2-069</v>
      </c>
      <c r="D6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Access Switch Type 2</v>
      </c>
      <c r="E65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1</v>
      </c>
      <c r="F65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46111</v>
      </c>
      <c r="G6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On Plan</v>
      </c>
      <c r="H65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0</v>
      </c>
    </row>
    <row r="66" spans="1:8" ht="14.25" customHeight="1">
      <c r="A6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D1-041</v>
      </c>
      <c r="B6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Concourse D</v>
      </c>
      <c r="C6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D2-082</v>
      </c>
      <c r="D6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Access Switch Type 4</v>
      </c>
      <c r="E66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1</v>
      </c>
      <c r="F66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46111</v>
      </c>
      <c r="G6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On Plan</v>
      </c>
      <c r="H66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0</v>
      </c>
    </row>
    <row r="67" spans="1:8" ht="14.25" customHeight="1">
      <c r="A6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D1-041</v>
      </c>
      <c r="B6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Concourse D</v>
      </c>
      <c r="C6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D2-082</v>
      </c>
      <c r="D6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Access Switch Type 2</v>
      </c>
      <c r="E67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1</v>
      </c>
      <c r="F67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46111</v>
      </c>
      <c r="G6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On Plan</v>
      </c>
      <c r="H67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0</v>
      </c>
    </row>
    <row r="68" spans="1:8" ht="14.25" customHeight="1">
      <c r="A6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D1-041</v>
      </c>
      <c r="B6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Concourse D</v>
      </c>
      <c r="C6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D2-094</v>
      </c>
      <c r="D6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Access Switch Type 4</v>
      </c>
      <c r="E68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1</v>
      </c>
      <c r="F68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46111</v>
      </c>
      <c r="G6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On Plan</v>
      </c>
      <c r="H68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0</v>
      </c>
    </row>
    <row r="69" spans="1:8" ht="14.25" customHeight="1">
      <c r="A6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D1-041</v>
      </c>
      <c r="B6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Concourse D</v>
      </c>
      <c r="C6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D2-094</v>
      </c>
      <c r="D6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Access Switch Type 2</v>
      </c>
      <c r="E69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1</v>
      </c>
      <c r="F69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46111</v>
      </c>
      <c r="G6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On Plan</v>
      </c>
      <c r="H69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0</v>
      </c>
    </row>
    <row r="70" spans="1:8" ht="14.25" customHeight="1">
      <c r="A7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D1-041</v>
      </c>
      <c r="B7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Concourse D</v>
      </c>
      <c r="C7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D2-105</v>
      </c>
      <c r="D7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Access Switch Type 4</v>
      </c>
      <c r="E70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1</v>
      </c>
      <c r="F70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46111</v>
      </c>
      <c r="G7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On Plan</v>
      </c>
      <c r="H70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0</v>
      </c>
    </row>
    <row r="71" spans="1:8" ht="14.25" customHeight="1">
      <c r="A7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D1-041</v>
      </c>
      <c r="B7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Concourse D</v>
      </c>
      <c r="C7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D2-105</v>
      </c>
      <c r="D7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Access Switch Type 2</v>
      </c>
      <c r="E71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2</v>
      </c>
      <c r="F71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46111</v>
      </c>
      <c r="G7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On Plan</v>
      </c>
      <c r="H71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0</v>
      </c>
    </row>
    <row r="72" spans="1:8" ht="14.25" customHeight="1">
      <c r="A7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D1-041</v>
      </c>
      <c r="B7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Concourse D</v>
      </c>
      <c r="C7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D3-031</v>
      </c>
      <c r="D7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Access Switch Type 4</v>
      </c>
      <c r="E72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2</v>
      </c>
      <c r="F72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46111</v>
      </c>
      <c r="G7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On Plan</v>
      </c>
      <c r="H72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0</v>
      </c>
    </row>
    <row r="73" spans="1:8" ht="14.25" customHeight="1">
      <c r="A7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D1-041</v>
      </c>
      <c r="B7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Concourse D</v>
      </c>
      <c r="C7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D3-031</v>
      </c>
      <c r="D7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Access Switch Type 2</v>
      </c>
      <c r="E73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2</v>
      </c>
      <c r="F73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46111</v>
      </c>
      <c r="G7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On Plan</v>
      </c>
      <c r="H73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0</v>
      </c>
    </row>
    <row r="74" spans="1:8" ht="14.25" customHeight="1">
      <c r="A7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D1-041</v>
      </c>
      <c r="B7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Concourse D</v>
      </c>
      <c r="C7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D4-009</v>
      </c>
      <c r="D7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Access Switch Type 4</v>
      </c>
      <c r="E74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1</v>
      </c>
      <c r="F74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46112</v>
      </c>
      <c r="G7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Success</v>
      </c>
      <c r="H74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0</v>
      </c>
    </row>
    <row r="75" spans="1:8" ht="14.25" customHeight="1">
      <c r="A7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D1-041</v>
      </c>
      <c r="B7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Concourse D</v>
      </c>
      <c r="C7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D4-009</v>
      </c>
      <c r="D7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Access Switch Type 2</v>
      </c>
      <c r="E75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1</v>
      </c>
      <c r="F75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46112</v>
      </c>
      <c r="G7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Success</v>
      </c>
      <c r="H75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0</v>
      </c>
    </row>
    <row r="76" spans="1:8" ht="14.25" customHeight="1">
      <c r="A7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D1-041</v>
      </c>
      <c r="B7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Concourse D</v>
      </c>
      <c r="C7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D4-074</v>
      </c>
      <c r="D7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Access Switch Type 2</v>
      </c>
      <c r="E76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1</v>
      </c>
      <c r="F76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46112</v>
      </c>
      <c r="G7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Success</v>
      </c>
      <c r="H76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0</v>
      </c>
    </row>
    <row r="77" spans="1:8" ht="14.25" customHeight="1">
      <c r="A7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D1-041</v>
      </c>
      <c r="B7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Concourse D</v>
      </c>
      <c r="C7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D4-081</v>
      </c>
      <c r="D7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Access Switch Type 2</v>
      </c>
      <c r="E77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1</v>
      </c>
      <c r="F77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46112</v>
      </c>
      <c r="G7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Success</v>
      </c>
      <c r="H77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0</v>
      </c>
    </row>
    <row r="78" spans="1:8" ht="14.25" customHeight="1">
      <c r="A7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D1-041</v>
      </c>
      <c r="B7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Concourse D</v>
      </c>
      <c r="C7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D4-065</v>
      </c>
      <c r="D7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Access Switch Type 4</v>
      </c>
      <c r="E78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1</v>
      </c>
      <c r="F78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46112</v>
      </c>
      <c r="G7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On Plan</v>
      </c>
      <c r="H78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0</v>
      </c>
    </row>
    <row r="79" spans="1:8" ht="14.25" customHeight="1">
      <c r="A7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D1-041</v>
      </c>
      <c r="B7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Concourse D</v>
      </c>
      <c r="C7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D4-065</v>
      </c>
      <c r="D7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Access Switch Type 2</v>
      </c>
      <c r="E79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1</v>
      </c>
      <c r="F79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46112</v>
      </c>
      <c r="G7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On Plan</v>
      </c>
      <c r="H79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0</v>
      </c>
    </row>
    <row r="80" spans="1:8" ht="14.25" customHeight="1">
      <c r="A8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D1-041</v>
      </c>
      <c r="B8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Concourse D</v>
      </c>
      <c r="C8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D4-075</v>
      </c>
      <c r="D8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Access Switch Type 2</v>
      </c>
      <c r="E80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1</v>
      </c>
      <c r="F80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46112</v>
      </c>
      <c r="G8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On Plan</v>
      </c>
      <c r="H80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0</v>
      </c>
    </row>
    <row r="81" spans="1:8" ht="14.25" customHeight="1">
      <c r="A8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D1-041</v>
      </c>
      <c r="B8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Concourse D</v>
      </c>
      <c r="C8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D4-082</v>
      </c>
      <c r="D8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Access Switch Type 2</v>
      </c>
      <c r="E81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1</v>
      </c>
      <c r="F81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46112</v>
      </c>
      <c r="G8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On Plan</v>
      </c>
      <c r="H81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0</v>
      </c>
    </row>
    <row r="82" spans="1:8" ht="14.25" customHeight="1">
      <c r="A8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D1-041</v>
      </c>
      <c r="B8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Concourse D</v>
      </c>
      <c r="C8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D4-083</v>
      </c>
      <c r="D8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Access Switch Type 2</v>
      </c>
      <c r="E82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1</v>
      </c>
      <c r="F82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46112</v>
      </c>
      <c r="G8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On Plan</v>
      </c>
      <c r="H82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0</v>
      </c>
    </row>
    <row r="83" spans="1:8" ht="14.25" customHeight="1">
      <c r="A8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D1-041</v>
      </c>
      <c r="B8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AIMS</v>
      </c>
      <c r="C8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-</v>
      </c>
      <c r="D8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Access Point</v>
      </c>
      <c r="E83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19</v>
      </c>
      <c r="F83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46113</v>
      </c>
      <c r="G8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On Plan</v>
      </c>
      <c r="H83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0</v>
      </c>
    </row>
    <row r="84" spans="1:8" ht="14.25" customHeight="1">
      <c r="A8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D1-041</v>
      </c>
      <c r="B8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AIMS</v>
      </c>
      <c r="C8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AOCC Room</v>
      </c>
      <c r="D8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Access Switch Type 2</v>
      </c>
      <c r="E84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2</v>
      </c>
      <c r="F84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46114</v>
      </c>
      <c r="G8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Success</v>
      </c>
      <c r="H84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0</v>
      </c>
    </row>
    <row r="85" spans="1:8" ht="14.25" customHeight="1">
      <c r="A8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D1-041</v>
      </c>
      <c r="B8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AIMS</v>
      </c>
      <c r="C8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AOCC Room</v>
      </c>
      <c r="D8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Access Switch Type 4</v>
      </c>
      <c r="E85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1</v>
      </c>
      <c r="F85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46114</v>
      </c>
      <c r="G8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On Plan</v>
      </c>
      <c r="H85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0</v>
      </c>
    </row>
    <row r="86" spans="1:8" ht="14.25" customHeight="1">
      <c r="A8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D1-041</v>
      </c>
      <c r="B8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AIMS</v>
      </c>
      <c r="C8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BTL Room</v>
      </c>
      <c r="D8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Access Switch Type 2</v>
      </c>
      <c r="E86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2</v>
      </c>
      <c r="F86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46114</v>
      </c>
      <c r="G8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On Plan</v>
      </c>
      <c r="H86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0</v>
      </c>
    </row>
    <row r="87" spans="1:8" ht="14.25" customHeight="1">
      <c r="A8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D1-041</v>
      </c>
      <c r="B8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AIMS</v>
      </c>
      <c r="C8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CCC Room</v>
      </c>
      <c r="D8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Access Switch Type 4</v>
      </c>
      <c r="E87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1</v>
      </c>
      <c r="F87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46114</v>
      </c>
      <c r="G8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On Plan</v>
      </c>
      <c r="H87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0</v>
      </c>
    </row>
    <row r="88" spans="1:8" ht="14.25" customHeight="1">
      <c r="A8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D1-041</v>
      </c>
      <c r="B8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AIMS</v>
      </c>
      <c r="C8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CCC Room</v>
      </c>
      <c r="D8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Access Switch Type 2</v>
      </c>
      <c r="E88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1</v>
      </c>
      <c r="F88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46114</v>
      </c>
      <c r="G8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On Plan</v>
      </c>
      <c r="H88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0</v>
      </c>
    </row>
    <row r="89" spans="1:8" ht="14.25" customHeight="1">
      <c r="A8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/>
      </c>
      <c r="B8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/>
      </c>
      <c r="C8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/>
      </c>
      <c r="D8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/>
      </c>
      <c r="E89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/>
      </c>
      <c r="F89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/>
      </c>
      <c r="G8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/>
      </c>
      <c r="H89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/>
      </c>
    </row>
    <row r="90" spans="1:8" ht="14.25" customHeight="1">
      <c r="A9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/>
      </c>
      <c r="B9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/>
      </c>
      <c r="C9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/>
      </c>
      <c r="D9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/>
      </c>
      <c r="E90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/>
      </c>
      <c r="F90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/>
      </c>
      <c r="G9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/>
      </c>
      <c r="H90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/>
      </c>
    </row>
    <row r="91" spans="1:8" ht="14.25" customHeight="1">
      <c r="A9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/>
      </c>
      <c r="B9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/>
      </c>
      <c r="C9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/>
      </c>
      <c r="D9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/>
      </c>
      <c r="E91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/>
      </c>
      <c r="F91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/>
      </c>
      <c r="G9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/>
      </c>
      <c r="H91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/>
      </c>
    </row>
    <row r="92" spans="1:8" ht="14.25" customHeight="1">
      <c r="A9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/>
      </c>
      <c r="B9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/>
      </c>
      <c r="C9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/>
      </c>
      <c r="D9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/>
      </c>
      <c r="E92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/>
      </c>
      <c r="F92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/>
      </c>
      <c r="G9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/>
      </c>
      <c r="H92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/>
      </c>
    </row>
    <row r="93" spans="1:8" ht="14.25" customHeight="1">
      <c r="A9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/>
      </c>
      <c r="B9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/>
      </c>
      <c r="C9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/>
      </c>
      <c r="D9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/>
      </c>
      <c r="E93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/>
      </c>
      <c r="F93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/>
      </c>
      <c r="G9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/>
      </c>
      <c r="H93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/>
      </c>
    </row>
    <row r="94" spans="1:8" ht="15" customHeight="1">
      <c r="A9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32),"")</f>
        <v/>
      </c>
      <c r="F94" s="31"/>
    </row>
    <row r="95" spans="1:8" ht="14.25" customHeight="1">
      <c r="A9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/>
      </c>
      <c r="B9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/>
      </c>
      <c r="C9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/>
      </c>
      <c r="D9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/>
      </c>
      <c r="E95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/>
      </c>
      <c r="F95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/>
      </c>
      <c r="G9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/>
      </c>
      <c r="H95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/>
      </c>
    </row>
    <row r="96" spans="1:8" ht="14.25" customHeight="1">
      <c r="A9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/>
      </c>
      <c r="B9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/>
      </c>
      <c r="C9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/>
      </c>
      <c r="D9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/>
      </c>
      <c r="E96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/>
      </c>
      <c r="F96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/>
      </c>
      <c r="G9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/>
      </c>
      <c r="H96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/>
      </c>
    </row>
    <row r="97" spans="1:8" ht="14.25" customHeight="1">
      <c r="A9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/>
      </c>
      <c r="B9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/>
      </c>
      <c r="C9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/>
      </c>
      <c r="D9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/>
      </c>
      <c r="E97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/>
      </c>
      <c r="F97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/>
      </c>
      <c r="G9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/>
      </c>
      <c r="H97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/>
      </c>
    </row>
    <row r="98" spans="1:8" ht="14.25" customHeight="1">
      <c r="A9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/>
      </c>
      <c r="B9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/>
      </c>
      <c r="C9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/>
      </c>
      <c r="D9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/>
      </c>
      <c r="E98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/>
      </c>
      <c r="F98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/>
      </c>
      <c r="G9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/>
      </c>
      <c r="H98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/>
      </c>
    </row>
    <row r="99" spans="1:8" ht="14.25" customHeight="1">
      <c r="A9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/>
      </c>
      <c r="B9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/>
      </c>
      <c r="C9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/>
      </c>
      <c r="D9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/>
      </c>
      <c r="E99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/>
      </c>
      <c r="F99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/>
      </c>
      <c r="G9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/>
      </c>
      <c r="H99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/>
      </c>
    </row>
    <row r="100" spans="1:8" ht="14.25" customHeight="1">
      <c r="A10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/>
      </c>
      <c r="B10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/>
      </c>
      <c r="C10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/>
      </c>
      <c r="D10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/>
      </c>
      <c r="E100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/>
      </c>
      <c r="F100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/>
      </c>
      <c r="G10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/>
      </c>
      <c r="H100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/>
      </c>
    </row>
    <row r="101" spans="1:8" ht="14.25" customHeight="1">
      <c r="A10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/>
      </c>
      <c r="B10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/>
      </c>
      <c r="C10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/>
      </c>
      <c r="D10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/>
      </c>
      <c r="E101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/>
      </c>
      <c r="F101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/>
      </c>
      <c r="G10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/>
      </c>
      <c r="H101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/>
      </c>
    </row>
    <row r="102" spans="1:8" ht="14.25" customHeight="1">
      <c r="A10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/>
      </c>
      <c r="B10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/>
      </c>
      <c r="C10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/>
      </c>
      <c r="D10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/>
      </c>
      <c r="E102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/>
      </c>
      <c r="F102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/>
      </c>
      <c r="G10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/>
      </c>
      <c r="H102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/>
      </c>
    </row>
    <row r="103" spans="1:8" ht="14.25" customHeight="1">
      <c r="A10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/>
      </c>
      <c r="B10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/>
      </c>
      <c r="C10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/>
      </c>
      <c r="D10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/>
      </c>
      <c r="E103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/>
      </c>
      <c r="F103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/>
      </c>
      <c r="G10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/>
      </c>
      <c r="H103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/>
      </c>
    </row>
    <row r="104" spans="1:8" ht="14.25" customHeight="1">
      <c r="A10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/>
      </c>
      <c r="B10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/>
      </c>
      <c r="C10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/>
      </c>
      <c r="D10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/>
      </c>
      <c r="E104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/>
      </c>
      <c r="F104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/>
      </c>
      <c r="G10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/>
      </c>
      <c r="H104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/>
      </c>
    </row>
    <row r="105" spans="1:8" ht="14.25" customHeight="1">
      <c r="A10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/>
      </c>
      <c r="B10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/>
      </c>
      <c r="C10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/>
      </c>
      <c r="D10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/>
      </c>
      <c r="E105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/>
      </c>
      <c r="F105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/>
      </c>
      <c r="G10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/>
      </c>
      <c r="H105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/>
      </c>
    </row>
    <row r="106" spans="1:8" ht="15" customHeight="1">
      <c r="A10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/>
      </c>
      <c r="B10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/>
      </c>
      <c r="C10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/>
      </c>
      <c r="D10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/>
      </c>
      <c r="E106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/>
      </c>
      <c r="F106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/>
      </c>
      <c r="G10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/>
      </c>
      <c r="H106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/>
      </c>
    </row>
    <row r="107" spans="1:8" ht="14.25" customHeight="1">
      <c r="A10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/>
      </c>
      <c r="B10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/>
      </c>
      <c r="C10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/>
      </c>
      <c r="D10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/>
      </c>
      <c r="E107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/>
      </c>
      <c r="F107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/>
      </c>
      <c r="G10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/>
      </c>
      <c r="H107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/>
      </c>
    </row>
    <row r="108" spans="1:8" ht="14.25" customHeight="1">
      <c r="A10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/>
      </c>
      <c r="B10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/>
      </c>
      <c r="C10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/>
      </c>
      <c r="D10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/>
      </c>
      <c r="E108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/>
      </c>
      <c r="F108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/>
      </c>
      <c r="G10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/>
      </c>
      <c r="H108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/>
      </c>
    </row>
    <row r="109" spans="1:8" ht="14.25" customHeight="1">
      <c r="A10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  <c r="B10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  <c r="C10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  <c r="D10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  <c r="E109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  <c r="F109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  <c r="G10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  <c r="H109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</row>
    <row r="110" spans="1:8" ht="14.25" customHeight="1">
      <c r="A11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  <c r="B11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  <c r="C11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  <c r="D11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  <c r="E110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  <c r="F110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  <c r="G11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  <c r="H110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</row>
    <row r="111" spans="1:8" ht="14.25" customHeight="1">
      <c r="A11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B11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C11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D11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E111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F111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G11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H111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</row>
    <row r="112" spans="1:8" ht="14.25" customHeight="1">
      <c r="A11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B11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C11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D11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E112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F112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G11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H112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</row>
    <row r="113" spans="1:10" ht="14.25" customHeight="1">
      <c r="A11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B11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C11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D11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E113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F113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G11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H113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</row>
    <row r="114" spans="1:10" ht="14.25" customHeight="1">
      <c r="A11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B11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C11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D11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E114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F114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G11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H114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</row>
    <row r="115" spans="1:10" ht="14.25" customHeight="1">
      <c r="A11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B11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C11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D11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E115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F115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G11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H115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</row>
    <row r="116" spans="1:10" ht="14.25" customHeight="1">
      <c r="A11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54),"")</f>
        <v/>
      </c>
      <c r="F116" s="31"/>
    </row>
    <row r="117" spans="1:10" ht="14.25" customHeight="1">
      <c r="A11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B11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C11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D11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E117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F117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G11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H117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</row>
    <row r="118" spans="1:10" ht="14.25" customHeight="1">
      <c r="A11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B11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C11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D11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E118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F118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G11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H118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</row>
    <row r="119" spans="1:10" ht="14.25" customHeight="1">
      <c r="A11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B11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C11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D11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E119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F119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G11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H119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</row>
    <row r="120" spans="1:10" ht="14.25" customHeight="1">
      <c r="A12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B12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C12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D12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E120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F120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G12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H120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</row>
    <row r="121" spans="1:10" ht="14.25" customHeight="1">
      <c r="A12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B12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C12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D12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E121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F121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G12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H121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</row>
    <row r="122" spans="1:10" ht="14.25" customHeight="1">
      <c r="A12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B12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C12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D12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E122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F122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G12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H122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</row>
    <row r="123" spans="1:10" ht="14.25" customHeight="1">
      <c r="A12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B12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C12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D12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E123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F123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G12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H123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</row>
    <row r="124" spans="1:10" ht="14.25" customHeight="1">
      <c r="A12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B12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C12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D12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E124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F124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G12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H124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</row>
    <row r="125" spans="1:10" ht="14.25" customHeight="1">
      <c r="A12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B12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C12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D12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E125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F125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G12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H125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</row>
    <row r="126" spans="1:10" ht="14.25" customHeight="1">
      <c r="A12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B12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C12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D12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E126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F126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G12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H126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</row>
    <row r="127" spans="1:10" ht="14.25" customHeight="1">
      <c r="A12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B12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C12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D12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E127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F127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G12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H127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</row>
    <row r="128" spans="1:10" ht="14.25" customHeight="1">
      <c r="A128" s="95" t="s">
        <v>63</v>
      </c>
      <c r="B128" s="95"/>
      <c r="C128" s="95"/>
      <c r="D128" s="95"/>
      <c r="E128" s="95"/>
      <c r="F128" s="95"/>
      <c r="G128" s="95"/>
      <c r="H128" s="95"/>
      <c r="I128" s="95"/>
      <c r="J128" s="95"/>
    </row>
    <row r="129" spans="1:8" ht="14.25" customHeight="1">
      <c r="A129" s="12" t="s">
        <v>12</v>
      </c>
      <c r="B129" s="12" t="s">
        <v>56</v>
      </c>
      <c r="C129" s="12" t="s">
        <v>57</v>
      </c>
      <c r="D129" s="12" t="s">
        <v>58</v>
      </c>
      <c r="E129" s="12" t="s">
        <v>59</v>
      </c>
      <c r="F129" s="12" t="s">
        <v>60</v>
      </c>
      <c r="G129" s="12" t="s">
        <v>61</v>
      </c>
      <c r="H129" s="12" t="s">
        <v>64</v>
      </c>
    </row>
    <row r="130" spans="1:8" ht="14.25" customHeight="1">
      <c r="A130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IFERROR(INDEX(_xlfn.SORTBY(_xlfn._xlws.FILTER(All_Detail!B$2:B$740,(All_Detail!I$2:I$740&lt;TODAY())*(All_Detail!J$2:J$740&lt;&gt;"Success")),_xlfn._xlws.FILTER(All_Detail!I$2:I$740,(All_Detail!I$2:I$740&lt;TODAY())*(All_Detail!J$2:J$740&lt;&gt;"Success")),1),1),"")</f>
        <v>CFZ</v>
      </c>
      <c r="B130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IFERROR(INDEX(_xlfn.SORTBY(_xlfn._xlws.FILTER(All_Detail!C$2:C$740,(All_Detail!I$2:I$740&lt;TODAY())*(All_Detail!J$2:J$740&lt;&gt;"Success")),_xlfn._xlws.FILTER(All_Detail!I$2:I$740,(All_Detail!I$2:I$740&lt;TODAY())*(All_Detail!J$2:J$740&lt;&gt;"Success")),1),1),"")</f>
        <v>FZ Service Center</v>
      </c>
      <c r="C130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IFERROR(INDEX(_xlfn.SORTBY(_xlfn._xlws.FILTER(All_Detail!D$2:D$740,(All_Detail!I$2:I$740&lt;TODAY())*(All_Detail!J$2:J$740&lt;&gt;"Success")),_xlfn._xlws.FILTER(All_Detail!I$2:I$740,(All_Detail!I$2:I$740&lt;TODAY())*(All_Detail!J$2:J$740&lt;&gt;"Success")),1),1),"")</f>
        <v>Core Node 7</v>
      </c>
      <c r="D130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IFERROR(INDEX(_xlfn.SORTBY(_xlfn._xlws.FILTER(All_Detail!E$2:E$740,(All_Detail!I$2:I$740&lt;TODAY())*(All_Detail!J$2:J$740&lt;&gt;"Success")),_xlfn._xlws.FILTER(All_Detail!I$2:I$740,(All_Detail!I$2:I$740&lt;TODAY())*(All_Detail!J$2:J$740&lt;&gt;"Success")),1),1),"")</f>
        <v>Aggregation Switch Type 3</v>
      </c>
      <c r="E130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IFERROR(INDEX(_xlfn.SORTBY(_xlfn._xlws.FILTER(All_Detail!F$2:F$740,(All_Detail!I$2:I$740&lt;TODAY())*(All_Detail!J$2:J$740&lt;&gt;"Success")),_xlfn._xlws.FILTER(All_Detail!I$2:I$740,(All_Detail!I$2:I$740&lt;TODAY())*(All_Detail!J$2:J$740&lt;&gt;"Success")),1),1),"")</f>
        <v>2</v>
      </c>
      <c r="F130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IFERROR(INDEX(_xlfn.SORTBY(_xlfn._xlws.FILTER(All_Detail!I$2:I$740,(All_Detail!I$2:I$740&lt;TODAY())*(All_Detail!J$2:J$740&lt;&gt;"Success")),_xlfn._xlws.FILTER(All_Detail!I$2:I$740,(All_Detail!I$2:I$740&lt;TODAY())*(All_Detail!J$2:J$740&lt;&gt;"Success")),1),1),"")</f>
        <v>46104</v>
      </c>
      <c r="G130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IFERROR(INDEX(_xlfn.SORTBY(_xlfn._xlws.FILTER(All_Detail!J$2:J$740,(All_Detail!I$2:I$740&lt;TODAY())*(All_Detail!J$2:J$740&lt;&gt;"Success")),_xlfn._xlws.FILTER(All_Detail!I$2:I$740,(All_Detail!I$2:I$740&lt;TODAY())*(All_Detail!J$2:J$740&lt;&gt;"Success")),1),1),"")</f>
        <v>On Plan</v>
      </c>
      <c r="H130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IFERROR(INDEX(_xlfn.SORTBY(_xlfn._xlws.FILTER(TODAY()-All_Detail!I$2:I$740,(All_Detail!I$2:I$740&lt;TODAY())*(All_Detail!J$2:J$740&lt;&gt;"Success")),_xlfn._xlws.FILTER(All_Detail!I$2:I$740,(All_Detail!I$2:I$740&lt;TODAY())*(All_Detail!J$2:J$740&lt;&gt;"Success")),1),1),"")</f>
        <v>9</v>
      </c>
    </row>
    <row r="131" spans="1:8" ht="14.25" customHeight="1">
      <c r="A131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IFERROR(INDEX(_xlfn.SORTBY(_xlfn._xlws.FILTER(All_Detail!B$2:B$740,(All_Detail!I$2:I$740&lt;TODAY())*(All_Detail!J$2:J$740&lt;&gt;"Success")),_xlfn._xlws.FILTER(All_Detail!I$2:I$740,(All_Detail!I$2:I$740&lt;TODAY())*(All_Detail!J$2:J$740&lt;&gt;"Success")),1),2),"")</f>
        <v>CFZ</v>
      </c>
      <c r="B131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IFERROR(INDEX(_xlfn.SORTBY(_xlfn._xlws.FILTER(All_Detail!C$2:C$740,(All_Detail!I$2:I$740&lt;TODAY())*(All_Detail!J$2:J$740&lt;&gt;"Success")),_xlfn._xlws.FILTER(All_Detail!I$2:I$740,(All_Detail!I$2:I$740&lt;TODAY())*(All_Detail!J$2:J$740&lt;&gt;"Success")),1),2),"")</f>
        <v>Power house 19R</v>
      </c>
      <c r="C131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IFERROR(INDEX(_xlfn.SORTBY(_xlfn._xlws.FILTER(All_Detail!D$2:D$740,(All_Detail!I$2:I$740&lt;TODAY())*(All_Detail!J$2:J$740&lt;&gt;"Success")),_xlfn._xlws.FILTER(All_Detail!I$2:I$740,(All_Detail!I$2:I$740&lt;TODAY())*(All_Detail!J$2:J$740&lt;&gt;"Success")),1),2),"")</f>
        <v>-</v>
      </c>
      <c r="D131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IFERROR(INDEX(_xlfn.SORTBY(_xlfn._xlws.FILTER(All_Detail!E$2:E$740,(All_Detail!I$2:I$740&lt;TODAY())*(All_Detail!J$2:J$740&lt;&gt;"Success")),_xlfn._xlws.FILTER(All_Detail!I$2:I$740,(All_Detail!I$2:I$740&lt;TODAY())*(All_Detail!J$2:J$740&lt;&gt;"Success")),1),2),"")</f>
        <v>Access Point</v>
      </c>
      <c r="E131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IFERROR(INDEX(_xlfn.SORTBY(_xlfn._xlws.FILTER(All_Detail!F$2:F$740,(All_Detail!I$2:I$740&lt;TODAY())*(All_Detail!J$2:J$740&lt;&gt;"Success")),_xlfn._xlws.FILTER(All_Detail!I$2:I$740,(All_Detail!I$2:I$740&lt;TODAY())*(All_Detail!J$2:J$740&lt;&gt;"Success")),1),2),"")</f>
        <v>1</v>
      </c>
      <c r="F131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IFERROR(INDEX(_xlfn.SORTBY(_xlfn._xlws.FILTER(All_Detail!I$2:I$740,(All_Detail!I$2:I$740&lt;TODAY())*(All_Detail!J$2:J$740&lt;&gt;"Success")),_xlfn._xlws.FILTER(All_Detail!I$2:I$740,(All_Detail!I$2:I$740&lt;TODAY())*(All_Detail!J$2:J$740&lt;&gt;"Success")),1),2),"")</f>
        <v>46104</v>
      </c>
      <c r="G131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IFERROR(INDEX(_xlfn.SORTBY(_xlfn._xlws.FILTER(All_Detail!J$2:J$740,(All_Detail!I$2:I$740&lt;TODAY())*(All_Detail!J$2:J$740&lt;&gt;"Success")),_xlfn._xlws.FILTER(All_Detail!I$2:I$740,(All_Detail!I$2:I$740&lt;TODAY())*(All_Detail!J$2:J$740&lt;&gt;"Success")),1),2),"")</f>
        <v>On Plan</v>
      </c>
      <c r="H131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IFERROR(INDEX(_xlfn.SORTBY(_xlfn._xlws.FILTER(TODAY()-All_Detail!I$2:I$740,(All_Detail!I$2:I$740&lt;TODAY())*(All_Detail!J$2:J$740&lt;&gt;"Success")),_xlfn._xlws.FILTER(All_Detail!I$2:I$740,(All_Detail!I$2:I$740&lt;TODAY())*(All_Detail!J$2:J$740&lt;&gt;"Success")),1),2),"")</f>
        <v>9</v>
      </c>
    </row>
    <row r="132" spans="1:8" ht="14.25" customHeight="1">
      <c r="A132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IFERROR(INDEX(_xlfn.SORTBY(_xlfn._xlws.FILTER(All_Detail!B$2:B$740,(All_Detail!I$2:I$740&lt;TODAY())*(All_Detail!J$2:J$740&lt;&gt;"Success")),_xlfn._xlws.FILTER(All_Detail!I$2:I$740,(All_Detail!I$2:I$740&lt;TODAY())*(All_Detail!J$2:J$740&lt;&gt;"Success")),1),3),"")</f>
        <v>CFZ</v>
      </c>
      <c r="B132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IFERROR(INDEX(_xlfn.SORTBY(_xlfn._xlws.FILTER(All_Detail!C$2:C$740,(All_Detail!I$2:I$740&lt;TODAY())*(All_Detail!J$2:J$740&lt;&gt;"Success")),_xlfn._xlws.FILTER(All_Detail!I$2:I$740,(All_Detail!I$2:I$740&lt;TODAY())*(All_Detail!J$2:J$740&lt;&gt;"Success")),1),3),"")</f>
        <v>อาคารกรมศุลกากรคลองเตย</v>
      </c>
      <c r="C132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IFERROR(INDEX(_xlfn.SORTBY(_xlfn._xlws.FILTER(All_Detail!D$2:D$740,(All_Detail!I$2:I$740&lt;TODAY())*(All_Detail!J$2:J$740&lt;&gt;"Success")),_xlfn._xlws.FILTER(All_Detail!I$2:I$740,(All_Detail!I$2:I$740&lt;TODAY())*(All_Detail!J$2:J$740&lt;&gt;"Success")),1),3),"")</f>
        <v>Data Center</v>
      </c>
      <c r="D132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IFERROR(INDEX(_xlfn.SORTBY(_xlfn._xlws.FILTER(All_Detail!E$2:E$740,(All_Detail!I$2:I$740&lt;TODAY())*(All_Detail!J$2:J$740&lt;&gt;"Success")),_xlfn._xlws.FILTER(All_Detail!I$2:I$740,(All_Detail!I$2:I$740&lt;TODAY())*(All_Detail!J$2:J$740&lt;&gt;"Success")),1),3),"")</f>
        <v>Router</v>
      </c>
      <c r="E132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IFERROR(INDEX(_xlfn.SORTBY(_xlfn._xlws.FILTER(All_Detail!F$2:F$740,(All_Detail!I$2:I$740&lt;TODAY())*(All_Detail!J$2:J$740&lt;&gt;"Success")),_xlfn._xlws.FILTER(All_Detail!I$2:I$740,(All_Detail!I$2:I$740&lt;TODAY())*(All_Detail!J$2:J$740&lt;&gt;"Success")),1),3),"")</f>
        <v>2</v>
      </c>
      <c r="F132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IFERROR(INDEX(_xlfn.SORTBY(_xlfn._xlws.FILTER(All_Detail!I$2:I$740,(All_Detail!I$2:I$740&lt;TODAY())*(All_Detail!J$2:J$740&lt;&gt;"Success")),_xlfn._xlws.FILTER(All_Detail!I$2:I$740,(All_Detail!I$2:I$740&lt;TODAY())*(All_Detail!J$2:J$740&lt;&gt;"Success")),1),3),"")</f>
        <v>46104</v>
      </c>
      <c r="G132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IFERROR(INDEX(_xlfn.SORTBY(_xlfn._xlws.FILTER(All_Detail!J$2:J$740,(All_Detail!I$2:I$740&lt;TODAY())*(All_Detail!J$2:J$740&lt;&gt;"Success")),_xlfn._xlws.FILTER(All_Detail!I$2:I$740,(All_Detail!I$2:I$740&lt;TODAY())*(All_Detail!J$2:J$740&lt;&gt;"Success")),1),3),"")</f>
        <v>On Plan</v>
      </c>
      <c r="H132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IFERROR(INDEX(_xlfn.SORTBY(_xlfn._xlws.FILTER(TODAY()-All_Detail!I$2:I$740,(All_Detail!I$2:I$740&lt;TODAY())*(All_Detail!J$2:J$740&lt;&gt;"Success")),_xlfn._xlws.FILTER(All_Detail!I$2:I$740,(All_Detail!I$2:I$740&lt;TODAY())*(All_Detail!J$2:J$740&lt;&gt;"Success")),1),3),"")</f>
        <v>9</v>
      </c>
    </row>
    <row r="133" spans="1:8" ht="14.25" customHeight="1">
      <c r="A133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IFERROR(INDEX(_xlfn.SORTBY(_xlfn._xlws.FILTER(All_Detail!B$2:B$740,(All_Detail!I$2:I$740&lt;TODAY())*(All_Detail!J$2:J$740&lt;&gt;"Success")),_xlfn._xlws.FILTER(All_Detail!I$2:I$740,(All_Detail!I$2:I$740&lt;TODAY())*(All_Detail!J$2:J$740&lt;&gt;"Success")),1),4),"")</f>
        <v>CFZ</v>
      </c>
      <c r="B133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IFERROR(INDEX(_xlfn.SORTBY(_xlfn._xlws.FILTER(All_Detail!C$2:C$740,(All_Detail!I$2:I$740&lt;TODAY())*(All_Detail!J$2:J$740&lt;&gt;"Success")),_xlfn._xlws.FILTER(All_Detail!I$2:I$740,(All_Detail!I$2:I$740&lt;TODAY())*(All_Detail!J$2:J$740&lt;&gt;"Success")),1),4),"")</f>
        <v>Airmail</v>
      </c>
      <c r="C133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IFERROR(INDEX(_xlfn.SORTBY(_xlfn._xlws.FILTER(All_Detail!D$2:D$740,(All_Detail!I$2:I$740&lt;TODAY())*(All_Detail!J$2:J$740&lt;&gt;"Success")),_xlfn._xlws.FILTER(All_Detail!I$2:I$740,(All_Detail!I$2:I$740&lt;TODAY())*(All_Detail!J$2:J$740&lt;&gt;"Success")),1),4),"")</f>
        <v>High Voltage Electrical Room</v>
      </c>
      <c r="D133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IFERROR(INDEX(_xlfn.SORTBY(_xlfn._xlws.FILTER(All_Detail!E$2:E$740,(All_Detail!I$2:I$740&lt;TODAY())*(All_Detail!J$2:J$740&lt;&gt;"Success")),_xlfn._xlws.FILTER(All_Detail!I$2:I$740,(All_Detail!I$2:I$740&lt;TODAY())*(All_Detail!J$2:J$740&lt;&gt;"Success")),1),4),"")</f>
        <v>Access Switch Type 2</v>
      </c>
      <c r="E133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IFERROR(INDEX(_xlfn.SORTBY(_xlfn._xlws.FILTER(All_Detail!F$2:F$740,(All_Detail!I$2:I$740&lt;TODAY())*(All_Detail!J$2:J$740&lt;&gt;"Success")),_xlfn._xlws.FILTER(All_Detail!I$2:I$740,(All_Detail!I$2:I$740&lt;TODAY())*(All_Detail!J$2:J$740&lt;&gt;"Success")),1),4),"")</f>
        <v>2</v>
      </c>
      <c r="F133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IFERROR(INDEX(_xlfn.SORTBY(_xlfn._xlws.FILTER(All_Detail!I$2:I$740,(All_Detail!I$2:I$740&lt;TODAY())*(All_Detail!J$2:J$740&lt;&gt;"Success")),_xlfn._xlws.FILTER(All_Detail!I$2:I$740,(All_Detail!I$2:I$740&lt;TODAY())*(All_Detail!J$2:J$740&lt;&gt;"Success")),1),4),"")</f>
        <v>46104</v>
      </c>
      <c r="G133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IFERROR(INDEX(_xlfn.SORTBY(_xlfn._xlws.FILTER(All_Detail!J$2:J$740,(All_Detail!I$2:I$740&lt;TODAY())*(All_Detail!J$2:J$740&lt;&gt;"Success")),_xlfn._xlws.FILTER(All_Detail!I$2:I$740,(All_Detail!I$2:I$740&lt;TODAY())*(All_Detail!J$2:J$740&lt;&gt;"Success")),1),4),"")</f>
        <v>On Plan</v>
      </c>
      <c r="H133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IFERROR(INDEX(_xlfn.SORTBY(_xlfn._xlws.FILTER(TODAY()-All_Detail!I$2:I$740,(All_Detail!I$2:I$740&lt;TODAY())*(All_Detail!J$2:J$740&lt;&gt;"Success")),_xlfn._xlws.FILTER(All_Detail!I$2:I$740,(All_Detail!I$2:I$740&lt;TODAY())*(All_Detail!J$2:J$740&lt;&gt;"Success")),1),4),"")</f>
        <v>9</v>
      </c>
    </row>
    <row r="134" spans="1:8" ht="14.25" customHeight="1">
      <c r="A134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IFERROR(INDEX(_xlfn.SORTBY(_xlfn._xlws.FILTER(All_Detail!B$2:B$740,(All_Detail!I$2:I$740&lt;TODAY())*(All_Detail!J$2:J$740&lt;&gt;"Success")),_xlfn._xlws.FILTER(All_Detail!I$2:I$740,(All_Detail!I$2:I$740&lt;TODAY())*(All_Detail!J$2:J$740&lt;&gt;"Success")),1),5),"")</f>
        <v>CFZ</v>
      </c>
      <c r="B134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IFERROR(INDEX(_xlfn.SORTBY(_xlfn._xlws.FILTER(All_Detail!C$2:C$740,(All_Detail!I$2:I$740&lt;TODAY())*(All_Detail!J$2:J$740&lt;&gt;"Success")),_xlfn._xlws.FILTER(All_Detail!I$2:I$740,(All_Detail!I$2:I$740&lt;TODAY())*(All_Detail!J$2:J$740&lt;&gt;"Success")),1),5),"")</f>
        <v>BFS-Cargo</v>
      </c>
      <c r="C134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IFERROR(INDEX(_xlfn.SORTBY(_xlfn._xlws.FILTER(All_Detail!D$2:D$740,(All_Detail!I$2:I$740&lt;TODAY())*(All_Detail!J$2:J$740&lt;&gt;"Success")),_xlfn._xlws.FILTER(All_Detail!I$2:I$740,(All_Detail!I$2:I$740&lt;TODAY())*(All_Detail!J$2:J$740&lt;&gt;"Success")),1),5),"")</f>
        <v>Server Room</v>
      </c>
      <c r="D134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IFERROR(INDEX(_xlfn.SORTBY(_xlfn._xlws.FILTER(All_Detail!E$2:E$740,(All_Detail!I$2:I$740&lt;TODAY())*(All_Detail!J$2:J$740&lt;&gt;"Success")),_xlfn._xlws.FILTER(All_Detail!I$2:I$740,(All_Detail!I$2:I$740&lt;TODAY())*(All_Detail!J$2:J$740&lt;&gt;"Success")),1),5),"")</f>
        <v>Access Switch Type 2</v>
      </c>
      <c r="E134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IFERROR(INDEX(_xlfn.SORTBY(_xlfn._xlws.FILTER(All_Detail!F$2:F$740,(All_Detail!I$2:I$740&lt;TODAY())*(All_Detail!J$2:J$740&lt;&gt;"Success")),_xlfn._xlws.FILTER(All_Detail!I$2:I$740,(All_Detail!I$2:I$740&lt;TODAY())*(All_Detail!J$2:J$740&lt;&gt;"Success")),1),5),"")</f>
        <v>2</v>
      </c>
      <c r="F134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IFERROR(INDEX(_xlfn.SORTBY(_xlfn._xlws.FILTER(All_Detail!I$2:I$740,(All_Detail!I$2:I$740&lt;TODAY())*(All_Detail!J$2:J$740&lt;&gt;"Success")),_xlfn._xlws.FILTER(All_Detail!I$2:I$740,(All_Detail!I$2:I$740&lt;TODAY())*(All_Detail!J$2:J$740&lt;&gt;"Success")),1),5),"")</f>
        <v>46104</v>
      </c>
      <c r="G134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IFERROR(INDEX(_xlfn.SORTBY(_xlfn._xlws.FILTER(All_Detail!J$2:J$740,(All_Detail!I$2:I$740&lt;TODAY())*(All_Detail!J$2:J$740&lt;&gt;"Success")),_xlfn._xlws.FILTER(All_Detail!I$2:I$740,(All_Detail!I$2:I$740&lt;TODAY())*(All_Detail!J$2:J$740&lt;&gt;"Success")),1),5),"")</f>
        <v>On Plan</v>
      </c>
      <c r="H134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IFERROR(INDEX(_xlfn.SORTBY(_xlfn._xlws.FILTER(TODAY()-All_Detail!I$2:I$740,(All_Detail!I$2:I$740&lt;TODAY())*(All_Detail!J$2:J$740&lt;&gt;"Success")),_xlfn._xlws.FILTER(All_Detail!I$2:I$740,(All_Detail!I$2:I$740&lt;TODAY())*(All_Detail!J$2:J$740&lt;&gt;"Success")),1),5),"")</f>
        <v>9</v>
      </c>
    </row>
    <row r="135" spans="1:8" ht="14.25" customHeight="1">
      <c r="A135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IFERROR(INDEX(_xlfn.SORTBY(_xlfn._xlws.FILTER(All_Detail!B$2:B$740,(All_Detail!I$2:I$740&lt;TODAY())*(All_Detail!J$2:J$740&lt;&gt;"Success")),_xlfn._xlws.FILTER(All_Detail!I$2:I$740,(All_Detail!I$2:I$740&lt;TODAY())*(All_Detail!J$2:J$740&lt;&gt;"Success")),1),6),"")</f>
        <v>CFZ</v>
      </c>
      <c r="B135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IFERROR(INDEX(_xlfn.SORTBY(_xlfn._xlws.FILTER(All_Detail!C$2:C$740,(All_Detail!I$2:I$740&lt;TODAY())*(All_Detail!J$2:J$740&lt;&gt;"Success")),_xlfn._xlws.FILTER(All_Detail!I$2:I$740,(All_Detail!I$2:I$740&lt;TODAY())*(All_Detail!J$2:J$740&lt;&gt;"Success")),1),6),"")</f>
        <v>Power house 19R</v>
      </c>
      <c r="C135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IFERROR(INDEX(_xlfn.SORTBY(_xlfn._xlws.FILTER(All_Detail!D$2:D$740,(All_Detail!I$2:I$740&lt;TODAY())*(All_Detail!J$2:J$740&lt;&gt;"Success")),_xlfn._xlws.FILTER(All_Detail!I$2:I$740,(All_Detail!I$2:I$740&lt;TODAY())*(All_Detail!J$2:J$740&lt;&gt;"Success")),1),6),"")</f>
        <v>19R-FL.1</v>
      </c>
      <c r="D135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IFERROR(INDEX(_xlfn.SORTBY(_xlfn._xlws.FILTER(All_Detail!E$2:E$740,(All_Detail!I$2:I$740&lt;TODAY())*(All_Detail!J$2:J$740&lt;&gt;"Success")),_xlfn._xlws.FILTER(All_Detail!I$2:I$740,(All_Detail!I$2:I$740&lt;TODAY())*(All_Detail!J$2:J$740&lt;&gt;"Success")),1),6),"")</f>
        <v>Access Switch Type 2</v>
      </c>
      <c r="E135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IFERROR(INDEX(_xlfn.SORTBY(_xlfn._xlws.FILTER(All_Detail!F$2:F$740,(All_Detail!I$2:I$740&lt;TODAY())*(All_Detail!J$2:J$740&lt;&gt;"Success")),_xlfn._xlws.FILTER(All_Detail!I$2:I$740,(All_Detail!I$2:I$740&lt;TODAY())*(All_Detail!J$2:J$740&lt;&gt;"Success")),1),6),"")</f>
        <v>2</v>
      </c>
      <c r="F135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IFERROR(INDEX(_xlfn.SORTBY(_xlfn._xlws.FILTER(All_Detail!I$2:I$740,(All_Detail!I$2:I$740&lt;TODAY())*(All_Detail!J$2:J$740&lt;&gt;"Success")),_xlfn._xlws.FILTER(All_Detail!I$2:I$740,(All_Detail!I$2:I$740&lt;TODAY())*(All_Detail!J$2:J$740&lt;&gt;"Success")),1),6),"")</f>
        <v>46104</v>
      </c>
      <c r="G135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IFERROR(INDEX(_xlfn.SORTBY(_xlfn._xlws.FILTER(All_Detail!J$2:J$740,(All_Detail!I$2:I$740&lt;TODAY())*(All_Detail!J$2:J$740&lt;&gt;"Success")),_xlfn._xlws.FILTER(All_Detail!I$2:I$740,(All_Detail!I$2:I$740&lt;TODAY())*(All_Detail!J$2:J$740&lt;&gt;"Success")),1),6),"")</f>
        <v>On Plan</v>
      </c>
      <c r="H135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IFERROR(INDEX(_xlfn.SORTBY(_xlfn._xlws.FILTER(TODAY()-All_Detail!I$2:I$740,(All_Detail!I$2:I$740&lt;TODAY())*(All_Detail!J$2:J$740&lt;&gt;"Success")),_xlfn._xlws.FILTER(All_Detail!I$2:I$740,(All_Detail!I$2:I$740&lt;TODAY())*(All_Detail!J$2:J$740&lt;&gt;"Success")),1),6),"")</f>
        <v>9</v>
      </c>
    </row>
    <row r="136" spans="1:8" ht="14.25" customHeight="1">
      <c r="A136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IFERROR(INDEX(_xlfn.SORTBY(_xlfn._xlws.FILTER(All_Detail!B$2:B$740,(All_Detail!I$2:I$740&lt;TODAY())*(All_Detail!J$2:J$740&lt;&gt;"Success")),_xlfn._xlws.FILTER(All_Detail!I$2:I$740,(All_Detail!I$2:I$740&lt;TODAY())*(All_Detail!J$2:J$740&lt;&gt;"Success")),1),7),"")</f>
        <v>CFZ</v>
      </c>
      <c r="B136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IFERROR(INDEX(_xlfn.SORTBY(_xlfn._xlws.FILTER(All_Detail!C$2:C$740,(All_Detail!I$2:I$740&lt;TODAY())*(All_Detail!J$2:J$740&lt;&gt;"Success")),_xlfn._xlws.FILTER(All_Detail!I$2:I$740,(All_Detail!I$2:I$740&lt;TODAY())*(All_Detail!J$2:J$740&lt;&gt;"Success")),1),7),"")</f>
        <v>TGA</v>
      </c>
      <c r="C136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IFERROR(INDEX(_xlfn.SORTBY(_xlfn._xlws.FILTER(All_Detail!D$2:D$740,(All_Detail!I$2:I$740&lt;TODAY())*(All_Detail!J$2:J$740&lt;&gt;"Success")),_xlfn._xlws.FILTER(All_Detail!I$2:I$740,(All_Detail!I$2:I$740&lt;TODAY())*(All_Detail!J$2:J$740&lt;&gt;"Success")),1),7),"")</f>
        <v>Network &amp; PABX Room</v>
      </c>
      <c r="D136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IFERROR(INDEX(_xlfn.SORTBY(_xlfn._xlws.FILTER(All_Detail!E$2:E$740,(All_Detail!I$2:I$740&lt;TODAY())*(All_Detail!J$2:J$740&lt;&gt;"Success")),_xlfn._xlws.FILTER(All_Detail!I$2:I$740,(All_Detail!I$2:I$740&lt;TODAY())*(All_Detail!J$2:J$740&lt;&gt;"Success")),1),7),"")</f>
        <v>Access Switch Type 2</v>
      </c>
      <c r="E136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IFERROR(INDEX(_xlfn.SORTBY(_xlfn._xlws.FILTER(All_Detail!F$2:F$740,(All_Detail!I$2:I$740&lt;TODAY())*(All_Detail!J$2:J$740&lt;&gt;"Success")),_xlfn._xlws.FILTER(All_Detail!I$2:I$740,(All_Detail!I$2:I$740&lt;TODAY())*(All_Detail!J$2:J$740&lt;&gt;"Success")),1),7),"")</f>
        <v>2</v>
      </c>
      <c r="F136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IFERROR(INDEX(_xlfn.SORTBY(_xlfn._xlws.FILTER(All_Detail!I$2:I$740,(All_Detail!I$2:I$740&lt;TODAY())*(All_Detail!J$2:J$740&lt;&gt;"Success")),_xlfn._xlws.FILTER(All_Detail!I$2:I$740,(All_Detail!I$2:I$740&lt;TODAY())*(All_Detail!J$2:J$740&lt;&gt;"Success")),1),7),"")</f>
        <v>46104</v>
      </c>
      <c r="G136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IFERROR(INDEX(_xlfn.SORTBY(_xlfn._xlws.FILTER(All_Detail!J$2:J$740,(All_Detail!I$2:I$740&lt;TODAY())*(All_Detail!J$2:J$740&lt;&gt;"Success")),_xlfn._xlws.FILTER(All_Detail!I$2:I$740,(All_Detail!I$2:I$740&lt;TODAY())*(All_Detail!J$2:J$740&lt;&gt;"Success")),1),7),"")</f>
        <v>On Plan</v>
      </c>
      <c r="H136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IFERROR(INDEX(_xlfn.SORTBY(_xlfn._xlws.FILTER(TODAY()-All_Detail!I$2:I$740,(All_Detail!I$2:I$740&lt;TODAY())*(All_Detail!J$2:J$740&lt;&gt;"Success")),_xlfn._xlws.FILTER(All_Detail!I$2:I$740,(All_Detail!I$2:I$740&lt;TODAY())*(All_Detail!J$2:J$740&lt;&gt;"Success")),1),7),"")</f>
        <v>9</v>
      </c>
    </row>
    <row r="137" spans="1:8" ht="14.25" customHeight="1">
      <c r="A137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IFERROR(INDEX(_xlfn.SORTBY(_xlfn._xlws.FILTER(All_Detail!B$2:B$740,(All_Detail!I$2:I$740&lt;TODAY())*(All_Detail!J$2:J$740&lt;&gt;"Success")),_xlfn._xlws.FILTER(All_Detail!I$2:I$740,(All_Detail!I$2:I$740&lt;TODAY())*(All_Detail!J$2:J$740&lt;&gt;"Success")),1),8),"")</f>
        <v>CFZ</v>
      </c>
      <c r="B137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IFERROR(INDEX(_xlfn.SORTBY(_xlfn._xlws.FILTER(All_Detail!C$2:C$740,(All_Detail!I$2:I$740&lt;TODAY())*(All_Detail!J$2:J$740&lt;&gt;"Success")),_xlfn._xlws.FILTER(All_Detail!I$2:I$740,(All_Detail!I$2:I$740&lt;TODAY())*(All_Detail!J$2:J$740&lt;&gt;"Success")),1),8),"")</f>
        <v>TG-Cargo</v>
      </c>
      <c r="C137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IFERROR(INDEX(_xlfn.SORTBY(_xlfn._xlws.FILTER(All_Detail!D$2:D$740,(All_Detail!I$2:I$740&lt;TODAY())*(All_Detail!J$2:J$740&lt;&gt;"Success")),_xlfn._xlws.FILTER(All_Detail!I$2:I$740,(All_Detail!I$2:I$740&lt;TODAY())*(All_Detail!J$2:J$740&lt;&gt;"Success")),1),8),"")</f>
        <v>BAS Control Room</v>
      </c>
      <c r="D137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IFERROR(INDEX(_xlfn.SORTBY(_xlfn._xlws.FILTER(All_Detail!E$2:E$740,(All_Detail!I$2:I$740&lt;TODAY())*(All_Detail!J$2:J$740&lt;&gt;"Success")),_xlfn._xlws.FILTER(All_Detail!I$2:I$740,(All_Detail!I$2:I$740&lt;TODAY())*(All_Detail!J$2:J$740&lt;&gt;"Success")),1),8),"")</f>
        <v>Access Switch Type 2</v>
      </c>
      <c r="E137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IFERROR(INDEX(_xlfn.SORTBY(_xlfn._xlws.FILTER(All_Detail!F$2:F$740,(All_Detail!I$2:I$740&lt;TODAY())*(All_Detail!J$2:J$740&lt;&gt;"Success")),_xlfn._xlws.FILTER(All_Detail!I$2:I$740,(All_Detail!I$2:I$740&lt;TODAY())*(All_Detail!J$2:J$740&lt;&gt;"Success")),1),8),"")</f>
        <v>2</v>
      </c>
      <c r="F137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IFERROR(INDEX(_xlfn.SORTBY(_xlfn._xlws.FILTER(All_Detail!I$2:I$740,(All_Detail!I$2:I$740&lt;TODAY())*(All_Detail!J$2:J$740&lt;&gt;"Success")),_xlfn._xlws.FILTER(All_Detail!I$2:I$740,(All_Detail!I$2:I$740&lt;TODAY())*(All_Detail!J$2:J$740&lt;&gt;"Success")),1),8),"")</f>
        <v>46104</v>
      </c>
      <c r="G137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IFERROR(INDEX(_xlfn.SORTBY(_xlfn._xlws.FILTER(All_Detail!J$2:J$740,(All_Detail!I$2:I$740&lt;TODAY())*(All_Detail!J$2:J$740&lt;&gt;"Success")),_xlfn._xlws.FILTER(All_Detail!I$2:I$740,(All_Detail!I$2:I$740&lt;TODAY())*(All_Detail!J$2:J$740&lt;&gt;"Success")),1),8),"")</f>
        <v>On Plan</v>
      </c>
      <c r="H137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IFERROR(INDEX(_xlfn.SORTBY(_xlfn._xlws.FILTER(TODAY()-All_Detail!I$2:I$740,(All_Detail!I$2:I$740&lt;TODAY())*(All_Detail!J$2:J$740&lt;&gt;"Success")),_xlfn._xlws.FILTER(All_Detail!I$2:I$740,(All_Detail!I$2:I$740&lt;TODAY())*(All_Detail!J$2:J$740&lt;&gt;"Success")),1),8),"")</f>
        <v>9</v>
      </c>
    </row>
    <row r="138" spans="1:8" ht="14.25" customHeight="1">
      <c r="A138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IFERROR(INDEX(_xlfn.SORTBY(_xlfn._xlws.FILTER(All_Detail!B$2:B$740,(All_Detail!I$2:I$740&lt;TODAY())*(All_Detail!J$2:J$740&lt;&gt;"Success")),_xlfn._xlws.FILTER(All_Detail!I$2:I$740,(All_Detail!I$2:I$740&lt;TODAY())*(All_Detail!J$2:J$740&lt;&gt;"Success")),1),9),"")</f>
        <v>CFZ</v>
      </c>
      <c r="B138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IFERROR(INDEX(_xlfn.SORTBY(_xlfn._xlws.FILTER(All_Detail!C$2:C$740,(All_Detail!I$2:I$740&lt;TODAY())*(All_Detail!J$2:J$740&lt;&gt;"Success")),_xlfn._xlws.FILTER(All_Detail!I$2:I$740,(All_Detail!I$2:I$740&lt;TODAY())*(All_Detail!J$2:J$740&lt;&gt;"Success")),1),9),"")</f>
        <v>อาคาร BFS Cargo Terminal</v>
      </c>
      <c r="C138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IFERROR(INDEX(_xlfn.SORTBY(_xlfn._xlws.FILTER(All_Detail!D$2:D$740,(All_Detail!I$2:I$740&lt;TODAY())*(All_Detail!J$2:J$740&lt;&gt;"Success")),_xlfn._xlws.FILTER(All_Detail!I$2:I$740,(All_Detail!I$2:I$740&lt;TODAY())*(All_Detail!J$2:J$740&lt;&gt;"Success")),1),9),"")</f>
        <v>CT2</v>
      </c>
      <c r="D138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IFERROR(INDEX(_xlfn.SORTBY(_xlfn._xlws.FILTER(All_Detail!E$2:E$740,(All_Detail!I$2:I$740&lt;TODAY())*(All_Detail!J$2:J$740&lt;&gt;"Success")),_xlfn._xlws.FILTER(All_Detail!I$2:I$740,(All_Detail!I$2:I$740&lt;TODAY())*(All_Detail!J$2:J$740&lt;&gt;"Success")),1),9),"")</f>
        <v>Access Switch Type 2</v>
      </c>
      <c r="E138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IFERROR(INDEX(_xlfn.SORTBY(_xlfn._xlws.FILTER(All_Detail!F$2:F$740,(All_Detail!I$2:I$740&lt;TODAY())*(All_Detail!J$2:J$740&lt;&gt;"Success")),_xlfn._xlws.FILTER(All_Detail!I$2:I$740,(All_Detail!I$2:I$740&lt;TODAY())*(All_Detail!J$2:J$740&lt;&gt;"Success")),1),9),"")</f>
        <v>2</v>
      </c>
      <c r="F138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IFERROR(INDEX(_xlfn.SORTBY(_xlfn._xlws.FILTER(All_Detail!I$2:I$740,(All_Detail!I$2:I$740&lt;TODAY())*(All_Detail!J$2:J$740&lt;&gt;"Success")),_xlfn._xlws.FILTER(All_Detail!I$2:I$740,(All_Detail!I$2:I$740&lt;TODAY())*(All_Detail!J$2:J$740&lt;&gt;"Success")),1),9),"")</f>
        <v>46104</v>
      </c>
      <c r="G138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IFERROR(INDEX(_xlfn.SORTBY(_xlfn._xlws.FILTER(All_Detail!J$2:J$740,(All_Detail!I$2:I$740&lt;TODAY())*(All_Detail!J$2:J$740&lt;&gt;"Success")),_xlfn._xlws.FILTER(All_Detail!I$2:I$740,(All_Detail!I$2:I$740&lt;TODAY())*(All_Detail!J$2:J$740&lt;&gt;"Success")),1),9),"")</f>
        <v>On Plan</v>
      </c>
      <c r="H138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IFERROR(INDEX(_xlfn.SORTBY(_xlfn._xlws.FILTER(TODAY()-All_Detail!I$2:I$740,(All_Detail!I$2:I$740&lt;TODAY())*(All_Detail!J$2:J$740&lt;&gt;"Success")),_xlfn._xlws.FILTER(All_Detail!I$2:I$740,(All_Detail!I$2:I$740&lt;TODAY())*(All_Detail!J$2:J$740&lt;&gt;"Success")),1),9),"")</f>
        <v>9</v>
      </c>
    </row>
    <row r="139" spans="1:8" ht="14.25" customHeight="1">
      <c r="A139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IFERROR(INDEX(_xlfn.SORTBY(_xlfn._xlws.FILTER(All_Detail!B$2:B$740,(All_Detail!I$2:I$740&lt;TODAY())*(All_Detail!J$2:J$740&lt;&gt;"Success")),_xlfn._xlws.FILTER(All_Detail!I$2:I$740,(All_Detail!I$2:I$740&lt;TODAY())*(All_Detail!J$2:J$740&lt;&gt;"Success")),1),10),"")</f>
        <v>D1-041</v>
      </c>
      <c r="B139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IFERROR(INDEX(_xlfn.SORTBY(_xlfn._xlws.FILTER(All_Detail!C$2:C$740,(All_Detail!I$2:I$740&lt;TODAY())*(All_Detail!J$2:J$740&lt;&gt;"Success")),_xlfn._xlws.FILTER(All_Detail!I$2:I$740,(All_Detail!I$2:I$740&lt;TODAY())*(All_Detail!J$2:J$740&lt;&gt;"Success")),1),10),"")</f>
        <v>Concourse D</v>
      </c>
      <c r="C139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IFERROR(INDEX(_xlfn.SORTBY(_xlfn._xlws.FILTER(All_Detail!D$2:D$740,(All_Detail!I$2:I$740&lt;TODAY())*(All_Detail!J$2:J$740&lt;&gt;"Success")),_xlfn._xlws.FILTER(All_Detail!I$2:I$740,(All_Detail!I$2:I$740&lt;TODAY())*(All_Detail!J$2:J$740&lt;&gt;"Success")),1),10),"")</f>
        <v>D1-007</v>
      </c>
      <c r="D139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IFERROR(INDEX(_xlfn.SORTBY(_xlfn._xlws.FILTER(All_Detail!E$2:E$740,(All_Detail!I$2:I$740&lt;TODAY())*(All_Detail!J$2:J$740&lt;&gt;"Success")),_xlfn._xlws.FILTER(All_Detail!I$2:I$740,(All_Detail!I$2:I$740&lt;TODAY())*(All_Detail!J$2:J$740&lt;&gt;"Success")),1),10),"")</f>
        <v>Aggregation Switch Type 3</v>
      </c>
      <c r="E139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IFERROR(INDEX(_xlfn.SORTBY(_xlfn._xlws.FILTER(All_Detail!F$2:F$740,(All_Detail!I$2:I$740&lt;TODAY())*(All_Detail!J$2:J$740&lt;&gt;"Success")),_xlfn._xlws.FILTER(All_Detail!I$2:I$740,(All_Detail!I$2:I$740&lt;TODAY())*(All_Detail!J$2:J$740&lt;&gt;"Success")),1),10),"")</f>
        <v>1</v>
      </c>
      <c r="F139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IFERROR(INDEX(_xlfn.SORTBY(_xlfn._xlws.FILTER(All_Detail!I$2:I$740,(All_Detail!I$2:I$740&lt;TODAY())*(All_Detail!J$2:J$740&lt;&gt;"Success")),_xlfn._xlws.FILTER(All_Detail!I$2:I$740,(All_Detail!I$2:I$740&lt;TODAY())*(All_Detail!J$2:J$740&lt;&gt;"Success")),1),10),"")</f>
        <v>46105</v>
      </c>
      <c r="G139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IFERROR(INDEX(_xlfn.SORTBY(_xlfn._xlws.FILTER(All_Detail!J$2:J$740,(All_Detail!I$2:I$740&lt;TODAY())*(All_Detail!J$2:J$740&lt;&gt;"Success")),_xlfn._xlws.FILTER(All_Detail!I$2:I$740,(All_Detail!I$2:I$740&lt;TODAY())*(All_Detail!J$2:J$740&lt;&gt;"Success")),1),10),"")</f>
        <v>On Plan</v>
      </c>
      <c r="H139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IFERROR(INDEX(_xlfn.SORTBY(_xlfn._xlws.FILTER(TODAY()-All_Detail!I$2:I$740,(All_Detail!I$2:I$740&lt;TODAY())*(All_Detail!J$2:J$740&lt;&gt;"Success")),_xlfn._xlws.FILTER(All_Detail!I$2:I$740,(All_Detail!I$2:I$740&lt;TODAY())*(All_Detail!J$2:J$740&lt;&gt;"Success")),1),10),"")</f>
        <v>8</v>
      </c>
    </row>
    <row r="140" spans="1:8" ht="14.25" customHeight="1">
      <c r="A140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IFERROR(INDEX(_xlfn.SORTBY(_xlfn._xlws.FILTER(All_Detail!B$2:B$740,(All_Detail!I$2:I$740&lt;TODAY())*(All_Detail!J$2:J$740&lt;&gt;"Success")),_xlfn._xlws.FILTER(All_Detail!I$2:I$740,(All_Detail!I$2:I$740&lt;TODAY())*(All_Detail!J$2:J$740&lt;&gt;"Success")),1),11),"")</f>
        <v>D1-041</v>
      </c>
      <c r="B140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IFERROR(INDEX(_xlfn.SORTBY(_xlfn._xlws.FILTER(All_Detail!C$2:C$740,(All_Detail!I$2:I$740&lt;TODAY())*(All_Detail!J$2:J$740&lt;&gt;"Success")),_xlfn._xlws.FILTER(All_Detail!I$2:I$740,(All_Detail!I$2:I$740&lt;TODAY())*(All_Detail!J$2:J$740&lt;&gt;"Success")),1),11),"")</f>
        <v>Concourse D</v>
      </c>
      <c r="C140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IFERROR(INDEX(_xlfn.SORTBY(_xlfn._xlws.FILTER(All_Detail!D$2:D$740,(All_Detail!I$2:I$740&lt;TODAY())*(All_Detail!J$2:J$740&lt;&gt;"Success")),_xlfn._xlws.FILTER(All_Detail!I$2:I$740,(All_Detail!I$2:I$740&lt;TODAY())*(All_Detail!J$2:J$740&lt;&gt;"Success")),1),11),"")</f>
        <v>D1-012</v>
      </c>
      <c r="D140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IFERROR(INDEX(_xlfn.SORTBY(_xlfn._xlws.FILTER(All_Detail!E$2:E$740,(All_Detail!I$2:I$740&lt;TODAY())*(All_Detail!J$2:J$740&lt;&gt;"Success")),_xlfn._xlws.FILTER(All_Detail!I$2:I$740,(All_Detail!I$2:I$740&lt;TODAY())*(All_Detail!J$2:J$740&lt;&gt;"Success")),1),11),"")</f>
        <v>Aggregation Switch Type 2</v>
      </c>
      <c r="E140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IFERROR(INDEX(_xlfn.SORTBY(_xlfn._xlws.FILTER(All_Detail!F$2:F$740,(All_Detail!I$2:I$740&lt;TODAY())*(All_Detail!J$2:J$740&lt;&gt;"Success")),_xlfn._xlws.FILTER(All_Detail!I$2:I$740,(All_Detail!I$2:I$740&lt;TODAY())*(All_Detail!J$2:J$740&lt;&gt;"Success")),1),11),"")</f>
        <v>1</v>
      </c>
      <c r="F140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IFERROR(INDEX(_xlfn.SORTBY(_xlfn._xlws.FILTER(All_Detail!I$2:I$740,(All_Detail!I$2:I$740&lt;TODAY())*(All_Detail!J$2:J$740&lt;&gt;"Success")),_xlfn._xlws.FILTER(All_Detail!I$2:I$740,(All_Detail!I$2:I$740&lt;TODAY())*(All_Detail!J$2:J$740&lt;&gt;"Success")),1),11),"")</f>
        <v>46105</v>
      </c>
      <c r="G140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IFERROR(INDEX(_xlfn.SORTBY(_xlfn._xlws.FILTER(All_Detail!J$2:J$740,(All_Detail!I$2:I$740&lt;TODAY())*(All_Detail!J$2:J$740&lt;&gt;"Success")),_xlfn._xlws.FILTER(All_Detail!I$2:I$740,(All_Detail!I$2:I$740&lt;TODAY())*(All_Detail!J$2:J$740&lt;&gt;"Success")),1),11),"")</f>
        <v>On Plan</v>
      </c>
      <c r="H140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IFERROR(INDEX(_xlfn.SORTBY(_xlfn._xlws.FILTER(TODAY()-All_Detail!I$2:I$740,(All_Detail!I$2:I$740&lt;TODAY())*(All_Detail!J$2:J$740&lt;&gt;"Success")),_xlfn._xlws.FILTER(All_Detail!I$2:I$740,(All_Detail!I$2:I$740&lt;TODAY())*(All_Detail!J$2:J$740&lt;&gt;"Success")),1),11),"")</f>
        <v>8</v>
      </c>
    </row>
    <row r="141" spans="1:8" ht="14.25" customHeight="1">
      <c r="A141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IFERROR(INDEX(_xlfn.SORTBY(_xlfn._xlws.FILTER(All_Detail!B$2:B$740,(All_Detail!I$2:I$740&lt;TODAY())*(All_Detail!J$2:J$740&lt;&gt;"Success")),_xlfn._xlws.FILTER(All_Detail!I$2:I$740,(All_Detail!I$2:I$740&lt;TODAY())*(All_Detail!J$2:J$740&lt;&gt;"Success")),1),12),"")</f>
        <v>D1-041</v>
      </c>
      <c r="B141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IFERROR(INDEX(_xlfn.SORTBY(_xlfn._xlws.FILTER(All_Detail!C$2:C$740,(All_Detail!I$2:I$740&lt;TODAY())*(All_Detail!J$2:J$740&lt;&gt;"Success")),_xlfn._xlws.FILTER(All_Detail!I$2:I$740,(All_Detail!I$2:I$740&lt;TODAY())*(All_Detail!J$2:J$740&lt;&gt;"Success")),1),12),"")</f>
        <v>Concourse D</v>
      </c>
      <c r="C141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IFERROR(INDEX(_xlfn.SORTBY(_xlfn._xlws.FILTER(All_Detail!D$2:D$740,(All_Detail!I$2:I$740&lt;TODAY())*(All_Detail!J$2:J$740&lt;&gt;"Success")),_xlfn._xlws.FILTER(All_Detail!I$2:I$740,(All_Detail!I$2:I$740&lt;TODAY())*(All_Detail!J$2:J$740&lt;&gt;"Success")),1),12),"")</f>
        <v>D1-017</v>
      </c>
      <c r="D141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IFERROR(INDEX(_xlfn.SORTBY(_xlfn._xlws.FILTER(All_Detail!E$2:E$740,(All_Detail!I$2:I$740&lt;TODAY())*(All_Detail!J$2:J$740&lt;&gt;"Success")),_xlfn._xlws.FILTER(All_Detail!I$2:I$740,(All_Detail!I$2:I$740&lt;TODAY())*(All_Detail!J$2:J$740&lt;&gt;"Success")),1),12),"")</f>
        <v>Aggregation Switch Type 2</v>
      </c>
      <c r="E141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IFERROR(INDEX(_xlfn.SORTBY(_xlfn._xlws.FILTER(All_Detail!F$2:F$740,(All_Detail!I$2:I$740&lt;TODAY())*(All_Detail!J$2:J$740&lt;&gt;"Success")),_xlfn._xlws.FILTER(All_Detail!I$2:I$740,(All_Detail!I$2:I$740&lt;TODAY())*(All_Detail!J$2:J$740&lt;&gt;"Success")),1),12),"")</f>
        <v>1</v>
      </c>
      <c r="F141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IFERROR(INDEX(_xlfn.SORTBY(_xlfn._xlws.FILTER(All_Detail!I$2:I$740,(All_Detail!I$2:I$740&lt;TODAY())*(All_Detail!J$2:J$740&lt;&gt;"Success")),_xlfn._xlws.FILTER(All_Detail!I$2:I$740,(All_Detail!I$2:I$740&lt;TODAY())*(All_Detail!J$2:J$740&lt;&gt;"Success")),1),12),"")</f>
        <v>46105</v>
      </c>
      <c r="G141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IFERROR(INDEX(_xlfn.SORTBY(_xlfn._xlws.FILTER(All_Detail!J$2:J$740,(All_Detail!I$2:I$740&lt;TODAY())*(All_Detail!J$2:J$740&lt;&gt;"Success")),_xlfn._xlws.FILTER(All_Detail!I$2:I$740,(All_Detail!I$2:I$740&lt;TODAY())*(All_Detail!J$2:J$740&lt;&gt;"Success")),1),12),"")</f>
        <v>On Plan</v>
      </c>
      <c r="H141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IFERROR(INDEX(_xlfn.SORTBY(_xlfn._xlws.FILTER(TODAY()-All_Detail!I$2:I$740,(All_Detail!I$2:I$740&lt;TODAY())*(All_Detail!J$2:J$740&lt;&gt;"Success")),_xlfn._xlws.FILTER(All_Detail!I$2:I$740,(All_Detail!I$2:I$740&lt;TODAY())*(All_Detail!J$2:J$740&lt;&gt;"Success")),1),12),"")</f>
        <v>8</v>
      </c>
    </row>
    <row r="142" spans="1:8" ht="14.25" customHeight="1">
      <c r="A142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IFERROR(INDEX(_xlfn.SORTBY(_xlfn._xlws.FILTER(All_Detail!B$2:B$740,(All_Detail!I$2:I$740&lt;TODAY())*(All_Detail!J$2:J$740&lt;&gt;"Success")),_xlfn._xlws.FILTER(All_Detail!I$2:I$740,(All_Detail!I$2:I$740&lt;TODAY())*(All_Detail!J$2:J$740&lt;&gt;"Success")),1),13),"")</f>
        <v>D1-041</v>
      </c>
      <c r="B142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IFERROR(INDEX(_xlfn.SORTBY(_xlfn._xlws.FILTER(All_Detail!C$2:C$740,(All_Detail!I$2:I$740&lt;TODAY())*(All_Detail!J$2:J$740&lt;&gt;"Success")),_xlfn._xlws.FILTER(All_Detail!I$2:I$740,(All_Detail!I$2:I$740&lt;TODAY())*(All_Detail!J$2:J$740&lt;&gt;"Success")),1),13),"")</f>
        <v>Concourse D</v>
      </c>
      <c r="C142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IFERROR(INDEX(_xlfn.SORTBY(_xlfn._xlws.FILTER(All_Detail!D$2:D$740,(All_Detail!I$2:I$740&lt;TODAY())*(All_Detail!J$2:J$740&lt;&gt;"Success")),_xlfn._xlws.FILTER(All_Detail!I$2:I$740,(All_Detail!I$2:I$740&lt;TODAY())*(All_Detail!J$2:J$740&lt;&gt;"Success")),1),13),"")</f>
        <v>D1-025</v>
      </c>
      <c r="D142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IFERROR(INDEX(_xlfn.SORTBY(_xlfn._xlws.FILTER(All_Detail!E$2:E$740,(All_Detail!I$2:I$740&lt;TODAY())*(All_Detail!J$2:J$740&lt;&gt;"Success")),_xlfn._xlws.FILTER(All_Detail!I$2:I$740,(All_Detail!I$2:I$740&lt;TODAY())*(All_Detail!J$2:J$740&lt;&gt;"Success")),1),13),"")</f>
        <v>Aggregation Switch Type 2</v>
      </c>
      <c r="E142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IFERROR(INDEX(_xlfn.SORTBY(_xlfn._xlws.FILTER(All_Detail!F$2:F$740,(All_Detail!I$2:I$740&lt;TODAY())*(All_Detail!J$2:J$740&lt;&gt;"Success")),_xlfn._xlws.FILTER(All_Detail!I$2:I$740,(All_Detail!I$2:I$740&lt;TODAY())*(All_Detail!J$2:J$740&lt;&gt;"Success")),1),13),"")</f>
        <v>1</v>
      </c>
      <c r="F142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IFERROR(INDEX(_xlfn.SORTBY(_xlfn._xlws.FILTER(All_Detail!I$2:I$740,(All_Detail!I$2:I$740&lt;TODAY())*(All_Detail!J$2:J$740&lt;&gt;"Success")),_xlfn._xlws.FILTER(All_Detail!I$2:I$740,(All_Detail!I$2:I$740&lt;TODAY())*(All_Detail!J$2:J$740&lt;&gt;"Success")),1),13),"")</f>
        <v>46105</v>
      </c>
      <c r="G142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IFERROR(INDEX(_xlfn.SORTBY(_xlfn._xlws.FILTER(All_Detail!J$2:J$740,(All_Detail!I$2:I$740&lt;TODAY())*(All_Detail!J$2:J$740&lt;&gt;"Success")),_xlfn._xlws.FILTER(All_Detail!I$2:I$740,(All_Detail!I$2:I$740&lt;TODAY())*(All_Detail!J$2:J$740&lt;&gt;"Success")),1),13),"")</f>
        <v>On Plan</v>
      </c>
      <c r="H142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IFERROR(INDEX(_xlfn.SORTBY(_xlfn._xlws.FILTER(TODAY()-All_Detail!I$2:I$740,(All_Detail!I$2:I$740&lt;TODAY())*(All_Detail!J$2:J$740&lt;&gt;"Success")),_xlfn._xlws.FILTER(All_Detail!I$2:I$740,(All_Detail!I$2:I$740&lt;TODAY())*(All_Detail!J$2:J$740&lt;&gt;"Success")),1),13),"")</f>
        <v>8</v>
      </c>
    </row>
    <row r="143" spans="1:8" ht="14.25" customHeight="1">
      <c r="A143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IFERROR(INDEX(_xlfn.SORTBY(_xlfn._xlws.FILTER(All_Detail!B$2:B$740,(All_Detail!I$2:I$740&lt;TODAY())*(All_Detail!J$2:J$740&lt;&gt;"Success")),_xlfn._xlws.FILTER(All_Detail!I$2:I$740,(All_Detail!I$2:I$740&lt;TODAY())*(All_Detail!J$2:J$740&lt;&gt;"Success")),1),14),"")</f>
        <v>D1-041</v>
      </c>
      <c r="B143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IFERROR(INDEX(_xlfn.SORTBY(_xlfn._xlws.FILTER(All_Detail!C$2:C$740,(All_Detail!I$2:I$740&lt;TODAY())*(All_Detail!J$2:J$740&lt;&gt;"Success")),_xlfn._xlws.FILTER(All_Detail!I$2:I$740,(All_Detail!I$2:I$740&lt;TODAY())*(All_Detail!J$2:J$740&lt;&gt;"Success")),1),14),"")</f>
        <v>Concourse D</v>
      </c>
      <c r="C143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IFERROR(INDEX(_xlfn.SORTBY(_xlfn._xlws.FILTER(All_Detail!D$2:D$740,(All_Detail!I$2:I$740&lt;TODAY())*(All_Detail!J$2:J$740&lt;&gt;"Success")),_xlfn._xlws.FILTER(All_Detail!I$2:I$740,(All_Detail!I$2:I$740&lt;TODAY())*(All_Detail!J$2:J$740&lt;&gt;"Success")),1),14),"")</f>
        <v>D1-007</v>
      </c>
      <c r="D143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IFERROR(INDEX(_xlfn.SORTBY(_xlfn._xlws.FILTER(All_Detail!E$2:E$740,(All_Detail!I$2:I$740&lt;TODAY())*(All_Detail!J$2:J$740&lt;&gt;"Success")),_xlfn._xlws.FILTER(All_Detail!I$2:I$740,(All_Detail!I$2:I$740&lt;TODAY())*(All_Detail!J$2:J$740&lt;&gt;"Success")),1),14),"")</f>
        <v>Access Switch Type 4</v>
      </c>
      <c r="E143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IFERROR(INDEX(_xlfn.SORTBY(_xlfn._xlws.FILTER(All_Detail!F$2:F$740,(All_Detail!I$2:I$740&lt;TODAY())*(All_Detail!J$2:J$740&lt;&gt;"Success")),_xlfn._xlws.FILTER(All_Detail!I$2:I$740,(All_Detail!I$2:I$740&lt;TODAY())*(All_Detail!J$2:J$740&lt;&gt;"Success")),1),14),"")</f>
        <v>1</v>
      </c>
      <c r="F143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IFERROR(INDEX(_xlfn.SORTBY(_xlfn._xlws.FILTER(All_Detail!I$2:I$740,(All_Detail!I$2:I$740&lt;TODAY())*(All_Detail!J$2:J$740&lt;&gt;"Success")),_xlfn._xlws.FILTER(All_Detail!I$2:I$740,(All_Detail!I$2:I$740&lt;TODAY())*(All_Detail!J$2:J$740&lt;&gt;"Success")),1),14),"")</f>
        <v>46105</v>
      </c>
      <c r="G143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IFERROR(INDEX(_xlfn.SORTBY(_xlfn._xlws.FILTER(All_Detail!J$2:J$740,(All_Detail!I$2:I$740&lt;TODAY())*(All_Detail!J$2:J$740&lt;&gt;"Success")),_xlfn._xlws.FILTER(All_Detail!I$2:I$740,(All_Detail!I$2:I$740&lt;TODAY())*(All_Detail!J$2:J$740&lt;&gt;"Success")),1),14),"")</f>
        <v>On Plan</v>
      </c>
      <c r="H143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IFERROR(INDEX(_xlfn.SORTBY(_xlfn._xlws.FILTER(TODAY()-All_Detail!I$2:I$740,(All_Detail!I$2:I$740&lt;TODAY())*(All_Detail!J$2:J$740&lt;&gt;"Success")),_xlfn._xlws.FILTER(All_Detail!I$2:I$740,(All_Detail!I$2:I$740&lt;TODAY())*(All_Detail!J$2:J$740&lt;&gt;"Success")),1),14),"")</f>
        <v>8</v>
      </c>
    </row>
    <row r="144" spans="1:8" ht="14.25" customHeight="1">
      <c r="A144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IFERROR(INDEX(_xlfn.SORTBY(_xlfn._xlws.FILTER(All_Detail!B$2:B$740,(All_Detail!I$2:I$740&lt;TODAY())*(All_Detail!J$2:J$740&lt;&gt;"Success")),_xlfn._xlws.FILTER(All_Detail!I$2:I$740,(All_Detail!I$2:I$740&lt;TODAY())*(All_Detail!J$2:J$740&lt;&gt;"Success")),1),15),"")</f>
        <v>D1-041</v>
      </c>
      <c r="B144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IFERROR(INDEX(_xlfn.SORTBY(_xlfn._xlws.FILTER(All_Detail!C$2:C$740,(All_Detail!I$2:I$740&lt;TODAY())*(All_Detail!J$2:J$740&lt;&gt;"Success")),_xlfn._xlws.FILTER(All_Detail!I$2:I$740,(All_Detail!I$2:I$740&lt;TODAY())*(All_Detail!J$2:J$740&lt;&gt;"Success")),1),15),"")</f>
        <v>Concourse D</v>
      </c>
      <c r="C144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IFERROR(INDEX(_xlfn.SORTBY(_xlfn._xlws.FILTER(All_Detail!D$2:D$740,(All_Detail!I$2:I$740&lt;TODAY())*(All_Detail!J$2:J$740&lt;&gt;"Success")),_xlfn._xlws.FILTER(All_Detail!I$2:I$740,(All_Detail!I$2:I$740&lt;TODAY())*(All_Detail!J$2:J$740&lt;&gt;"Success")),1),15),"")</f>
        <v>D1-007</v>
      </c>
      <c r="D144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IFERROR(INDEX(_xlfn.SORTBY(_xlfn._xlws.FILTER(All_Detail!E$2:E$740,(All_Detail!I$2:I$740&lt;TODAY())*(All_Detail!J$2:J$740&lt;&gt;"Success")),_xlfn._xlws.FILTER(All_Detail!I$2:I$740,(All_Detail!I$2:I$740&lt;TODAY())*(All_Detail!J$2:J$740&lt;&gt;"Success")),1),15),"")</f>
        <v>Access Switch Type 2</v>
      </c>
      <c r="E144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IFERROR(INDEX(_xlfn.SORTBY(_xlfn._xlws.FILTER(All_Detail!F$2:F$740,(All_Detail!I$2:I$740&lt;TODAY())*(All_Detail!J$2:J$740&lt;&gt;"Success")),_xlfn._xlws.FILTER(All_Detail!I$2:I$740,(All_Detail!I$2:I$740&lt;TODAY())*(All_Detail!J$2:J$740&lt;&gt;"Success")),1),15),"")</f>
        <v>1</v>
      </c>
      <c r="F144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IFERROR(INDEX(_xlfn.SORTBY(_xlfn._xlws.FILTER(All_Detail!I$2:I$740,(All_Detail!I$2:I$740&lt;TODAY())*(All_Detail!J$2:J$740&lt;&gt;"Success")),_xlfn._xlws.FILTER(All_Detail!I$2:I$740,(All_Detail!I$2:I$740&lt;TODAY())*(All_Detail!J$2:J$740&lt;&gt;"Success")),1),15),"")</f>
        <v>46105</v>
      </c>
      <c r="G144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IFERROR(INDEX(_xlfn.SORTBY(_xlfn._xlws.FILTER(All_Detail!J$2:J$740,(All_Detail!I$2:I$740&lt;TODAY())*(All_Detail!J$2:J$740&lt;&gt;"Success")),_xlfn._xlws.FILTER(All_Detail!I$2:I$740,(All_Detail!I$2:I$740&lt;TODAY())*(All_Detail!J$2:J$740&lt;&gt;"Success")),1),15),"")</f>
        <v>On Plan</v>
      </c>
      <c r="H144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IFERROR(INDEX(_xlfn.SORTBY(_xlfn._xlws.FILTER(TODAY()-All_Detail!I$2:I$740,(All_Detail!I$2:I$740&lt;TODAY())*(All_Detail!J$2:J$740&lt;&gt;"Success")),_xlfn._xlws.FILTER(All_Detail!I$2:I$740,(All_Detail!I$2:I$740&lt;TODAY())*(All_Detail!J$2:J$740&lt;&gt;"Success")),1),15),"")</f>
        <v>8</v>
      </c>
    </row>
    <row r="145" spans="1:8" ht="14.25" customHeight="1">
      <c r="A145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IFERROR(INDEX(_xlfn.SORTBY(_xlfn._xlws.FILTER(All_Detail!B$2:B$740,(All_Detail!I$2:I$740&lt;TODAY())*(All_Detail!J$2:J$740&lt;&gt;"Success")),_xlfn._xlws.FILTER(All_Detail!I$2:I$740,(All_Detail!I$2:I$740&lt;TODAY())*(All_Detail!J$2:J$740&lt;&gt;"Success")),1),16),"")</f>
        <v>D1-041</v>
      </c>
      <c r="B145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IFERROR(INDEX(_xlfn.SORTBY(_xlfn._xlws.FILTER(All_Detail!C$2:C$740,(All_Detail!I$2:I$740&lt;TODAY())*(All_Detail!J$2:J$740&lt;&gt;"Success")),_xlfn._xlws.FILTER(All_Detail!I$2:I$740,(All_Detail!I$2:I$740&lt;TODAY())*(All_Detail!J$2:J$740&lt;&gt;"Success")),1),16),"")</f>
        <v>Concourse D</v>
      </c>
      <c r="C145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IFERROR(INDEX(_xlfn.SORTBY(_xlfn._xlws.FILTER(All_Detail!D$2:D$740,(All_Detail!I$2:I$740&lt;TODAY())*(All_Detail!J$2:J$740&lt;&gt;"Success")),_xlfn._xlws.FILTER(All_Detail!I$2:I$740,(All_Detail!I$2:I$740&lt;TODAY())*(All_Detail!J$2:J$740&lt;&gt;"Success")),1),16),"")</f>
        <v>D1-012</v>
      </c>
      <c r="D145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IFERROR(INDEX(_xlfn.SORTBY(_xlfn._xlws.FILTER(All_Detail!E$2:E$740,(All_Detail!I$2:I$740&lt;TODAY())*(All_Detail!J$2:J$740&lt;&gt;"Success")),_xlfn._xlws.FILTER(All_Detail!I$2:I$740,(All_Detail!I$2:I$740&lt;TODAY())*(All_Detail!J$2:J$740&lt;&gt;"Success")),1),16),"")</f>
        <v>Access Switch Type 4</v>
      </c>
      <c r="E145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IFERROR(INDEX(_xlfn.SORTBY(_xlfn._xlws.FILTER(All_Detail!F$2:F$740,(All_Detail!I$2:I$740&lt;TODAY())*(All_Detail!J$2:J$740&lt;&gt;"Success")),_xlfn._xlws.FILTER(All_Detail!I$2:I$740,(All_Detail!I$2:I$740&lt;TODAY())*(All_Detail!J$2:J$740&lt;&gt;"Success")),1),16),"")</f>
        <v>1</v>
      </c>
      <c r="F145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IFERROR(INDEX(_xlfn.SORTBY(_xlfn._xlws.FILTER(All_Detail!I$2:I$740,(All_Detail!I$2:I$740&lt;TODAY())*(All_Detail!J$2:J$740&lt;&gt;"Success")),_xlfn._xlws.FILTER(All_Detail!I$2:I$740,(All_Detail!I$2:I$740&lt;TODAY())*(All_Detail!J$2:J$740&lt;&gt;"Success")),1),16),"")</f>
        <v>46105</v>
      </c>
      <c r="G145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IFERROR(INDEX(_xlfn.SORTBY(_xlfn._xlws.FILTER(All_Detail!J$2:J$740,(All_Detail!I$2:I$740&lt;TODAY())*(All_Detail!J$2:J$740&lt;&gt;"Success")),_xlfn._xlws.FILTER(All_Detail!I$2:I$740,(All_Detail!I$2:I$740&lt;TODAY())*(All_Detail!J$2:J$740&lt;&gt;"Success")),1),16),"")</f>
        <v>On Plan</v>
      </c>
      <c r="H145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IFERROR(INDEX(_xlfn.SORTBY(_xlfn._xlws.FILTER(TODAY()-All_Detail!I$2:I$740,(All_Detail!I$2:I$740&lt;TODAY())*(All_Detail!J$2:J$740&lt;&gt;"Success")),_xlfn._xlws.FILTER(All_Detail!I$2:I$740,(All_Detail!I$2:I$740&lt;TODAY())*(All_Detail!J$2:J$740&lt;&gt;"Success")),1),16),"")</f>
        <v>8</v>
      </c>
    </row>
    <row r="146" spans="1:8" ht="15" customHeight="1">
      <c r="A146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IFERROR(INDEX(_xlfn.SORTBY(_xlfn._xlws.FILTER(All_Detail!B$2:B$740,(All_Detail!I$2:I$740&lt;TODAY())*(All_Detail!J$2:J$740&lt;&gt;"Success")),_xlfn._xlws.FILTER(All_Detail!I$2:I$740,(All_Detail!I$2:I$740&lt;TODAY())*(All_Detail!J$2:J$740&lt;&gt;"Success")),1),17),"")</f>
        <v>D1-041</v>
      </c>
      <c r="F146" s="31"/>
    </row>
    <row r="147" spans="1:8" ht="14.25" customHeight="1">
      <c r="A147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IFERROR(INDEX(_xlfn.SORTBY(_xlfn._xlws.FILTER(All_Detail!B$2:B$740,(All_Detail!I$2:I$740&lt;TODAY())*(All_Detail!J$2:J$740&lt;&gt;"Success")),_xlfn._xlws.FILTER(All_Detail!I$2:I$740,(All_Detail!I$2:I$740&lt;TODAY())*(All_Detail!J$2:J$740&lt;&gt;"Success")),1),18),"")</f>
        <v>D1-041</v>
      </c>
      <c r="B147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IFERROR(INDEX(_xlfn.SORTBY(_xlfn._xlws.FILTER(All_Detail!C$2:C$740,(All_Detail!I$2:I$740&lt;TODAY())*(All_Detail!J$2:J$740&lt;&gt;"Success")),_xlfn._xlws.FILTER(All_Detail!I$2:I$740,(All_Detail!I$2:I$740&lt;TODAY())*(All_Detail!J$2:J$740&lt;&gt;"Success")),1),18),"")</f>
        <v>Concourse D</v>
      </c>
      <c r="C147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IFERROR(INDEX(_xlfn.SORTBY(_xlfn._xlws.FILTER(All_Detail!D$2:D$740,(All_Detail!I$2:I$740&lt;TODAY())*(All_Detail!J$2:J$740&lt;&gt;"Success")),_xlfn._xlws.FILTER(All_Detail!I$2:I$740,(All_Detail!I$2:I$740&lt;TODAY())*(All_Detail!J$2:J$740&lt;&gt;"Success")),1),18),"")</f>
        <v>D1-017</v>
      </c>
      <c r="D147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IFERROR(INDEX(_xlfn.SORTBY(_xlfn._xlws.FILTER(All_Detail!E$2:E$740,(All_Detail!I$2:I$740&lt;TODAY())*(All_Detail!J$2:J$740&lt;&gt;"Success")),_xlfn._xlws.FILTER(All_Detail!I$2:I$740,(All_Detail!I$2:I$740&lt;TODAY())*(All_Detail!J$2:J$740&lt;&gt;"Success")),1),18),"")</f>
        <v>Access Switch Type 4</v>
      </c>
      <c r="E147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IFERROR(INDEX(_xlfn.SORTBY(_xlfn._xlws.FILTER(All_Detail!F$2:F$740,(All_Detail!I$2:I$740&lt;TODAY())*(All_Detail!J$2:J$740&lt;&gt;"Success")),_xlfn._xlws.FILTER(All_Detail!I$2:I$740,(All_Detail!I$2:I$740&lt;TODAY())*(All_Detail!J$2:J$740&lt;&gt;"Success")),1),18),"")</f>
        <v>1</v>
      </c>
      <c r="F147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IFERROR(INDEX(_xlfn.SORTBY(_xlfn._xlws.FILTER(All_Detail!I$2:I$740,(All_Detail!I$2:I$740&lt;TODAY())*(All_Detail!J$2:J$740&lt;&gt;"Success")),_xlfn._xlws.FILTER(All_Detail!I$2:I$740,(All_Detail!I$2:I$740&lt;TODAY())*(All_Detail!J$2:J$740&lt;&gt;"Success")),1),18),"")</f>
        <v>46105</v>
      </c>
      <c r="G147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IFERROR(INDEX(_xlfn.SORTBY(_xlfn._xlws.FILTER(All_Detail!J$2:J$740,(All_Detail!I$2:I$740&lt;TODAY())*(All_Detail!J$2:J$740&lt;&gt;"Success")),_xlfn._xlws.FILTER(All_Detail!I$2:I$740,(All_Detail!I$2:I$740&lt;TODAY())*(All_Detail!J$2:J$740&lt;&gt;"Success")),1),18),"")</f>
        <v>On Plan</v>
      </c>
      <c r="H147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IFERROR(INDEX(_xlfn.SORTBY(_xlfn._xlws.FILTER(TODAY()-All_Detail!I$2:I$740,(All_Detail!I$2:I$740&lt;TODAY())*(All_Detail!J$2:J$740&lt;&gt;"Success")),_xlfn._xlws.FILTER(All_Detail!I$2:I$740,(All_Detail!I$2:I$740&lt;TODAY())*(All_Detail!J$2:J$740&lt;&gt;"Success")),1),18),"")</f>
        <v>8</v>
      </c>
    </row>
    <row r="148" spans="1:8" ht="14.25" customHeight="1">
      <c r="A148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IFERROR(INDEX(_xlfn.SORTBY(_xlfn._xlws.FILTER(All_Detail!B$2:B$740,(All_Detail!I$2:I$740&lt;TODAY())*(All_Detail!J$2:J$740&lt;&gt;"Success")),_xlfn._xlws.FILTER(All_Detail!I$2:I$740,(All_Detail!I$2:I$740&lt;TODAY())*(All_Detail!J$2:J$740&lt;&gt;"Success")),1),19),"")</f>
        <v>D1-041</v>
      </c>
      <c r="B148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IFERROR(INDEX(_xlfn.SORTBY(_xlfn._xlws.FILTER(All_Detail!C$2:C$740,(All_Detail!I$2:I$740&lt;TODAY())*(All_Detail!J$2:J$740&lt;&gt;"Success")),_xlfn._xlws.FILTER(All_Detail!I$2:I$740,(All_Detail!I$2:I$740&lt;TODAY())*(All_Detail!J$2:J$740&lt;&gt;"Success")),1),19),"")</f>
        <v>Concourse D</v>
      </c>
      <c r="C148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IFERROR(INDEX(_xlfn.SORTBY(_xlfn._xlws.FILTER(All_Detail!D$2:D$740,(All_Detail!I$2:I$740&lt;TODAY())*(All_Detail!J$2:J$740&lt;&gt;"Success")),_xlfn._xlws.FILTER(All_Detail!I$2:I$740,(All_Detail!I$2:I$740&lt;TODAY())*(All_Detail!J$2:J$740&lt;&gt;"Success")),1),19),"")</f>
        <v>D1-017</v>
      </c>
      <c r="D148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IFERROR(INDEX(_xlfn.SORTBY(_xlfn._xlws.FILTER(All_Detail!E$2:E$740,(All_Detail!I$2:I$740&lt;TODAY())*(All_Detail!J$2:J$740&lt;&gt;"Success")),_xlfn._xlws.FILTER(All_Detail!I$2:I$740,(All_Detail!I$2:I$740&lt;TODAY())*(All_Detail!J$2:J$740&lt;&gt;"Success")),1),19),"")</f>
        <v>Access Switch Type 2</v>
      </c>
      <c r="E148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IFERROR(INDEX(_xlfn.SORTBY(_xlfn._xlws.FILTER(All_Detail!F$2:F$740,(All_Detail!I$2:I$740&lt;TODAY())*(All_Detail!J$2:J$740&lt;&gt;"Success")),_xlfn._xlws.FILTER(All_Detail!I$2:I$740,(All_Detail!I$2:I$740&lt;TODAY())*(All_Detail!J$2:J$740&lt;&gt;"Success")),1),19),"")</f>
        <v>2</v>
      </c>
      <c r="F148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IFERROR(INDEX(_xlfn.SORTBY(_xlfn._xlws.FILTER(All_Detail!I$2:I$740,(All_Detail!I$2:I$740&lt;TODAY())*(All_Detail!J$2:J$740&lt;&gt;"Success")),_xlfn._xlws.FILTER(All_Detail!I$2:I$740,(All_Detail!I$2:I$740&lt;TODAY())*(All_Detail!J$2:J$740&lt;&gt;"Success")),1),19),"")</f>
        <v>46105</v>
      </c>
      <c r="G148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IFERROR(INDEX(_xlfn.SORTBY(_xlfn._xlws.FILTER(All_Detail!J$2:J$740,(All_Detail!I$2:I$740&lt;TODAY())*(All_Detail!J$2:J$740&lt;&gt;"Success")),_xlfn._xlws.FILTER(All_Detail!I$2:I$740,(All_Detail!I$2:I$740&lt;TODAY())*(All_Detail!J$2:J$740&lt;&gt;"Success")),1),19),"")</f>
        <v>On Plan</v>
      </c>
      <c r="H148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IFERROR(INDEX(_xlfn.SORTBY(_xlfn._xlws.FILTER(TODAY()-All_Detail!I$2:I$740,(All_Detail!I$2:I$740&lt;TODAY())*(All_Detail!J$2:J$740&lt;&gt;"Success")),_xlfn._xlws.FILTER(All_Detail!I$2:I$740,(All_Detail!I$2:I$740&lt;TODAY())*(All_Detail!J$2:J$740&lt;&gt;"Success")),1),19),"")</f>
        <v>8</v>
      </c>
    </row>
    <row r="149" spans="1:8" ht="14.25" customHeight="1">
      <c r="A149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IFERROR(INDEX(_xlfn.SORTBY(_xlfn._xlws.FILTER(All_Detail!B$2:B$740,(All_Detail!I$2:I$740&lt;TODAY())*(All_Detail!J$2:J$740&lt;&gt;"Success")),_xlfn._xlws.FILTER(All_Detail!I$2:I$740,(All_Detail!I$2:I$740&lt;TODAY())*(All_Detail!J$2:J$740&lt;&gt;"Success")),1),20),"")</f>
        <v>D1-041</v>
      </c>
      <c r="B149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IFERROR(INDEX(_xlfn.SORTBY(_xlfn._xlws.FILTER(All_Detail!C$2:C$740,(All_Detail!I$2:I$740&lt;TODAY())*(All_Detail!J$2:J$740&lt;&gt;"Success")),_xlfn._xlws.FILTER(All_Detail!I$2:I$740,(All_Detail!I$2:I$740&lt;TODAY())*(All_Detail!J$2:J$740&lt;&gt;"Success")),1),20),"")</f>
        <v>Concourse D</v>
      </c>
      <c r="C149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IFERROR(INDEX(_xlfn.SORTBY(_xlfn._xlws.FILTER(All_Detail!D$2:D$740,(All_Detail!I$2:I$740&lt;TODAY())*(All_Detail!J$2:J$740&lt;&gt;"Success")),_xlfn._xlws.FILTER(All_Detail!I$2:I$740,(All_Detail!I$2:I$740&lt;TODAY())*(All_Detail!J$2:J$740&lt;&gt;"Success")),1),20),"")</f>
        <v>D1-025</v>
      </c>
      <c r="D149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IFERROR(INDEX(_xlfn.SORTBY(_xlfn._xlws.FILTER(All_Detail!E$2:E$740,(All_Detail!I$2:I$740&lt;TODAY())*(All_Detail!J$2:J$740&lt;&gt;"Success")),_xlfn._xlws.FILTER(All_Detail!I$2:I$740,(All_Detail!I$2:I$740&lt;TODAY())*(All_Detail!J$2:J$740&lt;&gt;"Success")),1),20),"")</f>
        <v>Access Switch Type 4</v>
      </c>
      <c r="E149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IFERROR(INDEX(_xlfn.SORTBY(_xlfn._xlws.FILTER(All_Detail!F$2:F$740,(All_Detail!I$2:I$740&lt;TODAY())*(All_Detail!J$2:J$740&lt;&gt;"Success")),_xlfn._xlws.FILTER(All_Detail!I$2:I$740,(All_Detail!I$2:I$740&lt;TODAY())*(All_Detail!J$2:J$740&lt;&gt;"Success")),1),20),"")</f>
        <v>1</v>
      </c>
      <c r="F149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IFERROR(INDEX(_xlfn.SORTBY(_xlfn._xlws.FILTER(All_Detail!I$2:I$740,(All_Detail!I$2:I$740&lt;TODAY())*(All_Detail!J$2:J$740&lt;&gt;"Success")),_xlfn._xlws.FILTER(All_Detail!I$2:I$740,(All_Detail!I$2:I$740&lt;TODAY())*(All_Detail!J$2:J$740&lt;&gt;"Success")),1),20),"")</f>
        <v>46105</v>
      </c>
      <c r="G149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IFERROR(INDEX(_xlfn.SORTBY(_xlfn._xlws.FILTER(All_Detail!J$2:J$740,(All_Detail!I$2:I$740&lt;TODAY())*(All_Detail!J$2:J$740&lt;&gt;"Success")),_xlfn._xlws.FILTER(All_Detail!I$2:I$740,(All_Detail!I$2:I$740&lt;TODAY())*(All_Detail!J$2:J$740&lt;&gt;"Success")),1),20),"")</f>
        <v>On Plan</v>
      </c>
      <c r="H149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IFERROR(INDEX(_xlfn.SORTBY(_xlfn._xlws.FILTER(TODAY()-All_Detail!I$2:I$740,(All_Detail!I$2:I$740&lt;TODAY())*(All_Detail!J$2:J$740&lt;&gt;"Success")),_xlfn._xlws.FILTER(All_Detail!I$2:I$740,(All_Detail!I$2:I$740&lt;TODAY())*(All_Detail!J$2:J$740&lt;&gt;"Success")),1),20),"")</f>
        <v>8</v>
      </c>
    </row>
    <row r="150" spans="1:8" ht="14.25" customHeight="1">
      <c r="A150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IFERROR(INDEX(_xlfn.SORTBY(_xlfn._xlws.FILTER(All_Detail!B$2:B$740,(All_Detail!I$2:I$740&lt;TODAY())*(All_Detail!J$2:J$740&lt;&gt;"Success")),_xlfn._xlws.FILTER(All_Detail!I$2:I$740,(All_Detail!I$2:I$740&lt;TODAY())*(All_Detail!J$2:J$740&lt;&gt;"Success")),1),21),"")</f>
        <v>D1-041</v>
      </c>
      <c r="B150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IFERROR(INDEX(_xlfn.SORTBY(_xlfn._xlws.FILTER(All_Detail!C$2:C$740,(All_Detail!I$2:I$740&lt;TODAY())*(All_Detail!J$2:J$740&lt;&gt;"Success")),_xlfn._xlws.FILTER(All_Detail!I$2:I$740,(All_Detail!I$2:I$740&lt;TODAY())*(All_Detail!J$2:J$740&lt;&gt;"Success")),1),21),"")</f>
        <v>Concourse D</v>
      </c>
      <c r="C150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IFERROR(INDEX(_xlfn.SORTBY(_xlfn._xlws.FILTER(All_Detail!D$2:D$740,(All_Detail!I$2:I$740&lt;TODAY())*(All_Detail!J$2:J$740&lt;&gt;"Success")),_xlfn._xlws.FILTER(All_Detail!I$2:I$740,(All_Detail!I$2:I$740&lt;TODAY())*(All_Detail!J$2:J$740&lt;&gt;"Success")),1),21),"")</f>
        <v>D1-025</v>
      </c>
      <c r="D150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IFERROR(INDEX(_xlfn.SORTBY(_xlfn._xlws.FILTER(All_Detail!E$2:E$740,(All_Detail!I$2:I$740&lt;TODAY())*(All_Detail!J$2:J$740&lt;&gt;"Success")),_xlfn._xlws.FILTER(All_Detail!I$2:I$740,(All_Detail!I$2:I$740&lt;TODAY())*(All_Detail!J$2:J$740&lt;&gt;"Success")),1),21),"")</f>
        <v>Access Switch Type 2</v>
      </c>
      <c r="E150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IFERROR(INDEX(_xlfn.SORTBY(_xlfn._xlws.FILTER(All_Detail!F$2:F$740,(All_Detail!I$2:I$740&lt;TODAY())*(All_Detail!J$2:J$740&lt;&gt;"Success")),_xlfn._xlws.FILTER(All_Detail!I$2:I$740,(All_Detail!I$2:I$740&lt;TODAY())*(All_Detail!J$2:J$740&lt;&gt;"Success")),1),21),"")</f>
        <v>2</v>
      </c>
      <c r="F150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IFERROR(INDEX(_xlfn.SORTBY(_xlfn._xlws.FILTER(All_Detail!I$2:I$740,(All_Detail!I$2:I$740&lt;TODAY())*(All_Detail!J$2:J$740&lt;&gt;"Success")),_xlfn._xlws.FILTER(All_Detail!I$2:I$740,(All_Detail!I$2:I$740&lt;TODAY())*(All_Detail!J$2:J$740&lt;&gt;"Success")),1),21),"")</f>
        <v>46105</v>
      </c>
      <c r="G150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IFERROR(INDEX(_xlfn.SORTBY(_xlfn._xlws.FILTER(All_Detail!J$2:J$740,(All_Detail!I$2:I$740&lt;TODAY())*(All_Detail!J$2:J$740&lt;&gt;"Success")),_xlfn._xlws.FILTER(All_Detail!I$2:I$740,(All_Detail!I$2:I$740&lt;TODAY())*(All_Detail!J$2:J$740&lt;&gt;"Success")),1),21),"")</f>
        <v>On Plan</v>
      </c>
      <c r="H150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IFERROR(INDEX(_xlfn.SORTBY(_xlfn._xlws.FILTER(TODAY()-All_Detail!I$2:I$740,(All_Detail!I$2:I$740&lt;TODAY())*(All_Detail!J$2:J$740&lt;&gt;"Success")),_xlfn._xlws.FILTER(All_Detail!I$2:I$740,(All_Detail!I$2:I$740&lt;TODAY())*(All_Detail!J$2:J$740&lt;&gt;"Success")),1),21),"")</f>
        <v>8</v>
      </c>
    </row>
    <row r="151" spans="1:8" ht="14.25" customHeight="1">
      <c r="A151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IFERROR(INDEX(_xlfn.SORTBY(_xlfn._xlws.FILTER(All_Detail!B$2:B$740,(All_Detail!I$2:I$740&lt;TODAY())*(All_Detail!J$2:J$740&lt;&gt;"Success")),_xlfn._xlws.FILTER(All_Detail!I$2:I$740,(All_Detail!I$2:I$740&lt;TODAY())*(All_Detail!J$2:J$740&lt;&gt;"Success")),1),22),"")</f>
        <v>D1-041</v>
      </c>
      <c r="B151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IFERROR(INDEX(_xlfn.SORTBY(_xlfn._xlws.FILTER(All_Detail!C$2:C$740,(All_Detail!I$2:I$740&lt;TODAY())*(All_Detail!J$2:J$740&lt;&gt;"Success")),_xlfn._xlws.FILTER(All_Detail!I$2:I$740,(All_Detail!I$2:I$740&lt;TODAY())*(All_Detail!J$2:J$740&lt;&gt;"Success")),1),22),"")</f>
        <v>อาคารสำนักงานท่าอากาศยานสุวรรณภูมิ</v>
      </c>
      <c r="C151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IFERROR(INDEX(_xlfn.SORTBY(_xlfn._xlws.FILTER(All_Detail!D$2:D$740,(All_Detail!I$2:I$740&lt;TODAY())*(All_Detail!J$2:J$740&lt;&gt;"Success")),_xlfn._xlws.FILTER(All_Detail!I$2:I$740,(All_Detail!I$2:I$740&lt;TODAY())*(All_Detail!J$2:J$740&lt;&gt;"Success")),1),22),"")</f>
        <v>-</v>
      </c>
      <c r="D151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IFERROR(INDEX(_xlfn.SORTBY(_xlfn._xlws.FILTER(All_Detail!E$2:E$740,(All_Detail!I$2:I$740&lt;TODAY())*(All_Detail!J$2:J$740&lt;&gt;"Success")),_xlfn._xlws.FILTER(All_Detail!I$2:I$740,(All_Detail!I$2:I$740&lt;TODAY())*(All_Detail!J$2:J$740&lt;&gt;"Success")),1),22),"")</f>
        <v>Access Point</v>
      </c>
      <c r="E151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IFERROR(INDEX(_xlfn.SORTBY(_xlfn._xlws.FILTER(All_Detail!F$2:F$740,(All_Detail!I$2:I$740&lt;TODAY())*(All_Detail!J$2:J$740&lt;&gt;"Success")),_xlfn._xlws.FILTER(All_Detail!I$2:I$740,(All_Detail!I$2:I$740&lt;TODAY())*(All_Detail!J$2:J$740&lt;&gt;"Success")),1),22),"")</f>
        <v>176</v>
      </c>
      <c r="F151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IFERROR(INDEX(_xlfn.SORTBY(_xlfn._xlws.FILTER(All_Detail!I$2:I$740,(All_Detail!I$2:I$740&lt;TODAY())*(All_Detail!J$2:J$740&lt;&gt;"Success")),_xlfn._xlws.FILTER(All_Detail!I$2:I$740,(All_Detail!I$2:I$740&lt;TODAY())*(All_Detail!J$2:J$740&lt;&gt;"Success")),1),22),"")</f>
        <v>46105</v>
      </c>
      <c r="G151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IFERROR(INDEX(_xlfn.SORTBY(_xlfn._xlws.FILTER(All_Detail!J$2:J$740,(All_Detail!I$2:I$740&lt;TODAY())*(All_Detail!J$2:J$740&lt;&gt;"Success")),_xlfn._xlws.FILTER(All_Detail!I$2:I$740,(All_Detail!I$2:I$740&lt;TODAY())*(All_Detail!J$2:J$740&lt;&gt;"Success")),1),22),"")</f>
        <v>On Plan</v>
      </c>
      <c r="H151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IFERROR(INDEX(_xlfn.SORTBY(_xlfn._xlws.FILTER(TODAY()-All_Detail!I$2:I$740,(All_Detail!I$2:I$740&lt;TODAY())*(All_Detail!J$2:J$740&lt;&gt;"Success")),_xlfn._xlws.FILTER(All_Detail!I$2:I$740,(All_Detail!I$2:I$740&lt;TODAY())*(All_Detail!J$2:J$740&lt;&gt;"Success")),1),22),"")</f>
        <v>8</v>
      </c>
    </row>
    <row r="152" spans="1:8" ht="14.25" customHeight="1">
      <c r="A152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IFERROR(INDEX(_xlfn.SORTBY(_xlfn._xlws.FILTER(All_Detail!B$2:B$740,(All_Detail!I$2:I$740&lt;TODAY())*(All_Detail!J$2:J$740&lt;&gt;"Success")),_xlfn._xlws.FILTER(All_Detail!I$2:I$740,(All_Detail!I$2:I$740&lt;TODAY())*(All_Detail!J$2:J$740&lt;&gt;"Success")),1),23),"")</f>
        <v>D1-041</v>
      </c>
      <c r="B152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IFERROR(INDEX(_xlfn.SORTBY(_xlfn._xlws.FILTER(All_Detail!C$2:C$740,(All_Detail!I$2:I$740&lt;TODAY())*(All_Detail!J$2:J$740&lt;&gt;"Success")),_xlfn._xlws.FILTER(All_Detail!I$2:I$740,(All_Detail!I$2:I$740&lt;TODAY())*(All_Detail!J$2:J$740&lt;&gt;"Success")),1),23),"")</f>
        <v>Concourse D</v>
      </c>
      <c r="C152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IFERROR(INDEX(_xlfn.SORTBY(_xlfn._xlws.FILTER(All_Detail!D$2:D$740,(All_Detail!I$2:I$740&lt;TODAY())*(All_Detail!J$2:J$740&lt;&gt;"Success")),_xlfn._xlws.FILTER(All_Detail!I$2:I$740,(All_Detail!I$2:I$740&lt;TODAY())*(All_Detail!J$2:J$740&lt;&gt;"Success")),1),23),"")</f>
        <v>D1-030</v>
      </c>
      <c r="D152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IFERROR(INDEX(_xlfn.SORTBY(_xlfn._xlws.FILTER(All_Detail!E$2:E$740,(All_Detail!I$2:I$740&lt;TODAY())*(All_Detail!J$2:J$740&lt;&gt;"Success")),_xlfn._xlws.FILTER(All_Detail!I$2:I$740,(All_Detail!I$2:I$740&lt;TODAY())*(All_Detail!J$2:J$740&lt;&gt;"Success")),1),23),"")</f>
        <v>Aggregation Switch Type 2</v>
      </c>
      <c r="E152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IFERROR(INDEX(_xlfn.SORTBY(_xlfn._xlws.FILTER(All_Detail!F$2:F$740,(All_Detail!I$2:I$740&lt;TODAY())*(All_Detail!J$2:J$740&lt;&gt;"Success")),_xlfn._xlws.FILTER(All_Detail!I$2:I$740,(All_Detail!I$2:I$740&lt;TODAY())*(All_Detail!J$2:J$740&lt;&gt;"Success")),1),23),"")</f>
        <v>1</v>
      </c>
      <c r="F152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IFERROR(INDEX(_xlfn.SORTBY(_xlfn._xlws.FILTER(All_Detail!I$2:I$740,(All_Detail!I$2:I$740&lt;TODAY())*(All_Detail!J$2:J$740&lt;&gt;"Success")),_xlfn._xlws.FILTER(All_Detail!I$2:I$740,(All_Detail!I$2:I$740&lt;TODAY())*(All_Detail!J$2:J$740&lt;&gt;"Success")),1),23),"")</f>
        <v>46106</v>
      </c>
      <c r="G152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IFERROR(INDEX(_xlfn.SORTBY(_xlfn._xlws.FILTER(All_Detail!J$2:J$740,(All_Detail!I$2:I$740&lt;TODAY())*(All_Detail!J$2:J$740&lt;&gt;"Success")),_xlfn._xlws.FILTER(All_Detail!I$2:I$740,(All_Detail!I$2:I$740&lt;TODAY())*(All_Detail!J$2:J$740&lt;&gt;"Success")),1),23),"")</f>
        <v>On Plan</v>
      </c>
      <c r="H152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IFERROR(INDEX(_xlfn.SORTBY(_xlfn._xlws.FILTER(TODAY()-All_Detail!I$2:I$740,(All_Detail!I$2:I$740&lt;TODAY())*(All_Detail!J$2:J$740&lt;&gt;"Success")),_xlfn._xlws.FILTER(All_Detail!I$2:I$740,(All_Detail!I$2:I$740&lt;TODAY())*(All_Detail!J$2:J$740&lt;&gt;"Success")),1),23),"")</f>
        <v>7</v>
      </c>
    </row>
    <row r="153" spans="1:8" ht="14.25" customHeight="1">
      <c r="A153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IFERROR(INDEX(_xlfn.SORTBY(_xlfn._xlws.FILTER(All_Detail!B$2:B$740,(All_Detail!I$2:I$740&lt;TODAY())*(All_Detail!J$2:J$740&lt;&gt;"Success")),_xlfn._xlws.FILTER(All_Detail!I$2:I$740,(All_Detail!I$2:I$740&lt;TODAY())*(All_Detail!J$2:J$740&lt;&gt;"Success")),1),24),"")</f>
        <v>D1-041</v>
      </c>
      <c r="B153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IFERROR(INDEX(_xlfn.SORTBY(_xlfn._xlws.FILTER(All_Detail!C$2:C$740,(All_Detail!I$2:I$740&lt;TODAY())*(All_Detail!J$2:J$740&lt;&gt;"Success")),_xlfn._xlws.FILTER(All_Detail!I$2:I$740,(All_Detail!I$2:I$740&lt;TODAY())*(All_Detail!J$2:J$740&lt;&gt;"Success")),1),24),"")</f>
        <v>Concourse D</v>
      </c>
      <c r="C153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IFERROR(INDEX(_xlfn.SORTBY(_xlfn._xlws.FILTER(All_Detail!D$2:D$740,(All_Detail!I$2:I$740&lt;TODAY())*(All_Detail!J$2:J$740&lt;&gt;"Success")),_xlfn._xlws.FILTER(All_Detail!I$2:I$740,(All_Detail!I$2:I$740&lt;TODAY())*(All_Detail!J$2:J$740&lt;&gt;"Success")),1),24),"")</f>
        <v>D1-035</v>
      </c>
      <c r="D153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IFERROR(INDEX(_xlfn.SORTBY(_xlfn._xlws.FILTER(All_Detail!E$2:E$740,(All_Detail!I$2:I$740&lt;TODAY())*(All_Detail!J$2:J$740&lt;&gt;"Success")),_xlfn._xlws.FILTER(All_Detail!I$2:I$740,(All_Detail!I$2:I$740&lt;TODAY())*(All_Detail!J$2:J$740&lt;&gt;"Success")),1),24),"")</f>
        <v>Aggregation Switch Type 3</v>
      </c>
      <c r="E153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IFERROR(INDEX(_xlfn.SORTBY(_xlfn._xlws.FILTER(All_Detail!F$2:F$740,(All_Detail!I$2:I$740&lt;TODAY())*(All_Detail!J$2:J$740&lt;&gt;"Success")),_xlfn._xlws.FILTER(All_Detail!I$2:I$740,(All_Detail!I$2:I$740&lt;TODAY())*(All_Detail!J$2:J$740&lt;&gt;"Success")),1),24),"")</f>
        <v>1</v>
      </c>
      <c r="F153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IFERROR(INDEX(_xlfn.SORTBY(_xlfn._xlws.FILTER(All_Detail!I$2:I$740,(All_Detail!I$2:I$740&lt;TODAY())*(All_Detail!J$2:J$740&lt;&gt;"Success")),_xlfn._xlws.FILTER(All_Detail!I$2:I$740,(All_Detail!I$2:I$740&lt;TODAY())*(All_Detail!J$2:J$740&lt;&gt;"Success")),1),24),"")</f>
        <v>46106</v>
      </c>
      <c r="G153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IFERROR(INDEX(_xlfn.SORTBY(_xlfn._xlws.FILTER(All_Detail!J$2:J$740,(All_Detail!I$2:I$740&lt;TODAY())*(All_Detail!J$2:J$740&lt;&gt;"Success")),_xlfn._xlws.FILTER(All_Detail!I$2:I$740,(All_Detail!I$2:I$740&lt;TODAY())*(All_Detail!J$2:J$740&lt;&gt;"Success")),1),24),"")</f>
        <v>On Plan</v>
      </c>
      <c r="H153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IFERROR(INDEX(_xlfn.SORTBY(_xlfn._xlws.FILTER(TODAY()-All_Detail!I$2:I$740,(All_Detail!I$2:I$740&lt;TODAY())*(All_Detail!J$2:J$740&lt;&gt;"Success")),_xlfn._xlws.FILTER(All_Detail!I$2:I$740,(All_Detail!I$2:I$740&lt;TODAY())*(All_Detail!J$2:J$740&lt;&gt;"Success")),1),24),"")</f>
        <v>7</v>
      </c>
    </row>
    <row r="154" spans="1:8" ht="14.25" customHeight="1">
      <c r="A154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IFERROR(INDEX(_xlfn.SORTBY(_xlfn._xlws.FILTER(All_Detail!B$2:B$740,(All_Detail!I$2:I$740&lt;TODAY())*(All_Detail!J$2:J$740&lt;&gt;"Success")),_xlfn._xlws.FILTER(All_Detail!I$2:I$740,(All_Detail!I$2:I$740&lt;TODAY())*(All_Detail!J$2:J$740&lt;&gt;"Success")),1),25),"")</f>
        <v>D1-041</v>
      </c>
      <c r="B154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IFERROR(INDEX(_xlfn.SORTBY(_xlfn._xlws.FILTER(All_Detail!C$2:C$740,(All_Detail!I$2:I$740&lt;TODAY())*(All_Detail!J$2:J$740&lt;&gt;"Success")),_xlfn._xlws.FILTER(All_Detail!I$2:I$740,(All_Detail!I$2:I$740&lt;TODAY())*(All_Detail!J$2:J$740&lt;&gt;"Success")),1),25),"")</f>
        <v>Concourse D</v>
      </c>
      <c r="C154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IFERROR(INDEX(_xlfn.SORTBY(_xlfn._xlws.FILTER(All_Detail!D$2:D$740,(All_Detail!I$2:I$740&lt;TODAY())*(All_Detail!J$2:J$740&lt;&gt;"Success")),_xlfn._xlws.FILTER(All_Detail!I$2:I$740,(All_Detail!I$2:I$740&lt;TODAY())*(All_Detail!J$2:J$740&lt;&gt;"Success")),1),25),"")</f>
        <v>D1-063</v>
      </c>
      <c r="D154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IFERROR(INDEX(_xlfn.SORTBY(_xlfn._xlws.FILTER(All_Detail!E$2:E$740,(All_Detail!I$2:I$740&lt;TODAY())*(All_Detail!J$2:J$740&lt;&gt;"Success")),_xlfn._xlws.FILTER(All_Detail!I$2:I$740,(All_Detail!I$2:I$740&lt;TODAY())*(All_Detail!J$2:J$740&lt;&gt;"Success")),1),25),"")</f>
        <v>Aggregation Switch Type 3</v>
      </c>
      <c r="E154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IFERROR(INDEX(_xlfn.SORTBY(_xlfn._xlws.FILTER(All_Detail!F$2:F$740,(All_Detail!I$2:I$740&lt;TODAY())*(All_Detail!J$2:J$740&lt;&gt;"Success")),_xlfn._xlws.FILTER(All_Detail!I$2:I$740,(All_Detail!I$2:I$740&lt;TODAY())*(All_Detail!J$2:J$740&lt;&gt;"Success")),1),25),"")</f>
        <v>1</v>
      </c>
      <c r="F154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IFERROR(INDEX(_xlfn.SORTBY(_xlfn._xlws.FILTER(All_Detail!I$2:I$740,(All_Detail!I$2:I$740&lt;TODAY())*(All_Detail!J$2:J$740&lt;&gt;"Success")),_xlfn._xlws.FILTER(All_Detail!I$2:I$740,(All_Detail!I$2:I$740&lt;TODAY())*(All_Detail!J$2:J$740&lt;&gt;"Success")),1),25),"")</f>
        <v>46106</v>
      </c>
      <c r="G154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IFERROR(INDEX(_xlfn.SORTBY(_xlfn._xlws.FILTER(All_Detail!J$2:J$740,(All_Detail!I$2:I$740&lt;TODAY())*(All_Detail!J$2:J$740&lt;&gt;"Success")),_xlfn._xlws.FILTER(All_Detail!I$2:I$740,(All_Detail!I$2:I$740&lt;TODAY())*(All_Detail!J$2:J$740&lt;&gt;"Success")),1),25),"")</f>
        <v>On Plan</v>
      </c>
      <c r="H154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IFERROR(INDEX(_xlfn.SORTBY(_xlfn._xlws.FILTER(TODAY()-All_Detail!I$2:I$740,(All_Detail!I$2:I$740&lt;TODAY())*(All_Detail!J$2:J$740&lt;&gt;"Success")),_xlfn._xlws.FILTER(All_Detail!I$2:I$740,(All_Detail!I$2:I$740&lt;TODAY())*(All_Detail!J$2:J$740&lt;&gt;"Success")),1),25),"")</f>
        <v>7</v>
      </c>
    </row>
    <row r="155" spans="1:8" ht="14.25" customHeight="1">
      <c r="A155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IFERROR(INDEX(_xlfn.SORTBY(_xlfn._xlws.FILTER(All_Detail!B$2:B$740,(All_Detail!I$2:I$740&lt;TODAY())*(All_Detail!J$2:J$740&lt;&gt;"Success")),_xlfn._xlws.FILTER(All_Detail!I$2:I$740,(All_Detail!I$2:I$740&lt;TODAY())*(All_Detail!J$2:J$740&lt;&gt;"Success")),1),26),"")</f>
        <v>D1-041</v>
      </c>
      <c r="B155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IFERROR(INDEX(_xlfn.SORTBY(_xlfn._xlws.FILTER(All_Detail!C$2:C$740,(All_Detail!I$2:I$740&lt;TODAY())*(All_Detail!J$2:J$740&lt;&gt;"Success")),_xlfn._xlws.FILTER(All_Detail!I$2:I$740,(All_Detail!I$2:I$740&lt;TODAY())*(All_Detail!J$2:J$740&lt;&gt;"Success")),1),26),"")</f>
        <v>Concourse D</v>
      </c>
      <c r="C155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IFERROR(INDEX(_xlfn.SORTBY(_xlfn._xlws.FILTER(All_Detail!D$2:D$740,(All_Detail!I$2:I$740&lt;TODAY())*(All_Detail!J$2:J$740&lt;&gt;"Success")),_xlfn._xlws.FILTER(All_Detail!I$2:I$740,(All_Detail!I$2:I$740&lt;TODAY())*(All_Detail!J$2:J$740&lt;&gt;"Success")),1),26),"")</f>
        <v>D1-030</v>
      </c>
      <c r="D155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IFERROR(INDEX(_xlfn.SORTBY(_xlfn._xlws.FILTER(All_Detail!E$2:E$740,(All_Detail!I$2:I$740&lt;TODAY())*(All_Detail!J$2:J$740&lt;&gt;"Success")),_xlfn._xlws.FILTER(All_Detail!I$2:I$740,(All_Detail!I$2:I$740&lt;TODAY())*(All_Detail!J$2:J$740&lt;&gt;"Success")),1),26),"")</f>
        <v>Access Switch Type 4</v>
      </c>
      <c r="E155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IFERROR(INDEX(_xlfn.SORTBY(_xlfn._xlws.FILTER(All_Detail!F$2:F$740,(All_Detail!I$2:I$740&lt;TODAY())*(All_Detail!J$2:J$740&lt;&gt;"Success")),_xlfn._xlws.FILTER(All_Detail!I$2:I$740,(All_Detail!I$2:I$740&lt;TODAY())*(All_Detail!J$2:J$740&lt;&gt;"Success")),1),26),"")</f>
        <v>1</v>
      </c>
      <c r="F155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IFERROR(INDEX(_xlfn.SORTBY(_xlfn._xlws.FILTER(All_Detail!I$2:I$740,(All_Detail!I$2:I$740&lt;TODAY())*(All_Detail!J$2:J$740&lt;&gt;"Success")),_xlfn._xlws.FILTER(All_Detail!I$2:I$740,(All_Detail!I$2:I$740&lt;TODAY())*(All_Detail!J$2:J$740&lt;&gt;"Success")),1),26),"")</f>
        <v>46106</v>
      </c>
      <c r="G155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IFERROR(INDEX(_xlfn.SORTBY(_xlfn._xlws.FILTER(All_Detail!J$2:J$740,(All_Detail!I$2:I$740&lt;TODAY())*(All_Detail!J$2:J$740&lt;&gt;"Success")),_xlfn._xlws.FILTER(All_Detail!I$2:I$740,(All_Detail!I$2:I$740&lt;TODAY())*(All_Detail!J$2:J$740&lt;&gt;"Success")),1),26),"")</f>
        <v>On Plan</v>
      </c>
      <c r="H155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IFERROR(INDEX(_xlfn.SORTBY(_xlfn._xlws.FILTER(TODAY()-All_Detail!I$2:I$740,(All_Detail!I$2:I$740&lt;TODAY())*(All_Detail!J$2:J$740&lt;&gt;"Success")),_xlfn._xlws.FILTER(All_Detail!I$2:I$740,(All_Detail!I$2:I$740&lt;TODAY())*(All_Detail!J$2:J$740&lt;&gt;"Success")),1),26),"")</f>
        <v>7</v>
      </c>
    </row>
    <row r="156" spans="1:8" ht="14.25" customHeight="1">
      <c r="A156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IFERROR(INDEX(_xlfn.SORTBY(_xlfn._xlws.FILTER(All_Detail!B$2:B$740,(All_Detail!I$2:I$740&lt;TODAY())*(All_Detail!J$2:J$740&lt;&gt;"Success")),_xlfn._xlws.FILTER(All_Detail!I$2:I$740,(All_Detail!I$2:I$740&lt;TODAY())*(All_Detail!J$2:J$740&lt;&gt;"Success")),1),27),"")</f>
        <v>D1-041</v>
      </c>
      <c r="B156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IFERROR(INDEX(_xlfn.SORTBY(_xlfn._xlws.FILTER(All_Detail!C$2:C$740,(All_Detail!I$2:I$740&lt;TODAY())*(All_Detail!J$2:J$740&lt;&gt;"Success")),_xlfn._xlws.FILTER(All_Detail!I$2:I$740,(All_Detail!I$2:I$740&lt;TODAY())*(All_Detail!J$2:J$740&lt;&gt;"Success")),1),27),"")</f>
        <v>Concourse D</v>
      </c>
      <c r="C156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IFERROR(INDEX(_xlfn.SORTBY(_xlfn._xlws.FILTER(All_Detail!D$2:D$740,(All_Detail!I$2:I$740&lt;TODAY())*(All_Detail!J$2:J$740&lt;&gt;"Success")),_xlfn._xlws.FILTER(All_Detail!I$2:I$740,(All_Detail!I$2:I$740&lt;TODAY())*(All_Detail!J$2:J$740&lt;&gt;"Success")),1),27),"")</f>
        <v>D1-030</v>
      </c>
      <c r="D156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IFERROR(INDEX(_xlfn.SORTBY(_xlfn._xlws.FILTER(All_Detail!E$2:E$740,(All_Detail!I$2:I$740&lt;TODAY())*(All_Detail!J$2:J$740&lt;&gt;"Success")),_xlfn._xlws.FILTER(All_Detail!I$2:I$740,(All_Detail!I$2:I$740&lt;TODAY())*(All_Detail!J$2:J$740&lt;&gt;"Success")),1),27),"")</f>
        <v>Access Switch Type 2</v>
      </c>
      <c r="E156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IFERROR(INDEX(_xlfn.SORTBY(_xlfn._xlws.FILTER(All_Detail!F$2:F$740,(All_Detail!I$2:I$740&lt;TODAY())*(All_Detail!J$2:J$740&lt;&gt;"Success")),_xlfn._xlws.FILTER(All_Detail!I$2:I$740,(All_Detail!I$2:I$740&lt;TODAY())*(All_Detail!J$2:J$740&lt;&gt;"Success")),1),27),"")</f>
        <v>1</v>
      </c>
      <c r="F156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IFERROR(INDEX(_xlfn.SORTBY(_xlfn._xlws.FILTER(All_Detail!I$2:I$740,(All_Detail!I$2:I$740&lt;TODAY())*(All_Detail!J$2:J$740&lt;&gt;"Success")),_xlfn._xlws.FILTER(All_Detail!I$2:I$740,(All_Detail!I$2:I$740&lt;TODAY())*(All_Detail!J$2:J$740&lt;&gt;"Success")),1),27),"")</f>
        <v>46106</v>
      </c>
      <c r="G156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IFERROR(INDEX(_xlfn.SORTBY(_xlfn._xlws.FILTER(All_Detail!J$2:J$740,(All_Detail!I$2:I$740&lt;TODAY())*(All_Detail!J$2:J$740&lt;&gt;"Success")),_xlfn._xlws.FILTER(All_Detail!I$2:I$740,(All_Detail!I$2:I$740&lt;TODAY())*(All_Detail!J$2:J$740&lt;&gt;"Success")),1),27),"")</f>
        <v>On Plan</v>
      </c>
      <c r="H156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IFERROR(INDEX(_xlfn.SORTBY(_xlfn._xlws.FILTER(TODAY()-All_Detail!I$2:I$740,(All_Detail!I$2:I$740&lt;TODAY())*(All_Detail!J$2:J$740&lt;&gt;"Success")),_xlfn._xlws.FILTER(All_Detail!I$2:I$740,(All_Detail!I$2:I$740&lt;TODAY())*(All_Detail!J$2:J$740&lt;&gt;"Success")),1),27),"")</f>
        <v>7</v>
      </c>
    </row>
    <row r="157" spans="1:8" ht="14.25" customHeight="1">
      <c r="A157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IFERROR(INDEX(_xlfn.SORTBY(_xlfn._xlws.FILTER(All_Detail!B$2:B$740,(All_Detail!I$2:I$740&lt;TODAY())*(All_Detail!J$2:J$740&lt;&gt;"Success")),_xlfn._xlws.FILTER(All_Detail!I$2:I$740,(All_Detail!I$2:I$740&lt;TODAY())*(All_Detail!J$2:J$740&lt;&gt;"Success")),1),28),"")</f>
        <v>D1-041</v>
      </c>
      <c r="B157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IFERROR(INDEX(_xlfn.SORTBY(_xlfn._xlws.FILTER(All_Detail!C$2:C$740,(All_Detail!I$2:I$740&lt;TODAY())*(All_Detail!J$2:J$740&lt;&gt;"Success")),_xlfn._xlws.FILTER(All_Detail!I$2:I$740,(All_Detail!I$2:I$740&lt;TODAY())*(All_Detail!J$2:J$740&lt;&gt;"Success")),1),28),"")</f>
        <v>Concourse D</v>
      </c>
      <c r="C157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IFERROR(INDEX(_xlfn.SORTBY(_xlfn._xlws.FILTER(All_Detail!D$2:D$740,(All_Detail!I$2:I$740&lt;TODAY())*(All_Detail!J$2:J$740&lt;&gt;"Success")),_xlfn._xlws.FILTER(All_Detail!I$2:I$740,(All_Detail!I$2:I$740&lt;TODAY())*(All_Detail!J$2:J$740&lt;&gt;"Success")),1),28),"")</f>
        <v>D1-035</v>
      </c>
      <c r="D157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IFERROR(INDEX(_xlfn.SORTBY(_xlfn._xlws.FILTER(All_Detail!E$2:E$740,(All_Detail!I$2:I$740&lt;TODAY())*(All_Detail!J$2:J$740&lt;&gt;"Success")),_xlfn._xlws.FILTER(All_Detail!I$2:I$740,(All_Detail!I$2:I$740&lt;TODAY())*(All_Detail!J$2:J$740&lt;&gt;"Success")),1),28),"")</f>
        <v>Access Switch Type 4</v>
      </c>
      <c r="E157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IFERROR(INDEX(_xlfn.SORTBY(_xlfn._xlws.FILTER(All_Detail!F$2:F$740,(All_Detail!I$2:I$740&lt;TODAY())*(All_Detail!J$2:J$740&lt;&gt;"Success")),_xlfn._xlws.FILTER(All_Detail!I$2:I$740,(All_Detail!I$2:I$740&lt;TODAY())*(All_Detail!J$2:J$740&lt;&gt;"Success")),1),28),"")</f>
        <v>1</v>
      </c>
      <c r="F157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IFERROR(INDEX(_xlfn.SORTBY(_xlfn._xlws.FILTER(All_Detail!I$2:I$740,(All_Detail!I$2:I$740&lt;TODAY())*(All_Detail!J$2:J$740&lt;&gt;"Success")),_xlfn._xlws.FILTER(All_Detail!I$2:I$740,(All_Detail!I$2:I$740&lt;TODAY())*(All_Detail!J$2:J$740&lt;&gt;"Success")),1),28),"")</f>
        <v>46106</v>
      </c>
      <c r="G157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IFERROR(INDEX(_xlfn.SORTBY(_xlfn._xlws.FILTER(All_Detail!J$2:J$740,(All_Detail!I$2:I$740&lt;TODAY())*(All_Detail!J$2:J$740&lt;&gt;"Success")),_xlfn._xlws.FILTER(All_Detail!I$2:I$740,(All_Detail!I$2:I$740&lt;TODAY())*(All_Detail!J$2:J$740&lt;&gt;"Success")),1),28),"")</f>
        <v>On Plan</v>
      </c>
      <c r="H157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IFERROR(INDEX(_xlfn.SORTBY(_xlfn._xlws.FILTER(TODAY()-All_Detail!I$2:I$740,(All_Detail!I$2:I$740&lt;TODAY())*(All_Detail!J$2:J$740&lt;&gt;"Success")),_xlfn._xlws.FILTER(All_Detail!I$2:I$740,(All_Detail!I$2:I$740&lt;TODAY())*(All_Detail!J$2:J$740&lt;&gt;"Success")),1),28),"")</f>
        <v>7</v>
      </c>
    </row>
    <row r="158" spans="1:8" ht="15" customHeight="1">
      <c r="A158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IFERROR(INDEX(_xlfn.SORTBY(_xlfn._xlws.FILTER(All_Detail!B$2:B$740,(All_Detail!I$2:I$740&lt;TODAY())*(All_Detail!J$2:J$740&lt;&gt;"Success")),_xlfn._xlws.FILTER(All_Detail!I$2:I$740,(All_Detail!I$2:I$740&lt;TODAY())*(All_Detail!J$2:J$740&lt;&gt;"Success")),1),29),"")</f>
        <v>D1-041</v>
      </c>
      <c r="B158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IFERROR(INDEX(_xlfn.SORTBY(_xlfn._xlws.FILTER(All_Detail!C$2:C$740,(All_Detail!I$2:I$740&lt;TODAY())*(All_Detail!J$2:J$740&lt;&gt;"Success")),_xlfn._xlws.FILTER(All_Detail!I$2:I$740,(All_Detail!I$2:I$740&lt;TODAY())*(All_Detail!J$2:J$740&lt;&gt;"Success")),1),29),"")</f>
        <v>Concourse D</v>
      </c>
      <c r="C158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IFERROR(INDEX(_xlfn.SORTBY(_xlfn._xlws.FILTER(All_Detail!D$2:D$740,(All_Detail!I$2:I$740&lt;TODAY())*(All_Detail!J$2:J$740&lt;&gt;"Success")),_xlfn._xlws.FILTER(All_Detail!I$2:I$740,(All_Detail!I$2:I$740&lt;TODAY())*(All_Detail!J$2:J$740&lt;&gt;"Success")),1),29),"")</f>
        <v>D1-035</v>
      </c>
      <c r="D158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IFERROR(INDEX(_xlfn.SORTBY(_xlfn._xlws.FILTER(All_Detail!E$2:E$740,(All_Detail!I$2:I$740&lt;TODAY())*(All_Detail!J$2:J$740&lt;&gt;"Success")),_xlfn._xlws.FILTER(All_Detail!I$2:I$740,(All_Detail!I$2:I$740&lt;TODAY())*(All_Detail!J$2:J$740&lt;&gt;"Success")),1),29),"")</f>
        <v>Access Switch Type 2</v>
      </c>
      <c r="E158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IFERROR(INDEX(_xlfn.SORTBY(_xlfn._xlws.FILTER(All_Detail!F$2:F$740,(All_Detail!I$2:I$740&lt;TODAY())*(All_Detail!J$2:J$740&lt;&gt;"Success")),_xlfn._xlws.FILTER(All_Detail!I$2:I$740,(All_Detail!I$2:I$740&lt;TODAY())*(All_Detail!J$2:J$740&lt;&gt;"Success")),1),29),"")</f>
        <v>2</v>
      </c>
      <c r="F158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IFERROR(INDEX(_xlfn.SORTBY(_xlfn._xlws.FILTER(All_Detail!I$2:I$740,(All_Detail!I$2:I$740&lt;TODAY())*(All_Detail!J$2:J$740&lt;&gt;"Success")),_xlfn._xlws.FILTER(All_Detail!I$2:I$740,(All_Detail!I$2:I$740&lt;TODAY())*(All_Detail!J$2:J$740&lt;&gt;"Success")),1),29),"")</f>
        <v>46106</v>
      </c>
      <c r="G158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IFERROR(INDEX(_xlfn.SORTBY(_xlfn._xlws.FILTER(All_Detail!J$2:J$740,(All_Detail!I$2:I$740&lt;TODAY())*(All_Detail!J$2:J$740&lt;&gt;"Success")),_xlfn._xlws.FILTER(All_Detail!I$2:I$740,(All_Detail!I$2:I$740&lt;TODAY())*(All_Detail!J$2:J$740&lt;&gt;"Success")),1),29),"")</f>
        <v>On Plan</v>
      </c>
      <c r="H158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IFERROR(INDEX(_xlfn.SORTBY(_xlfn._xlws.FILTER(TODAY()-All_Detail!I$2:I$740,(All_Detail!I$2:I$740&lt;TODAY())*(All_Detail!J$2:J$740&lt;&gt;"Success")),_xlfn._xlws.FILTER(All_Detail!I$2:I$740,(All_Detail!I$2:I$740&lt;TODAY())*(All_Detail!J$2:J$740&lt;&gt;"Success")),1),29),"")</f>
        <v>7</v>
      </c>
    </row>
    <row r="159" spans="1:8" ht="14.25" customHeight="1">
      <c r="A159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IFERROR(INDEX(_xlfn.SORTBY(_xlfn._xlws.FILTER(All_Detail!B$2:B$740,(All_Detail!I$2:I$740&lt;TODAY())*(All_Detail!J$2:J$740&lt;&gt;"Success")),_xlfn._xlws.FILTER(All_Detail!I$2:I$740,(All_Detail!I$2:I$740&lt;TODAY())*(All_Detail!J$2:J$740&lt;&gt;"Success")),1),30),"")</f>
        <v>D1-041</v>
      </c>
      <c r="B159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IFERROR(INDEX(_xlfn.SORTBY(_xlfn._xlws.FILTER(All_Detail!C$2:C$740,(All_Detail!I$2:I$740&lt;TODAY())*(All_Detail!J$2:J$740&lt;&gt;"Success")),_xlfn._xlws.FILTER(All_Detail!I$2:I$740,(All_Detail!I$2:I$740&lt;TODAY())*(All_Detail!J$2:J$740&lt;&gt;"Success")),1),30),"")</f>
        <v>Concourse D</v>
      </c>
      <c r="C159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IFERROR(INDEX(_xlfn.SORTBY(_xlfn._xlws.FILTER(All_Detail!D$2:D$740,(All_Detail!I$2:I$740&lt;TODAY())*(All_Detail!J$2:J$740&lt;&gt;"Success")),_xlfn._xlws.FILTER(All_Detail!I$2:I$740,(All_Detail!I$2:I$740&lt;TODAY())*(All_Detail!J$2:J$740&lt;&gt;"Success")),1),30),"")</f>
        <v>D1-063</v>
      </c>
      <c r="D159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IFERROR(INDEX(_xlfn.SORTBY(_xlfn._xlws.FILTER(All_Detail!E$2:E$740,(All_Detail!I$2:I$740&lt;TODAY())*(All_Detail!J$2:J$740&lt;&gt;"Success")),_xlfn._xlws.FILTER(All_Detail!I$2:I$740,(All_Detail!I$2:I$740&lt;TODAY())*(All_Detail!J$2:J$740&lt;&gt;"Success")),1),30),"")</f>
        <v>Access Switch Type 4</v>
      </c>
      <c r="E159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IFERROR(INDEX(_xlfn.SORTBY(_xlfn._xlws.FILTER(All_Detail!F$2:F$740,(All_Detail!I$2:I$740&lt;TODAY())*(All_Detail!J$2:J$740&lt;&gt;"Success")),_xlfn._xlws.FILTER(All_Detail!I$2:I$740,(All_Detail!I$2:I$740&lt;TODAY())*(All_Detail!J$2:J$740&lt;&gt;"Success")),1),30),"")</f>
        <v>1</v>
      </c>
      <c r="F159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IFERROR(INDEX(_xlfn.SORTBY(_xlfn._xlws.FILTER(All_Detail!I$2:I$740,(All_Detail!I$2:I$740&lt;TODAY())*(All_Detail!J$2:J$740&lt;&gt;"Success")),_xlfn._xlws.FILTER(All_Detail!I$2:I$740,(All_Detail!I$2:I$740&lt;TODAY())*(All_Detail!J$2:J$740&lt;&gt;"Success")),1),30),"")</f>
        <v>46106</v>
      </c>
      <c r="G159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IFERROR(INDEX(_xlfn.SORTBY(_xlfn._xlws.FILTER(All_Detail!J$2:J$740,(All_Detail!I$2:I$740&lt;TODAY())*(All_Detail!J$2:J$740&lt;&gt;"Success")),_xlfn._xlws.FILTER(All_Detail!I$2:I$740,(All_Detail!I$2:I$740&lt;TODAY())*(All_Detail!J$2:J$740&lt;&gt;"Success")),1),30),"")</f>
        <v>On Plan</v>
      </c>
      <c r="H159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IFERROR(INDEX(_xlfn.SORTBY(_xlfn._xlws.FILTER(TODAY()-All_Detail!I$2:I$740,(All_Detail!I$2:I$740&lt;TODAY())*(All_Detail!J$2:J$740&lt;&gt;"Success")),_xlfn._xlws.FILTER(All_Detail!I$2:I$740,(All_Detail!I$2:I$740&lt;TODAY())*(All_Detail!J$2:J$740&lt;&gt;"Success")),1),30),"")</f>
        <v>7</v>
      </c>
    </row>
    <row r="160" spans="1:8" ht="14.25" customHeight="1">
      <c r="A160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IFERROR(INDEX(_xlfn.SORTBY(_xlfn._xlws.FILTER(All_Detail!B$2:B$740,(All_Detail!I$2:I$740&lt;TODAY())*(All_Detail!J$2:J$740&lt;&gt;"Success")),_xlfn._xlws.FILTER(All_Detail!I$2:I$740,(All_Detail!I$2:I$740&lt;TODAY())*(All_Detail!J$2:J$740&lt;&gt;"Success")),1),31),"")</f>
        <v>D1-041</v>
      </c>
      <c r="B160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IFERROR(INDEX(_xlfn.SORTBY(_xlfn._xlws.FILTER(All_Detail!C$2:C$740,(All_Detail!I$2:I$740&lt;TODAY())*(All_Detail!J$2:J$740&lt;&gt;"Success")),_xlfn._xlws.FILTER(All_Detail!I$2:I$740,(All_Detail!I$2:I$740&lt;TODAY())*(All_Detail!J$2:J$740&lt;&gt;"Success")),1),31),"")</f>
        <v>Concourse D</v>
      </c>
      <c r="C160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IFERROR(INDEX(_xlfn.SORTBY(_xlfn._xlws.FILTER(All_Detail!D$2:D$740,(All_Detail!I$2:I$740&lt;TODAY())*(All_Detail!J$2:J$740&lt;&gt;"Success")),_xlfn._xlws.FILTER(All_Detail!I$2:I$740,(All_Detail!I$2:I$740&lt;TODAY())*(All_Detail!J$2:J$740&lt;&gt;"Success")),1),31),"")</f>
        <v>D1-063</v>
      </c>
      <c r="D160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IFERROR(INDEX(_xlfn.SORTBY(_xlfn._xlws.FILTER(All_Detail!E$2:E$740,(All_Detail!I$2:I$740&lt;TODAY())*(All_Detail!J$2:J$740&lt;&gt;"Success")),_xlfn._xlws.FILTER(All_Detail!I$2:I$740,(All_Detail!I$2:I$740&lt;TODAY())*(All_Detail!J$2:J$740&lt;&gt;"Success")),1),31),"")</f>
        <v>Access Switch Type 2</v>
      </c>
      <c r="E160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IFERROR(INDEX(_xlfn.SORTBY(_xlfn._xlws.FILTER(All_Detail!F$2:F$740,(All_Detail!I$2:I$740&lt;TODAY())*(All_Detail!J$2:J$740&lt;&gt;"Success")),_xlfn._xlws.FILTER(All_Detail!I$2:I$740,(All_Detail!I$2:I$740&lt;TODAY())*(All_Detail!J$2:J$740&lt;&gt;"Success")),1),31),"")</f>
        <v>1</v>
      </c>
      <c r="F160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IFERROR(INDEX(_xlfn.SORTBY(_xlfn._xlws.FILTER(All_Detail!I$2:I$740,(All_Detail!I$2:I$740&lt;TODAY())*(All_Detail!J$2:J$740&lt;&gt;"Success")),_xlfn._xlws.FILTER(All_Detail!I$2:I$740,(All_Detail!I$2:I$740&lt;TODAY())*(All_Detail!J$2:J$740&lt;&gt;"Success")),1),31),"")</f>
        <v>46106</v>
      </c>
      <c r="G160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IFERROR(INDEX(_xlfn.SORTBY(_xlfn._xlws.FILTER(All_Detail!J$2:J$740,(All_Detail!I$2:I$740&lt;TODAY())*(All_Detail!J$2:J$740&lt;&gt;"Success")),_xlfn._xlws.FILTER(All_Detail!I$2:I$740,(All_Detail!I$2:I$740&lt;TODAY())*(All_Detail!J$2:J$740&lt;&gt;"Success")),1),31),"")</f>
        <v>On Plan</v>
      </c>
      <c r="H160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IFERROR(INDEX(_xlfn.SORTBY(_xlfn._xlws.FILTER(TODAY()-All_Detail!I$2:I$740,(All_Detail!I$2:I$740&lt;TODAY())*(All_Detail!J$2:J$740&lt;&gt;"Success")),_xlfn._xlws.FILTER(All_Detail!I$2:I$740,(All_Detail!I$2:I$740&lt;TODAY())*(All_Detail!J$2:J$740&lt;&gt;"Success")),1),31),"")</f>
        <v>7</v>
      </c>
    </row>
    <row r="161" spans="1:8" ht="14.25" customHeight="1">
      <c r="A161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IFERROR(INDEX(_xlfn.SORTBY(_xlfn._xlws.FILTER(All_Detail!B$2:B$740,(All_Detail!I$2:I$740&lt;TODAY())*(All_Detail!J$2:J$740&lt;&gt;"Success")),_xlfn._xlws.FILTER(All_Detail!I$2:I$740,(All_Detail!I$2:I$740&lt;TODAY())*(All_Detail!J$2:J$740&lt;&gt;"Success")),1),32),"")</f>
        <v>D1-041</v>
      </c>
      <c r="B161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IFERROR(INDEX(_xlfn.SORTBY(_xlfn._xlws.FILTER(All_Detail!C$2:C$740,(All_Detail!I$2:I$740&lt;TODAY())*(All_Detail!J$2:J$740&lt;&gt;"Success")),_xlfn._xlws.FILTER(All_Detail!I$2:I$740,(All_Detail!I$2:I$740&lt;TODAY())*(All_Detail!J$2:J$740&lt;&gt;"Success")),1),32),"")</f>
        <v>Concourse D</v>
      </c>
      <c r="C161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IFERROR(INDEX(_xlfn.SORTBY(_xlfn._xlws.FILTER(All_Detail!D$2:D$740,(All_Detail!I$2:I$740&lt;TODAY())*(All_Detail!J$2:J$740&lt;&gt;"Success")),_xlfn._xlws.FILTER(All_Detail!I$2:I$740,(All_Detail!I$2:I$740&lt;TODAY())*(All_Detail!J$2:J$740&lt;&gt;"Success")),1),32),"")</f>
        <v>D1-068</v>
      </c>
      <c r="D161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IFERROR(INDEX(_xlfn.SORTBY(_xlfn._xlws.FILTER(All_Detail!E$2:E$740,(All_Detail!I$2:I$740&lt;TODAY())*(All_Detail!J$2:J$740&lt;&gt;"Success")),_xlfn._xlws.FILTER(All_Detail!I$2:I$740,(All_Detail!I$2:I$740&lt;TODAY())*(All_Detail!J$2:J$740&lt;&gt;"Success")),1),32),"")</f>
        <v>Aggregation Switch Type 3</v>
      </c>
      <c r="E161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IFERROR(INDEX(_xlfn.SORTBY(_xlfn._xlws.FILTER(All_Detail!F$2:F$740,(All_Detail!I$2:I$740&lt;TODAY())*(All_Detail!J$2:J$740&lt;&gt;"Success")),_xlfn._xlws.FILTER(All_Detail!I$2:I$740,(All_Detail!I$2:I$740&lt;TODAY())*(All_Detail!J$2:J$740&lt;&gt;"Success")),1),32),"")</f>
        <v>1</v>
      </c>
      <c r="F161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IFERROR(INDEX(_xlfn.SORTBY(_xlfn._xlws.FILTER(All_Detail!I$2:I$740,(All_Detail!I$2:I$740&lt;TODAY())*(All_Detail!J$2:J$740&lt;&gt;"Success")),_xlfn._xlws.FILTER(All_Detail!I$2:I$740,(All_Detail!I$2:I$740&lt;TODAY())*(All_Detail!J$2:J$740&lt;&gt;"Success")),1),32),"")</f>
        <v>46107</v>
      </c>
      <c r="G161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IFERROR(INDEX(_xlfn.SORTBY(_xlfn._xlws.FILTER(All_Detail!J$2:J$740,(All_Detail!I$2:I$740&lt;TODAY())*(All_Detail!J$2:J$740&lt;&gt;"Success")),_xlfn._xlws.FILTER(All_Detail!I$2:I$740,(All_Detail!I$2:I$740&lt;TODAY())*(All_Detail!J$2:J$740&lt;&gt;"Success")),1),32),"")</f>
        <v>On Plan</v>
      </c>
      <c r="H161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IFERROR(INDEX(_xlfn.SORTBY(_xlfn._xlws.FILTER(TODAY()-All_Detail!I$2:I$740,(All_Detail!I$2:I$740&lt;TODAY())*(All_Detail!J$2:J$740&lt;&gt;"Success")),_xlfn._xlws.FILTER(All_Detail!I$2:I$740,(All_Detail!I$2:I$740&lt;TODAY())*(All_Detail!J$2:J$740&lt;&gt;"Success")),1),32),"")</f>
        <v>6</v>
      </c>
    </row>
    <row r="162" spans="1:8" ht="14.25" customHeight="1">
      <c r="A162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IFERROR(INDEX(_xlfn.SORTBY(_xlfn._xlws.FILTER(All_Detail!B$2:B$740,(All_Detail!I$2:I$740&lt;TODAY())*(All_Detail!J$2:J$740&lt;&gt;"Success")),_xlfn._xlws.FILTER(All_Detail!I$2:I$740,(All_Detail!I$2:I$740&lt;TODAY())*(All_Detail!J$2:J$740&lt;&gt;"Success")),1),33),"")</f>
        <v>D1-041</v>
      </c>
      <c r="B162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IFERROR(INDEX(_xlfn.SORTBY(_xlfn._xlws.FILTER(All_Detail!C$2:C$740,(All_Detail!I$2:I$740&lt;TODAY())*(All_Detail!J$2:J$740&lt;&gt;"Success")),_xlfn._xlws.FILTER(All_Detail!I$2:I$740,(All_Detail!I$2:I$740&lt;TODAY())*(All_Detail!J$2:J$740&lt;&gt;"Success")),1),33),"")</f>
        <v>Concourse D</v>
      </c>
      <c r="C162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IFERROR(INDEX(_xlfn.SORTBY(_xlfn._xlws.FILTER(All_Detail!D$2:D$740,(All_Detail!I$2:I$740&lt;TODAY())*(All_Detail!J$2:J$740&lt;&gt;"Success")),_xlfn._xlws.FILTER(All_Detail!I$2:I$740,(All_Detail!I$2:I$740&lt;TODAY())*(All_Detail!J$2:J$740&lt;&gt;"Success")),1),33),"")</f>
        <v>D1-091</v>
      </c>
      <c r="D162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IFERROR(INDEX(_xlfn.SORTBY(_xlfn._xlws.FILTER(All_Detail!E$2:E$740,(All_Detail!I$2:I$740&lt;TODAY())*(All_Detail!J$2:J$740&lt;&gt;"Success")),_xlfn._xlws.FILTER(All_Detail!I$2:I$740,(All_Detail!I$2:I$740&lt;TODAY())*(All_Detail!J$2:J$740&lt;&gt;"Success")),1),33),"")</f>
        <v>Aggregation Switch Type 3</v>
      </c>
      <c r="E162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IFERROR(INDEX(_xlfn.SORTBY(_xlfn._xlws.FILTER(All_Detail!F$2:F$740,(All_Detail!I$2:I$740&lt;TODAY())*(All_Detail!J$2:J$740&lt;&gt;"Success")),_xlfn._xlws.FILTER(All_Detail!I$2:I$740,(All_Detail!I$2:I$740&lt;TODAY())*(All_Detail!J$2:J$740&lt;&gt;"Success")),1),33),"")</f>
        <v>1</v>
      </c>
      <c r="F162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IFERROR(INDEX(_xlfn.SORTBY(_xlfn._xlws.FILTER(All_Detail!I$2:I$740,(All_Detail!I$2:I$740&lt;TODAY())*(All_Detail!J$2:J$740&lt;&gt;"Success")),_xlfn._xlws.FILTER(All_Detail!I$2:I$740,(All_Detail!I$2:I$740&lt;TODAY())*(All_Detail!J$2:J$740&lt;&gt;"Success")),1),33),"")</f>
        <v>46107</v>
      </c>
      <c r="G162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IFERROR(INDEX(_xlfn.SORTBY(_xlfn._xlws.FILTER(All_Detail!J$2:J$740,(All_Detail!I$2:I$740&lt;TODAY())*(All_Detail!J$2:J$740&lt;&gt;"Success")),_xlfn._xlws.FILTER(All_Detail!I$2:I$740,(All_Detail!I$2:I$740&lt;TODAY())*(All_Detail!J$2:J$740&lt;&gt;"Success")),1),33),"")</f>
        <v>On Plan</v>
      </c>
      <c r="H162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IFERROR(INDEX(_xlfn.SORTBY(_xlfn._xlws.FILTER(TODAY()-All_Detail!I$2:I$740,(All_Detail!I$2:I$740&lt;TODAY())*(All_Detail!J$2:J$740&lt;&gt;"Success")),_xlfn._xlws.FILTER(All_Detail!I$2:I$740,(All_Detail!I$2:I$740&lt;TODAY())*(All_Detail!J$2:J$740&lt;&gt;"Success")),1),33),"")</f>
        <v>6</v>
      </c>
    </row>
    <row r="163" spans="1:8" ht="14.25" customHeight="1">
      <c r="A163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IFERROR(INDEX(_xlfn.SORTBY(_xlfn._xlws.FILTER(All_Detail!B$2:B$740,(All_Detail!I$2:I$740&lt;TODAY())*(All_Detail!J$2:J$740&lt;&gt;"Success")),_xlfn._xlws.FILTER(All_Detail!I$2:I$740,(All_Detail!I$2:I$740&lt;TODAY())*(All_Detail!J$2:J$740&lt;&gt;"Success")),1),34),"")</f>
        <v>D1-041</v>
      </c>
      <c r="B163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IFERROR(INDEX(_xlfn.SORTBY(_xlfn._xlws.FILTER(All_Detail!C$2:C$740,(All_Detail!I$2:I$740&lt;TODAY())*(All_Detail!J$2:J$740&lt;&gt;"Success")),_xlfn._xlws.FILTER(All_Detail!I$2:I$740,(All_Detail!I$2:I$740&lt;TODAY())*(All_Detail!J$2:J$740&lt;&gt;"Success")),1),34),"")</f>
        <v>Concourse D</v>
      </c>
      <c r="C163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IFERROR(INDEX(_xlfn.SORTBY(_xlfn._xlws.FILTER(All_Detail!D$2:D$740,(All_Detail!I$2:I$740&lt;TODAY())*(All_Detail!J$2:J$740&lt;&gt;"Success")),_xlfn._xlws.FILTER(All_Detail!I$2:I$740,(All_Detail!I$2:I$740&lt;TODAY())*(All_Detail!J$2:J$740&lt;&gt;"Success")),1),34),"")</f>
        <v>D1-091</v>
      </c>
      <c r="D163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IFERROR(INDEX(_xlfn.SORTBY(_xlfn._xlws.FILTER(All_Detail!E$2:E$740,(All_Detail!I$2:I$740&lt;TODAY())*(All_Detail!J$2:J$740&lt;&gt;"Success")),_xlfn._xlws.FILTER(All_Detail!I$2:I$740,(All_Detail!I$2:I$740&lt;TODAY())*(All_Detail!J$2:J$740&lt;&gt;"Success")),1),34),"")</f>
        <v>Aggregation Switch Type 2</v>
      </c>
      <c r="E163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IFERROR(INDEX(_xlfn.SORTBY(_xlfn._xlws.FILTER(All_Detail!F$2:F$740,(All_Detail!I$2:I$740&lt;TODAY())*(All_Detail!J$2:J$740&lt;&gt;"Success")),_xlfn._xlws.FILTER(All_Detail!I$2:I$740,(All_Detail!I$2:I$740&lt;TODAY())*(All_Detail!J$2:J$740&lt;&gt;"Success")),1),34),"")</f>
        <v>2</v>
      </c>
      <c r="F163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IFERROR(INDEX(_xlfn.SORTBY(_xlfn._xlws.FILTER(All_Detail!I$2:I$740,(All_Detail!I$2:I$740&lt;TODAY())*(All_Detail!J$2:J$740&lt;&gt;"Success")),_xlfn._xlws.FILTER(All_Detail!I$2:I$740,(All_Detail!I$2:I$740&lt;TODAY())*(All_Detail!J$2:J$740&lt;&gt;"Success")),1),34),"")</f>
        <v>46107</v>
      </c>
      <c r="G163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IFERROR(INDEX(_xlfn.SORTBY(_xlfn._xlws.FILTER(All_Detail!J$2:J$740,(All_Detail!I$2:I$740&lt;TODAY())*(All_Detail!J$2:J$740&lt;&gt;"Success")),_xlfn._xlws.FILTER(All_Detail!I$2:I$740,(All_Detail!I$2:I$740&lt;TODAY())*(All_Detail!J$2:J$740&lt;&gt;"Success")),1),34),"")</f>
        <v>On Plan</v>
      </c>
      <c r="H163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IFERROR(INDEX(_xlfn.SORTBY(_xlfn._xlws.FILTER(TODAY()-All_Detail!I$2:I$740,(All_Detail!I$2:I$740&lt;TODAY())*(All_Detail!J$2:J$740&lt;&gt;"Success")),_xlfn._xlws.FILTER(All_Detail!I$2:I$740,(All_Detail!I$2:I$740&lt;TODAY())*(All_Detail!J$2:J$740&lt;&gt;"Success")),1),34),"")</f>
        <v>6</v>
      </c>
    </row>
    <row r="164" spans="1:8" ht="14.25" customHeight="1">
      <c r="A164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IFERROR(INDEX(_xlfn.SORTBY(_xlfn._xlws.FILTER(All_Detail!B$2:B$740,(All_Detail!I$2:I$740&lt;TODAY())*(All_Detail!J$2:J$740&lt;&gt;"Success")),_xlfn._xlws.FILTER(All_Detail!I$2:I$740,(All_Detail!I$2:I$740&lt;TODAY())*(All_Detail!J$2:J$740&lt;&gt;"Success")),1),35),"")</f>
        <v>D1-041</v>
      </c>
      <c r="B164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IFERROR(INDEX(_xlfn.SORTBY(_xlfn._xlws.FILTER(All_Detail!C$2:C$740,(All_Detail!I$2:I$740&lt;TODAY())*(All_Detail!J$2:J$740&lt;&gt;"Success")),_xlfn._xlws.FILTER(All_Detail!I$2:I$740,(All_Detail!I$2:I$740&lt;TODAY())*(All_Detail!J$2:J$740&lt;&gt;"Success")),1),35),"")</f>
        <v>Concourse D</v>
      </c>
      <c r="C164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IFERROR(INDEX(_xlfn.SORTBY(_xlfn._xlws.FILTER(All_Detail!D$2:D$740,(All_Detail!I$2:I$740&lt;TODAY())*(All_Detail!J$2:J$740&lt;&gt;"Success")),_xlfn._xlws.FILTER(All_Detail!I$2:I$740,(All_Detail!I$2:I$740&lt;TODAY())*(All_Detail!J$2:J$740&lt;&gt;"Success")),1),35),"")</f>
        <v>D1-068</v>
      </c>
      <c r="D164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IFERROR(INDEX(_xlfn.SORTBY(_xlfn._xlws.FILTER(All_Detail!E$2:E$740,(All_Detail!I$2:I$740&lt;TODAY())*(All_Detail!J$2:J$740&lt;&gt;"Success")),_xlfn._xlws.FILTER(All_Detail!I$2:I$740,(All_Detail!I$2:I$740&lt;TODAY())*(All_Detail!J$2:J$740&lt;&gt;"Success")),1),35),"")</f>
        <v>Access Switch Type 4</v>
      </c>
      <c r="E164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IFERROR(INDEX(_xlfn.SORTBY(_xlfn._xlws.FILTER(All_Detail!F$2:F$740,(All_Detail!I$2:I$740&lt;TODAY())*(All_Detail!J$2:J$740&lt;&gt;"Success")),_xlfn._xlws.FILTER(All_Detail!I$2:I$740,(All_Detail!I$2:I$740&lt;TODAY())*(All_Detail!J$2:J$740&lt;&gt;"Success")),1),35),"")</f>
        <v>1</v>
      </c>
      <c r="F164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IFERROR(INDEX(_xlfn.SORTBY(_xlfn._xlws.FILTER(All_Detail!I$2:I$740,(All_Detail!I$2:I$740&lt;TODAY())*(All_Detail!J$2:J$740&lt;&gt;"Success")),_xlfn._xlws.FILTER(All_Detail!I$2:I$740,(All_Detail!I$2:I$740&lt;TODAY())*(All_Detail!J$2:J$740&lt;&gt;"Success")),1),35),"")</f>
        <v>46107</v>
      </c>
      <c r="G164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IFERROR(INDEX(_xlfn.SORTBY(_xlfn._xlws.FILTER(All_Detail!J$2:J$740,(All_Detail!I$2:I$740&lt;TODAY())*(All_Detail!J$2:J$740&lt;&gt;"Success")),_xlfn._xlws.FILTER(All_Detail!I$2:I$740,(All_Detail!I$2:I$740&lt;TODAY())*(All_Detail!J$2:J$740&lt;&gt;"Success")),1),35),"")</f>
        <v>On Plan</v>
      </c>
      <c r="H164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IFERROR(INDEX(_xlfn.SORTBY(_xlfn._xlws.FILTER(TODAY()-All_Detail!I$2:I$740,(All_Detail!I$2:I$740&lt;TODAY())*(All_Detail!J$2:J$740&lt;&gt;"Success")),_xlfn._xlws.FILTER(All_Detail!I$2:I$740,(All_Detail!I$2:I$740&lt;TODAY())*(All_Detail!J$2:J$740&lt;&gt;"Success")),1),35),"")</f>
        <v>6</v>
      </c>
    </row>
    <row r="165" spans="1:8" ht="14.25" customHeight="1">
      <c r="A165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IFERROR(INDEX(_xlfn.SORTBY(_xlfn._xlws.FILTER(All_Detail!B$2:B$740,(All_Detail!I$2:I$740&lt;TODAY())*(All_Detail!J$2:J$740&lt;&gt;"Success")),_xlfn._xlws.FILTER(All_Detail!I$2:I$740,(All_Detail!I$2:I$740&lt;TODAY())*(All_Detail!J$2:J$740&lt;&gt;"Success")),1),36),"")</f>
        <v>D1-041</v>
      </c>
      <c r="B165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IFERROR(INDEX(_xlfn.SORTBY(_xlfn._xlws.FILTER(All_Detail!C$2:C$740,(All_Detail!I$2:I$740&lt;TODAY())*(All_Detail!J$2:J$740&lt;&gt;"Success")),_xlfn._xlws.FILTER(All_Detail!I$2:I$740,(All_Detail!I$2:I$740&lt;TODAY())*(All_Detail!J$2:J$740&lt;&gt;"Success")),1),36),"")</f>
        <v>Concourse D</v>
      </c>
      <c r="C165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IFERROR(INDEX(_xlfn.SORTBY(_xlfn._xlws.FILTER(All_Detail!D$2:D$740,(All_Detail!I$2:I$740&lt;TODAY())*(All_Detail!J$2:J$740&lt;&gt;"Success")),_xlfn._xlws.FILTER(All_Detail!I$2:I$740,(All_Detail!I$2:I$740&lt;TODAY())*(All_Detail!J$2:J$740&lt;&gt;"Success")),1),36),"")</f>
        <v>D1-068</v>
      </c>
      <c r="D165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IFERROR(INDEX(_xlfn.SORTBY(_xlfn._xlws.FILTER(All_Detail!E$2:E$740,(All_Detail!I$2:I$740&lt;TODAY())*(All_Detail!J$2:J$740&lt;&gt;"Success")),_xlfn._xlws.FILTER(All_Detail!I$2:I$740,(All_Detail!I$2:I$740&lt;TODAY())*(All_Detail!J$2:J$740&lt;&gt;"Success")),1),36),"")</f>
        <v>Access Switch Type 2</v>
      </c>
      <c r="E165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IFERROR(INDEX(_xlfn.SORTBY(_xlfn._xlws.FILTER(All_Detail!F$2:F$740,(All_Detail!I$2:I$740&lt;TODAY())*(All_Detail!J$2:J$740&lt;&gt;"Success")),_xlfn._xlws.FILTER(All_Detail!I$2:I$740,(All_Detail!I$2:I$740&lt;TODAY())*(All_Detail!J$2:J$740&lt;&gt;"Success")),1),36),"")</f>
        <v>1</v>
      </c>
      <c r="F165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IFERROR(INDEX(_xlfn.SORTBY(_xlfn._xlws.FILTER(All_Detail!I$2:I$740,(All_Detail!I$2:I$740&lt;TODAY())*(All_Detail!J$2:J$740&lt;&gt;"Success")),_xlfn._xlws.FILTER(All_Detail!I$2:I$740,(All_Detail!I$2:I$740&lt;TODAY())*(All_Detail!J$2:J$740&lt;&gt;"Success")),1),36),"")</f>
        <v>46107</v>
      </c>
      <c r="G165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IFERROR(INDEX(_xlfn.SORTBY(_xlfn._xlws.FILTER(All_Detail!J$2:J$740,(All_Detail!I$2:I$740&lt;TODAY())*(All_Detail!J$2:J$740&lt;&gt;"Success")),_xlfn._xlws.FILTER(All_Detail!I$2:I$740,(All_Detail!I$2:I$740&lt;TODAY())*(All_Detail!J$2:J$740&lt;&gt;"Success")),1),36),"")</f>
        <v>On Plan</v>
      </c>
      <c r="H165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IFERROR(INDEX(_xlfn.SORTBY(_xlfn._xlws.FILTER(TODAY()-All_Detail!I$2:I$740,(All_Detail!I$2:I$740&lt;TODAY())*(All_Detail!J$2:J$740&lt;&gt;"Success")),_xlfn._xlws.FILTER(All_Detail!I$2:I$740,(All_Detail!I$2:I$740&lt;TODAY())*(All_Detail!J$2:J$740&lt;&gt;"Success")),1),36),"")</f>
        <v>6</v>
      </c>
    </row>
    <row r="166" spans="1:8" ht="14.25" customHeight="1">
      <c r="A166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IFERROR(INDEX(_xlfn.SORTBY(_xlfn._xlws.FILTER(All_Detail!B$2:B$740,(All_Detail!I$2:I$740&lt;TODAY())*(All_Detail!J$2:J$740&lt;&gt;"Success")),_xlfn._xlws.FILTER(All_Detail!I$2:I$740,(All_Detail!I$2:I$740&lt;TODAY())*(All_Detail!J$2:J$740&lt;&gt;"Success")),1),37),"")</f>
        <v>D1-041</v>
      </c>
      <c r="B166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IFERROR(INDEX(_xlfn.SORTBY(_xlfn._xlws.FILTER(All_Detail!C$2:C$740,(All_Detail!I$2:I$740&lt;TODAY())*(All_Detail!J$2:J$740&lt;&gt;"Success")),_xlfn._xlws.FILTER(All_Detail!I$2:I$740,(All_Detail!I$2:I$740&lt;TODAY())*(All_Detail!J$2:J$740&lt;&gt;"Success")),1),37),"")</f>
        <v>Concourse D</v>
      </c>
      <c r="C166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IFERROR(INDEX(_xlfn.SORTBY(_xlfn._xlws.FILTER(All_Detail!D$2:D$740,(All_Detail!I$2:I$740&lt;TODAY())*(All_Detail!J$2:J$740&lt;&gt;"Success")),_xlfn._xlws.FILTER(All_Detail!I$2:I$740,(All_Detail!I$2:I$740&lt;TODAY())*(All_Detail!J$2:J$740&lt;&gt;"Success")),1),37),"")</f>
        <v>D1-091</v>
      </c>
      <c r="D166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IFERROR(INDEX(_xlfn.SORTBY(_xlfn._xlws.FILTER(All_Detail!E$2:E$740,(All_Detail!I$2:I$740&lt;TODAY())*(All_Detail!J$2:J$740&lt;&gt;"Success")),_xlfn._xlws.FILTER(All_Detail!I$2:I$740,(All_Detail!I$2:I$740&lt;TODAY())*(All_Detail!J$2:J$740&lt;&gt;"Success")),1),37),"")</f>
        <v>Access Switch Type 4</v>
      </c>
      <c r="E166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IFERROR(INDEX(_xlfn.SORTBY(_xlfn._xlws.FILTER(All_Detail!F$2:F$740,(All_Detail!I$2:I$740&lt;TODAY())*(All_Detail!J$2:J$740&lt;&gt;"Success")),_xlfn._xlws.FILTER(All_Detail!I$2:I$740,(All_Detail!I$2:I$740&lt;TODAY())*(All_Detail!J$2:J$740&lt;&gt;"Success")),1),37),"")</f>
        <v>1</v>
      </c>
      <c r="F166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IFERROR(INDEX(_xlfn.SORTBY(_xlfn._xlws.FILTER(All_Detail!I$2:I$740,(All_Detail!I$2:I$740&lt;TODAY())*(All_Detail!J$2:J$740&lt;&gt;"Success")),_xlfn._xlws.FILTER(All_Detail!I$2:I$740,(All_Detail!I$2:I$740&lt;TODAY())*(All_Detail!J$2:J$740&lt;&gt;"Success")),1),37),"")</f>
        <v>46107</v>
      </c>
      <c r="G166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IFERROR(INDEX(_xlfn.SORTBY(_xlfn._xlws.FILTER(All_Detail!J$2:J$740,(All_Detail!I$2:I$740&lt;TODAY())*(All_Detail!J$2:J$740&lt;&gt;"Success")),_xlfn._xlws.FILTER(All_Detail!I$2:I$740,(All_Detail!I$2:I$740&lt;TODAY())*(All_Detail!J$2:J$740&lt;&gt;"Success")),1),37),"")</f>
        <v>On Plan</v>
      </c>
      <c r="H166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IFERROR(INDEX(_xlfn.SORTBY(_xlfn._xlws.FILTER(TODAY()-All_Detail!I$2:I$740,(All_Detail!I$2:I$740&lt;TODAY())*(All_Detail!J$2:J$740&lt;&gt;"Success")),_xlfn._xlws.FILTER(All_Detail!I$2:I$740,(All_Detail!I$2:I$740&lt;TODAY())*(All_Detail!J$2:J$740&lt;&gt;"Success")),1),37),"")</f>
        <v>6</v>
      </c>
    </row>
    <row r="167" spans="1:8" ht="14.25" customHeight="1">
      <c r="A167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IFERROR(INDEX(_xlfn.SORTBY(_xlfn._xlws.FILTER(All_Detail!B$2:B$740,(All_Detail!I$2:I$740&lt;TODAY())*(All_Detail!J$2:J$740&lt;&gt;"Success")),_xlfn._xlws.FILTER(All_Detail!I$2:I$740,(All_Detail!I$2:I$740&lt;TODAY())*(All_Detail!J$2:J$740&lt;&gt;"Success")),1),38),"")</f>
        <v>D1-041</v>
      </c>
      <c r="B167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IFERROR(INDEX(_xlfn.SORTBY(_xlfn._xlws.FILTER(All_Detail!C$2:C$740,(All_Detail!I$2:I$740&lt;TODAY())*(All_Detail!J$2:J$740&lt;&gt;"Success")),_xlfn._xlws.FILTER(All_Detail!I$2:I$740,(All_Detail!I$2:I$740&lt;TODAY())*(All_Detail!J$2:J$740&lt;&gt;"Success")),1),38),"")</f>
        <v>Concourse D</v>
      </c>
      <c r="C167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IFERROR(INDEX(_xlfn.SORTBY(_xlfn._xlws.FILTER(All_Detail!D$2:D$740,(All_Detail!I$2:I$740&lt;TODAY())*(All_Detail!J$2:J$740&lt;&gt;"Success")),_xlfn._xlws.FILTER(All_Detail!I$2:I$740,(All_Detail!I$2:I$740&lt;TODAY())*(All_Detail!J$2:J$740&lt;&gt;"Success")),1),38),"")</f>
        <v>D1-091</v>
      </c>
      <c r="D167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IFERROR(INDEX(_xlfn.SORTBY(_xlfn._xlws.FILTER(All_Detail!E$2:E$740,(All_Detail!I$2:I$740&lt;TODAY())*(All_Detail!J$2:J$740&lt;&gt;"Success")),_xlfn._xlws.FILTER(All_Detail!I$2:I$740,(All_Detail!I$2:I$740&lt;TODAY())*(All_Detail!J$2:J$740&lt;&gt;"Success")),1),38),"")</f>
        <v>Access Switch Type 2</v>
      </c>
      <c r="E167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IFERROR(INDEX(_xlfn.SORTBY(_xlfn._xlws.FILTER(All_Detail!F$2:F$740,(All_Detail!I$2:I$740&lt;TODAY())*(All_Detail!J$2:J$740&lt;&gt;"Success")),_xlfn._xlws.FILTER(All_Detail!I$2:I$740,(All_Detail!I$2:I$740&lt;TODAY())*(All_Detail!J$2:J$740&lt;&gt;"Success")),1),38),"")</f>
        <v>6</v>
      </c>
      <c r="F167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IFERROR(INDEX(_xlfn.SORTBY(_xlfn._xlws.FILTER(All_Detail!I$2:I$740,(All_Detail!I$2:I$740&lt;TODAY())*(All_Detail!J$2:J$740&lt;&gt;"Success")),_xlfn._xlws.FILTER(All_Detail!I$2:I$740,(All_Detail!I$2:I$740&lt;TODAY())*(All_Detail!J$2:J$740&lt;&gt;"Success")),1),38),"")</f>
        <v>46107</v>
      </c>
      <c r="G167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IFERROR(INDEX(_xlfn.SORTBY(_xlfn._xlws.FILTER(All_Detail!J$2:J$740,(All_Detail!I$2:I$740&lt;TODAY())*(All_Detail!J$2:J$740&lt;&gt;"Success")),_xlfn._xlws.FILTER(All_Detail!I$2:I$740,(All_Detail!I$2:I$740&lt;TODAY())*(All_Detail!J$2:J$740&lt;&gt;"Success")),1),38),"")</f>
        <v>On Plan</v>
      </c>
      <c r="H167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IFERROR(INDEX(_xlfn.SORTBY(_xlfn._xlws.FILTER(TODAY()-All_Detail!I$2:I$740,(All_Detail!I$2:I$740&lt;TODAY())*(All_Detail!J$2:J$740&lt;&gt;"Success")),_xlfn._xlws.FILTER(All_Detail!I$2:I$740,(All_Detail!I$2:I$740&lt;TODAY())*(All_Detail!J$2:J$740&lt;&gt;"Success")),1),38),"")</f>
        <v>6</v>
      </c>
    </row>
    <row r="168" spans="1:8" ht="14.25" customHeight="1">
      <c r="A168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IFERROR(INDEX(_xlfn.SORTBY(_xlfn._xlws.FILTER(All_Detail!B$2:B$740,(All_Detail!I$2:I$740&lt;TODAY())*(All_Detail!J$2:J$740&lt;&gt;"Success")),_xlfn._xlws.FILTER(All_Detail!I$2:I$740,(All_Detail!I$2:I$740&lt;TODAY())*(All_Detail!J$2:J$740&lt;&gt;"Success")),1),39),"")</f>
        <v>D1-041</v>
      </c>
      <c r="F168" s="31"/>
    </row>
    <row r="169" spans="1:8" ht="14.25" customHeight="1">
      <c r="A169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IFERROR(INDEX(_xlfn.SORTBY(_xlfn._xlws.FILTER(All_Detail!B$2:B$740,(All_Detail!I$2:I$740&lt;TODAY())*(All_Detail!J$2:J$740&lt;&gt;"Success")),_xlfn._xlws.FILTER(All_Detail!I$2:I$740,(All_Detail!I$2:I$740&lt;TODAY())*(All_Detail!J$2:J$740&lt;&gt;"Success")),1),40),"")</f>
        <v>D1-041</v>
      </c>
      <c r="B169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IFERROR(INDEX(_xlfn.SORTBY(_xlfn._xlws.FILTER(All_Detail!C$2:C$740,(All_Detail!I$2:I$740&lt;TODAY())*(All_Detail!J$2:J$740&lt;&gt;"Success")),_xlfn._xlws.FILTER(All_Detail!I$2:I$740,(All_Detail!I$2:I$740&lt;TODAY())*(All_Detail!J$2:J$740&lt;&gt;"Success")),1),40),"")</f>
        <v>Concourse D</v>
      </c>
      <c r="C169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IFERROR(INDEX(_xlfn.SORTBY(_xlfn._xlws.FILTER(All_Detail!D$2:D$740,(All_Detail!I$2:I$740&lt;TODAY())*(All_Detail!J$2:J$740&lt;&gt;"Success")),_xlfn._xlws.FILTER(All_Detail!I$2:I$740,(All_Detail!I$2:I$740&lt;TODAY())*(All_Detail!J$2:J$740&lt;&gt;"Success")),1),40),"")</f>
        <v>D2-017</v>
      </c>
      <c r="D169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IFERROR(INDEX(_xlfn.SORTBY(_xlfn._xlws.FILTER(All_Detail!E$2:E$740,(All_Detail!I$2:I$740&lt;TODAY())*(All_Detail!J$2:J$740&lt;&gt;"Success")),_xlfn._xlws.FILTER(All_Detail!I$2:I$740,(All_Detail!I$2:I$740&lt;TODAY())*(All_Detail!J$2:J$740&lt;&gt;"Success")),1),40),"")</f>
        <v>Access Switch Type 2</v>
      </c>
      <c r="E169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IFERROR(INDEX(_xlfn.SORTBY(_xlfn._xlws.FILTER(All_Detail!F$2:F$740,(All_Detail!I$2:I$740&lt;TODAY())*(All_Detail!J$2:J$740&lt;&gt;"Success")),_xlfn._xlws.FILTER(All_Detail!I$2:I$740,(All_Detail!I$2:I$740&lt;TODAY())*(All_Detail!J$2:J$740&lt;&gt;"Success")),1),40),"")</f>
        <v>1</v>
      </c>
      <c r="F169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IFERROR(INDEX(_xlfn.SORTBY(_xlfn._xlws.FILTER(All_Detail!I$2:I$740,(All_Detail!I$2:I$740&lt;TODAY())*(All_Detail!J$2:J$740&lt;&gt;"Success")),_xlfn._xlws.FILTER(All_Detail!I$2:I$740,(All_Detail!I$2:I$740&lt;TODAY())*(All_Detail!J$2:J$740&lt;&gt;"Success")),1),40),"")</f>
        <v>46108</v>
      </c>
      <c r="G169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IFERROR(INDEX(_xlfn.SORTBY(_xlfn._xlws.FILTER(All_Detail!J$2:J$740,(All_Detail!I$2:I$740&lt;TODAY())*(All_Detail!J$2:J$740&lt;&gt;"Success")),_xlfn._xlws.FILTER(All_Detail!I$2:I$740,(All_Detail!I$2:I$740&lt;TODAY())*(All_Detail!J$2:J$740&lt;&gt;"Success")),1),40),"")</f>
        <v>On Plan</v>
      </c>
      <c r="H169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IFERROR(INDEX(_xlfn.SORTBY(_xlfn._xlws.FILTER(TODAY()-All_Detail!I$2:I$740,(All_Detail!I$2:I$740&lt;TODAY())*(All_Detail!J$2:J$740&lt;&gt;"Success")),_xlfn._xlws.FILTER(All_Detail!I$2:I$740,(All_Detail!I$2:I$740&lt;TODAY())*(All_Detail!J$2:J$740&lt;&gt;"Success")),1),40),"")</f>
        <v>5</v>
      </c>
    </row>
    <row r="170" spans="1:8" ht="14.25" customHeight="1">
      <c r="A170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IFERROR(INDEX(_xlfn.SORTBY(_xlfn._xlws.FILTER(All_Detail!B$2:B$740,(All_Detail!I$2:I$740&lt;TODAY())*(All_Detail!J$2:J$740&lt;&gt;"Success")),_xlfn._xlws.FILTER(All_Detail!I$2:I$740,(All_Detail!I$2:I$740&lt;TODAY())*(All_Detail!J$2:J$740&lt;&gt;"Success")),1),41),"")</f>
        <v>D1-041</v>
      </c>
      <c r="B170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IFERROR(INDEX(_xlfn.SORTBY(_xlfn._xlws.FILTER(All_Detail!C$2:C$740,(All_Detail!I$2:I$740&lt;TODAY())*(All_Detail!J$2:J$740&lt;&gt;"Success")),_xlfn._xlws.FILTER(All_Detail!I$2:I$740,(All_Detail!I$2:I$740&lt;TODAY())*(All_Detail!J$2:J$740&lt;&gt;"Success")),1),41),"")</f>
        <v>Concourse D</v>
      </c>
      <c r="C170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IFERROR(INDEX(_xlfn.SORTBY(_xlfn._xlws.FILTER(All_Detail!D$2:D$740,(All_Detail!I$2:I$740&lt;TODAY())*(All_Detail!J$2:J$740&lt;&gt;"Success")),_xlfn._xlws.FILTER(All_Detail!I$2:I$740,(All_Detail!I$2:I$740&lt;TODAY())*(All_Detail!J$2:J$740&lt;&gt;"Success")),1),41),"")</f>
        <v>D2-026</v>
      </c>
      <c r="D170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IFERROR(INDEX(_xlfn.SORTBY(_xlfn._xlws.FILTER(All_Detail!E$2:E$740,(All_Detail!I$2:I$740&lt;TODAY())*(All_Detail!J$2:J$740&lt;&gt;"Success")),_xlfn._xlws.FILTER(All_Detail!I$2:I$740,(All_Detail!I$2:I$740&lt;TODAY())*(All_Detail!J$2:J$740&lt;&gt;"Success")),1),41),"")</f>
        <v>Access Switch Type 4</v>
      </c>
      <c r="E170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IFERROR(INDEX(_xlfn.SORTBY(_xlfn._xlws.FILTER(All_Detail!F$2:F$740,(All_Detail!I$2:I$740&lt;TODAY())*(All_Detail!J$2:J$740&lt;&gt;"Success")),_xlfn._xlws.FILTER(All_Detail!I$2:I$740,(All_Detail!I$2:I$740&lt;TODAY())*(All_Detail!J$2:J$740&lt;&gt;"Success")),1),41),"")</f>
        <v>1</v>
      </c>
      <c r="F170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IFERROR(INDEX(_xlfn.SORTBY(_xlfn._xlws.FILTER(All_Detail!I$2:I$740,(All_Detail!I$2:I$740&lt;TODAY())*(All_Detail!J$2:J$740&lt;&gt;"Success")),_xlfn._xlws.FILTER(All_Detail!I$2:I$740,(All_Detail!I$2:I$740&lt;TODAY())*(All_Detail!J$2:J$740&lt;&gt;"Success")),1),41),"")</f>
        <v>46108</v>
      </c>
      <c r="G170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IFERROR(INDEX(_xlfn.SORTBY(_xlfn._xlws.FILTER(All_Detail!J$2:J$740,(All_Detail!I$2:I$740&lt;TODAY())*(All_Detail!J$2:J$740&lt;&gt;"Success")),_xlfn._xlws.FILTER(All_Detail!I$2:I$740,(All_Detail!I$2:I$740&lt;TODAY())*(All_Detail!J$2:J$740&lt;&gt;"Success")),1),41),"")</f>
        <v>On Plan</v>
      </c>
      <c r="H170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IFERROR(INDEX(_xlfn.SORTBY(_xlfn._xlws.FILTER(TODAY()-All_Detail!I$2:I$740,(All_Detail!I$2:I$740&lt;TODAY())*(All_Detail!J$2:J$740&lt;&gt;"Success")),_xlfn._xlws.FILTER(All_Detail!I$2:I$740,(All_Detail!I$2:I$740&lt;TODAY())*(All_Detail!J$2:J$740&lt;&gt;"Success")),1),41),"")</f>
        <v>5</v>
      </c>
    </row>
    <row r="171" spans="1:8" ht="14.25" customHeight="1">
      <c r="A171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IFERROR(INDEX(_xlfn.SORTBY(_xlfn._xlws.FILTER(All_Detail!B$2:B$740,(All_Detail!I$2:I$740&lt;TODAY())*(All_Detail!J$2:J$740&lt;&gt;"Success")),_xlfn._xlws.FILTER(All_Detail!I$2:I$740,(All_Detail!I$2:I$740&lt;TODAY())*(All_Detail!J$2:J$740&lt;&gt;"Success")),1),42),"")</f>
        <v>D1-041</v>
      </c>
      <c r="B171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IFERROR(INDEX(_xlfn.SORTBY(_xlfn._xlws.FILTER(All_Detail!C$2:C$740,(All_Detail!I$2:I$740&lt;TODAY())*(All_Detail!J$2:J$740&lt;&gt;"Success")),_xlfn._xlws.FILTER(All_Detail!I$2:I$740,(All_Detail!I$2:I$740&lt;TODAY())*(All_Detail!J$2:J$740&lt;&gt;"Success")),1),42),"")</f>
        <v>Concourse D</v>
      </c>
      <c r="C171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IFERROR(INDEX(_xlfn.SORTBY(_xlfn._xlws.FILTER(All_Detail!D$2:D$740,(All_Detail!I$2:I$740&lt;TODAY())*(All_Detail!J$2:J$740&lt;&gt;"Success")),_xlfn._xlws.FILTER(All_Detail!I$2:I$740,(All_Detail!I$2:I$740&lt;TODAY())*(All_Detail!J$2:J$740&lt;&gt;"Success")),1),42),"")</f>
        <v>D2-026</v>
      </c>
      <c r="D171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IFERROR(INDEX(_xlfn.SORTBY(_xlfn._xlws.FILTER(All_Detail!E$2:E$740,(All_Detail!I$2:I$740&lt;TODAY())*(All_Detail!J$2:J$740&lt;&gt;"Success")),_xlfn._xlws.FILTER(All_Detail!I$2:I$740,(All_Detail!I$2:I$740&lt;TODAY())*(All_Detail!J$2:J$740&lt;&gt;"Success")),1),42),"")</f>
        <v>Access Switch Type 2</v>
      </c>
      <c r="E171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IFERROR(INDEX(_xlfn.SORTBY(_xlfn._xlws.FILTER(All_Detail!F$2:F$740,(All_Detail!I$2:I$740&lt;TODAY())*(All_Detail!J$2:J$740&lt;&gt;"Success")),_xlfn._xlws.FILTER(All_Detail!I$2:I$740,(All_Detail!I$2:I$740&lt;TODAY())*(All_Detail!J$2:J$740&lt;&gt;"Success")),1),42),"")</f>
        <v>1</v>
      </c>
      <c r="F171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IFERROR(INDEX(_xlfn.SORTBY(_xlfn._xlws.FILTER(All_Detail!I$2:I$740,(All_Detail!I$2:I$740&lt;TODAY())*(All_Detail!J$2:J$740&lt;&gt;"Success")),_xlfn._xlws.FILTER(All_Detail!I$2:I$740,(All_Detail!I$2:I$740&lt;TODAY())*(All_Detail!J$2:J$740&lt;&gt;"Success")),1),42),"")</f>
        <v>46108</v>
      </c>
      <c r="G171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IFERROR(INDEX(_xlfn.SORTBY(_xlfn._xlws.FILTER(All_Detail!J$2:J$740,(All_Detail!I$2:I$740&lt;TODAY())*(All_Detail!J$2:J$740&lt;&gt;"Success")),_xlfn._xlws.FILTER(All_Detail!I$2:I$740,(All_Detail!I$2:I$740&lt;TODAY())*(All_Detail!J$2:J$740&lt;&gt;"Success")),1),42),"")</f>
        <v>On Plan</v>
      </c>
      <c r="H171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IFERROR(INDEX(_xlfn.SORTBY(_xlfn._xlws.FILTER(TODAY()-All_Detail!I$2:I$740,(All_Detail!I$2:I$740&lt;TODAY())*(All_Detail!J$2:J$740&lt;&gt;"Success")),_xlfn._xlws.FILTER(All_Detail!I$2:I$740,(All_Detail!I$2:I$740&lt;TODAY())*(All_Detail!J$2:J$740&lt;&gt;"Success")),1),42),"")</f>
        <v>5</v>
      </c>
    </row>
    <row r="172" spans="1:8" ht="14.25" customHeight="1">
      <c r="A172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IFERROR(INDEX(_xlfn.SORTBY(_xlfn._xlws.FILTER(All_Detail!B$2:B$740,(All_Detail!I$2:I$740&lt;TODAY())*(All_Detail!J$2:J$740&lt;&gt;"Success")),_xlfn._xlws.FILTER(All_Detail!I$2:I$740,(All_Detail!I$2:I$740&lt;TODAY())*(All_Detail!J$2:J$740&lt;&gt;"Success")),1),43),"")</f>
        <v>D1-041</v>
      </c>
      <c r="B172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IFERROR(INDEX(_xlfn.SORTBY(_xlfn._xlws.FILTER(All_Detail!C$2:C$740,(All_Detail!I$2:I$740&lt;TODAY())*(All_Detail!J$2:J$740&lt;&gt;"Success")),_xlfn._xlws.FILTER(All_Detail!I$2:I$740,(All_Detail!I$2:I$740&lt;TODAY())*(All_Detail!J$2:J$740&lt;&gt;"Success")),1),43),"")</f>
        <v>Concourse D</v>
      </c>
      <c r="C172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IFERROR(INDEX(_xlfn.SORTBY(_xlfn._xlws.FILTER(All_Detail!D$2:D$740,(All_Detail!I$2:I$740&lt;TODAY())*(All_Detail!J$2:J$740&lt;&gt;"Success")),_xlfn._xlws.FILTER(All_Detail!I$2:I$740,(All_Detail!I$2:I$740&lt;TODAY())*(All_Detail!J$2:J$740&lt;&gt;"Success")),1),43),"")</f>
        <v>D2-035</v>
      </c>
      <c r="D172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IFERROR(INDEX(_xlfn.SORTBY(_xlfn._xlws.FILTER(All_Detail!E$2:E$740,(All_Detail!I$2:I$740&lt;TODAY())*(All_Detail!J$2:J$740&lt;&gt;"Success")),_xlfn._xlws.FILTER(All_Detail!I$2:I$740,(All_Detail!I$2:I$740&lt;TODAY())*(All_Detail!J$2:J$740&lt;&gt;"Success")),1),43),"")</f>
        <v>Access Switch Type 4</v>
      </c>
      <c r="E172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IFERROR(INDEX(_xlfn.SORTBY(_xlfn._xlws.FILTER(All_Detail!F$2:F$740,(All_Detail!I$2:I$740&lt;TODAY())*(All_Detail!J$2:J$740&lt;&gt;"Success")),_xlfn._xlws.FILTER(All_Detail!I$2:I$740,(All_Detail!I$2:I$740&lt;TODAY())*(All_Detail!J$2:J$740&lt;&gt;"Success")),1),43),"")</f>
        <v>1</v>
      </c>
      <c r="F172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IFERROR(INDEX(_xlfn.SORTBY(_xlfn._xlws.FILTER(All_Detail!I$2:I$740,(All_Detail!I$2:I$740&lt;TODAY())*(All_Detail!J$2:J$740&lt;&gt;"Success")),_xlfn._xlws.FILTER(All_Detail!I$2:I$740,(All_Detail!I$2:I$740&lt;TODAY())*(All_Detail!J$2:J$740&lt;&gt;"Success")),1),43),"")</f>
        <v>46108</v>
      </c>
      <c r="G172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IFERROR(INDEX(_xlfn.SORTBY(_xlfn._xlws.FILTER(All_Detail!J$2:J$740,(All_Detail!I$2:I$740&lt;TODAY())*(All_Detail!J$2:J$740&lt;&gt;"Success")),_xlfn._xlws.FILTER(All_Detail!I$2:I$740,(All_Detail!I$2:I$740&lt;TODAY())*(All_Detail!J$2:J$740&lt;&gt;"Success")),1),43),"")</f>
        <v>On Plan</v>
      </c>
      <c r="H172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IFERROR(INDEX(_xlfn.SORTBY(_xlfn._xlws.FILTER(TODAY()-All_Detail!I$2:I$740,(All_Detail!I$2:I$740&lt;TODAY())*(All_Detail!J$2:J$740&lt;&gt;"Success")),_xlfn._xlws.FILTER(All_Detail!I$2:I$740,(All_Detail!I$2:I$740&lt;TODAY())*(All_Detail!J$2:J$740&lt;&gt;"Success")),1),43),"")</f>
        <v>5</v>
      </c>
    </row>
    <row r="173" spans="1:8" ht="14.25" customHeight="1">
      <c r="A173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IFERROR(INDEX(_xlfn.SORTBY(_xlfn._xlws.FILTER(All_Detail!B$2:B$740,(All_Detail!I$2:I$740&lt;TODAY())*(All_Detail!J$2:J$740&lt;&gt;"Success")),_xlfn._xlws.FILTER(All_Detail!I$2:I$740,(All_Detail!I$2:I$740&lt;TODAY())*(All_Detail!J$2:J$740&lt;&gt;"Success")),1),44),"")</f>
        <v>D1-041</v>
      </c>
      <c r="B173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IFERROR(INDEX(_xlfn.SORTBY(_xlfn._xlws.FILTER(All_Detail!C$2:C$740,(All_Detail!I$2:I$740&lt;TODAY())*(All_Detail!J$2:J$740&lt;&gt;"Success")),_xlfn._xlws.FILTER(All_Detail!I$2:I$740,(All_Detail!I$2:I$740&lt;TODAY())*(All_Detail!J$2:J$740&lt;&gt;"Success")),1),44),"")</f>
        <v>Concourse D</v>
      </c>
      <c r="C173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IFERROR(INDEX(_xlfn.SORTBY(_xlfn._xlws.FILTER(All_Detail!D$2:D$740,(All_Detail!I$2:I$740&lt;TODAY())*(All_Detail!J$2:J$740&lt;&gt;"Success")),_xlfn._xlws.FILTER(All_Detail!I$2:I$740,(All_Detail!I$2:I$740&lt;TODAY())*(All_Detail!J$2:J$740&lt;&gt;"Success")),1),44),"")</f>
        <v>D2-035</v>
      </c>
      <c r="D173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IFERROR(INDEX(_xlfn.SORTBY(_xlfn._xlws.FILTER(All_Detail!E$2:E$740,(All_Detail!I$2:I$740&lt;TODAY())*(All_Detail!J$2:J$740&lt;&gt;"Success")),_xlfn._xlws.FILTER(All_Detail!I$2:I$740,(All_Detail!I$2:I$740&lt;TODAY())*(All_Detail!J$2:J$740&lt;&gt;"Success")),1),44),"")</f>
        <v>Access Switch Type 2</v>
      </c>
      <c r="E173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IFERROR(INDEX(_xlfn.SORTBY(_xlfn._xlws.FILTER(All_Detail!F$2:F$740,(All_Detail!I$2:I$740&lt;TODAY())*(All_Detail!J$2:J$740&lt;&gt;"Success")),_xlfn._xlws.FILTER(All_Detail!I$2:I$740,(All_Detail!I$2:I$740&lt;TODAY())*(All_Detail!J$2:J$740&lt;&gt;"Success")),1),44),"")</f>
        <v>1</v>
      </c>
      <c r="F173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IFERROR(INDEX(_xlfn.SORTBY(_xlfn._xlws.FILTER(All_Detail!I$2:I$740,(All_Detail!I$2:I$740&lt;TODAY())*(All_Detail!J$2:J$740&lt;&gt;"Success")),_xlfn._xlws.FILTER(All_Detail!I$2:I$740,(All_Detail!I$2:I$740&lt;TODAY())*(All_Detail!J$2:J$740&lt;&gt;"Success")),1),44),"")</f>
        <v>46108</v>
      </c>
      <c r="G173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IFERROR(INDEX(_xlfn.SORTBY(_xlfn._xlws.FILTER(All_Detail!J$2:J$740,(All_Detail!I$2:I$740&lt;TODAY())*(All_Detail!J$2:J$740&lt;&gt;"Success")),_xlfn._xlws.FILTER(All_Detail!I$2:I$740,(All_Detail!I$2:I$740&lt;TODAY())*(All_Detail!J$2:J$740&lt;&gt;"Success")),1),44),"")</f>
        <v>On Plan</v>
      </c>
      <c r="H173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IFERROR(INDEX(_xlfn.SORTBY(_xlfn._xlws.FILTER(TODAY()-All_Detail!I$2:I$740,(All_Detail!I$2:I$740&lt;TODAY())*(All_Detail!J$2:J$740&lt;&gt;"Success")),_xlfn._xlws.FILTER(All_Detail!I$2:I$740,(All_Detail!I$2:I$740&lt;TODAY())*(All_Detail!J$2:J$740&lt;&gt;"Success")),1),44),"")</f>
        <v>5</v>
      </c>
    </row>
    <row r="174" spans="1:8" ht="14.25" customHeight="1">
      <c r="A174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IFERROR(INDEX(_xlfn.SORTBY(_xlfn._xlws.FILTER(All_Detail!B$2:B$740,(All_Detail!I$2:I$740&lt;TODAY())*(All_Detail!J$2:J$740&lt;&gt;"Success")),_xlfn._xlws.FILTER(All_Detail!I$2:I$740,(All_Detail!I$2:I$740&lt;TODAY())*(All_Detail!J$2:J$740&lt;&gt;"Success")),1),45),"")</f>
        <v>D1-041</v>
      </c>
      <c r="B174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IFERROR(INDEX(_xlfn.SORTBY(_xlfn._xlws.FILTER(All_Detail!C$2:C$740,(All_Detail!I$2:I$740&lt;TODAY())*(All_Detail!J$2:J$740&lt;&gt;"Success")),_xlfn._xlws.FILTER(All_Detail!I$2:I$740,(All_Detail!I$2:I$740&lt;TODAY())*(All_Detail!J$2:J$740&lt;&gt;"Success")),1),45),"")</f>
        <v>Concourse D</v>
      </c>
      <c r="C174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IFERROR(INDEX(_xlfn.SORTBY(_xlfn._xlws.FILTER(All_Detail!D$2:D$740,(All_Detail!I$2:I$740&lt;TODAY())*(All_Detail!J$2:J$740&lt;&gt;"Success")),_xlfn._xlws.FILTER(All_Detail!I$2:I$740,(All_Detail!I$2:I$740&lt;TODAY())*(All_Detail!J$2:J$740&lt;&gt;"Success")),1),45),"")</f>
        <v>D2-046</v>
      </c>
      <c r="D174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IFERROR(INDEX(_xlfn.SORTBY(_xlfn._xlws.FILTER(All_Detail!E$2:E$740,(All_Detail!I$2:I$740&lt;TODAY())*(All_Detail!J$2:J$740&lt;&gt;"Success")),_xlfn._xlws.FILTER(All_Detail!I$2:I$740,(All_Detail!I$2:I$740&lt;TODAY())*(All_Detail!J$2:J$740&lt;&gt;"Success")),1),45),"")</f>
        <v>Access Switch Type 4</v>
      </c>
      <c r="E174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IFERROR(INDEX(_xlfn.SORTBY(_xlfn._xlws.FILTER(All_Detail!F$2:F$740,(All_Detail!I$2:I$740&lt;TODAY())*(All_Detail!J$2:J$740&lt;&gt;"Success")),_xlfn._xlws.FILTER(All_Detail!I$2:I$740,(All_Detail!I$2:I$740&lt;TODAY())*(All_Detail!J$2:J$740&lt;&gt;"Success")),1),45),"")</f>
        <v>1</v>
      </c>
      <c r="F174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IFERROR(INDEX(_xlfn.SORTBY(_xlfn._xlws.FILTER(All_Detail!I$2:I$740,(All_Detail!I$2:I$740&lt;TODAY())*(All_Detail!J$2:J$740&lt;&gt;"Success")),_xlfn._xlws.FILTER(All_Detail!I$2:I$740,(All_Detail!I$2:I$740&lt;TODAY())*(All_Detail!J$2:J$740&lt;&gt;"Success")),1),45),"")</f>
        <v>46108</v>
      </c>
      <c r="G174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IFERROR(INDEX(_xlfn.SORTBY(_xlfn._xlws.FILTER(All_Detail!J$2:J$740,(All_Detail!I$2:I$740&lt;TODAY())*(All_Detail!J$2:J$740&lt;&gt;"Success")),_xlfn._xlws.FILTER(All_Detail!I$2:I$740,(All_Detail!I$2:I$740&lt;TODAY())*(All_Detail!J$2:J$740&lt;&gt;"Success")),1),45),"")</f>
        <v>On Plan</v>
      </c>
      <c r="H174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IFERROR(INDEX(_xlfn.SORTBY(_xlfn._xlws.FILTER(TODAY()-All_Detail!I$2:I$740,(All_Detail!I$2:I$740&lt;TODAY())*(All_Detail!J$2:J$740&lt;&gt;"Success")),_xlfn._xlws.FILTER(All_Detail!I$2:I$740,(All_Detail!I$2:I$740&lt;TODAY())*(All_Detail!J$2:J$740&lt;&gt;"Success")),1),45),"")</f>
        <v>5</v>
      </c>
    </row>
    <row r="175" spans="1:8" ht="14.25" customHeight="1">
      <c r="A175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IFERROR(INDEX(_xlfn.SORTBY(_xlfn._xlws.FILTER(All_Detail!B$2:B$740,(All_Detail!I$2:I$740&lt;TODAY())*(All_Detail!J$2:J$740&lt;&gt;"Success")),_xlfn._xlws.FILTER(All_Detail!I$2:I$740,(All_Detail!I$2:I$740&lt;TODAY())*(All_Detail!J$2:J$740&lt;&gt;"Success")),1),46),"")</f>
        <v>D1-041</v>
      </c>
      <c r="B175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IFERROR(INDEX(_xlfn.SORTBY(_xlfn._xlws.FILTER(All_Detail!C$2:C$740,(All_Detail!I$2:I$740&lt;TODAY())*(All_Detail!J$2:J$740&lt;&gt;"Success")),_xlfn._xlws.FILTER(All_Detail!I$2:I$740,(All_Detail!I$2:I$740&lt;TODAY())*(All_Detail!J$2:J$740&lt;&gt;"Success")),1),46),"")</f>
        <v>Concourse D</v>
      </c>
      <c r="C175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IFERROR(INDEX(_xlfn.SORTBY(_xlfn._xlws.FILTER(All_Detail!D$2:D$740,(All_Detail!I$2:I$740&lt;TODAY())*(All_Detail!J$2:J$740&lt;&gt;"Success")),_xlfn._xlws.FILTER(All_Detail!I$2:I$740,(All_Detail!I$2:I$740&lt;TODAY())*(All_Detail!J$2:J$740&lt;&gt;"Success")),1),46),"")</f>
        <v>D2-046</v>
      </c>
      <c r="D175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IFERROR(INDEX(_xlfn.SORTBY(_xlfn._xlws.FILTER(All_Detail!E$2:E$740,(All_Detail!I$2:I$740&lt;TODAY())*(All_Detail!J$2:J$740&lt;&gt;"Success")),_xlfn._xlws.FILTER(All_Detail!I$2:I$740,(All_Detail!I$2:I$740&lt;TODAY())*(All_Detail!J$2:J$740&lt;&gt;"Success")),1),46),"")</f>
        <v>Access Switch Type 2</v>
      </c>
      <c r="E175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IFERROR(INDEX(_xlfn.SORTBY(_xlfn._xlws.FILTER(All_Detail!F$2:F$740,(All_Detail!I$2:I$740&lt;TODAY())*(All_Detail!J$2:J$740&lt;&gt;"Success")),_xlfn._xlws.FILTER(All_Detail!I$2:I$740,(All_Detail!I$2:I$740&lt;TODAY())*(All_Detail!J$2:J$740&lt;&gt;"Success")),1),46),"")</f>
        <v>1</v>
      </c>
      <c r="F175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IFERROR(INDEX(_xlfn.SORTBY(_xlfn._xlws.FILTER(All_Detail!I$2:I$740,(All_Detail!I$2:I$740&lt;TODAY())*(All_Detail!J$2:J$740&lt;&gt;"Success")),_xlfn._xlws.FILTER(All_Detail!I$2:I$740,(All_Detail!I$2:I$740&lt;TODAY())*(All_Detail!J$2:J$740&lt;&gt;"Success")),1),46),"")</f>
        <v>46108</v>
      </c>
      <c r="G175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IFERROR(INDEX(_xlfn.SORTBY(_xlfn._xlws.FILTER(All_Detail!J$2:J$740,(All_Detail!I$2:I$740&lt;TODAY())*(All_Detail!J$2:J$740&lt;&gt;"Success")),_xlfn._xlws.FILTER(All_Detail!I$2:I$740,(All_Detail!I$2:I$740&lt;TODAY())*(All_Detail!J$2:J$740&lt;&gt;"Success")),1),46),"")</f>
        <v>On Plan</v>
      </c>
      <c r="H175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IFERROR(INDEX(_xlfn.SORTBY(_xlfn._xlws.FILTER(TODAY()-All_Detail!I$2:I$740,(All_Detail!I$2:I$740&lt;TODAY())*(All_Detail!J$2:J$740&lt;&gt;"Success")),_xlfn._xlws.FILTER(All_Detail!I$2:I$740,(All_Detail!I$2:I$740&lt;TODAY())*(All_Detail!J$2:J$740&lt;&gt;"Success")),1),46),"")</f>
        <v>5</v>
      </c>
    </row>
    <row r="176" spans="1:8" ht="14.25" customHeight="1">
      <c r="A176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IFERROR(INDEX(_xlfn.SORTBY(_xlfn._xlws.FILTER(All_Detail!B$2:B$740,(All_Detail!I$2:I$740&lt;TODAY())*(All_Detail!J$2:J$740&lt;&gt;"Success")),_xlfn._xlws.FILTER(All_Detail!I$2:I$740,(All_Detail!I$2:I$740&lt;TODAY())*(All_Detail!J$2:J$740&lt;&gt;"Success")),1),47),"")</f>
        <v>D1-041</v>
      </c>
      <c r="B176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IFERROR(INDEX(_xlfn.SORTBY(_xlfn._xlws.FILTER(All_Detail!C$2:C$740,(All_Detail!I$2:I$740&lt;TODAY())*(All_Detail!J$2:J$740&lt;&gt;"Success")),_xlfn._xlws.FILTER(All_Detail!I$2:I$740,(All_Detail!I$2:I$740&lt;TODAY())*(All_Detail!J$2:J$740&lt;&gt;"Success")),1),47),"")</f>
        <v>Concourse D</v>
      </c>
      <c r="C176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IFERROR(INDEX(_xlfn.SORTBY(_xlfn._xlws.FILTER(All_Detail!D$2:D$740,(All_Detail!I$2:I$740&lt;TODAY())*(All_Detail!J$2:J$740&lt;&gt;"Success")),_xlfn._xlws.FILTER(All_Detail!I$2:I$740,(All_Detail!I$2:I$740&lt;TODAY())*(All_Detail!J$2:J$740&lt;&gt;"Success")),1),47),"")</f>
        <v>D2-060</v>
      </c>
      <c r="D176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IFERROR(INDEX(_xlfn.SORTBY(_xlfn._xlws.FILTER(All_Detail!E$2:E$740,(All_Detail!I$2:I$740&lt;TODAY())*(All_Detail!J$2:J$740&lt;&gt;"Success")),_xlfn._xlws.FILTER(All_Detail!I$2:I$740,(All_Detail!I$2:I$740&lt;TODAY())*(All_Detail!J$2:J$740&lt;&gt;"Success")),1),47),"")</f>
        <v>Access Switch Type 4</v>
      </c>
      <c r="E176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IFERROR(INDEX(_xlfn.SORTBY(_xlfn._xlws.FILTER(All_Detail!F$2:F$740,(All_Detail!I$2:I$740&lt;TODAY())*(All_Detail!J$2:J$740&lt;&gt;"Success")),_xlfn._xlws.FILTER(All_Detail!I$2:I$740,(All_Detail!I$2:I$740&lt;TODAY())*(All_Detail!J$2:J$740&lt;&gt;"Success")),1),47),"")</f>
        <v>1</v>
      </c>
      <c r="F176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IFERROR(INDEX(_xlfn.SORTBY(_xlfn._xlws.FILTER(All_Detail!I$2:I$740,(All_Detail!I$2:I$740&lt;TODAY())*(All_Detail!J$2:J$740&lt;&gt;"Success")),_xlfn._xlws.FILTER(All_Detail!I$2:I$740,(All_Detail!I$2:I$740&lt;TODAY())*(All_Detail!J$2:J$740&lt;&gt;"Success")),1),47),"")</f>
        <v>46108</v>
      </c>
      <c r="G176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IFERROR(INDEX(_xlfn.SORTBY(_xlfn._xlws.FILTER(All_Detail!J$2:J$740,(All_Detail!I$2:I$740&lt;TODAY())*(All_Detail!J$2:J$740&lt;&gt;"Success")),_xlfn._xlws.FILTER(All_Detail!I$2:I$740,(All_Detail!I$2:I$740&lt;TODAY())*(All_Detail!J$2:J$740&lt;&gt;"Success")),1),47),"")</f>
        <v>On Plan</v>
      </c>
      <c r="H176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IFERROR(INDEX(_xlfn.SORTBY(_xlfn._xlws.FILTER(TODAY()-All_Detail!I$2:I$740,(All_Detail!I$2:I$740&lt;TODAY())*(All_Detail!J$2:J$740&lt;&gt;"Success")),_xlfn._xlws.FILTER(All_Detail!I$2:I$740,(All_Detail!I$2:I$740&lt;TODAY())*(All_Detail!J$2:J$740&lt;&gt;"Success")),1),47),"")</f>
        <v>5</v>
      </c>
    </row>
    <row r="177" spans="1:10" ht="14.25" customHeight="1">
      <c r="A177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IFERROR(INDEX(_xlfn.SORTBY(_xlfn._xlws.FILTER(All_Detail!B$2:B$740,(All_Detail!I$2:I$740&lt;TODAY())*(All_Detail!J$2:J$740&lt;&gt;"Success")),_xlfn._xlws.FILTER(All_Detail!I$2:I$740,(All_Detail!I$2:I$740&lt;TODAY())*(All_Detail!J$2:J$740&lt;&gt;"Success")),1),48),"")</f>
        <v>D1-041</v>
      </c>
      <c r="B177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IFERROR(INDEX(_xlfn.SORTBY(_xlfn._xlws.FILTER(All_Detail!C$2:C$740,(All_Detail!I$2:I$740&lt;TODAY())*(All_Detail!J$2:J$740&lt;&gt;"Success")),_xlfn._xlws.FILTER(All_Detail!I$2:I$740,(All_Detail!I$2:I$740&lt;TODAY())*(All_Detail!J$2:J$740&lt;&gt;"Success")),1),48),"")</f>
        <v>Concourse D</v>
      </c>
      <c r="C177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IFERROR(INDEX(_xlfn.SORTBY(_xlfn._xlws.FILTER(All_Detail!D$2:D$740,(All_Detail!I$2:I$740&lt;TODAY())*(All_Detail!J$2:J$740&lt;&gt;"Success")),_xlfn._xlws.FILTER(All_Detail!I$2:I$740,(All_Detail!I$2:I$740&lt;TODAY())*(All_Detail!J$2:J$740&lt;&gt;"Success")),1),48),"")</f>
        <v>D2-060</v>
      </c>
      <c r="D177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IFERROR(INDEX(_xlfn.SORTBY(_xlfn._xlws.FILTER(All_Detail!E$2:E$740,(All_Detail!I$2:I$740&lt;TODAY())*(All_Detail!J$2:J$740&lt;&gt;"Success")),_xlfn._xlws.FILTER(All_Detail!I$2:I$740,(All_Detail!I$2:I$740&lt;TODAY())*(All_Detail!J$2:J$740&lt;&gt;"Success")),1),48),"")</f>
        <v>Access Switch Type 2</v>
      </c>
      <c r="E177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IFERROR(INDEX(_xlfn.SORTBY(_xlfn._xlws.FILTER(All_Detail!F$2:F$740,(All_Detail!I$2:I$740&lt;TODAY())*(All_Detail!J$2:J$740&lt;&gt;"Success")),_xlfn._xlws.FILTER(All_Detail!I$2:I$740,(All_Detail!I$2:I$740&lt;TODAY())*(All_Detail!J$2:J$740&lt;&gt;"Success")),1),48),"")</f>
        <v>1</v>
      </c>
      <c r="F177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IFERROR(INDEX(_xlfn.SORTBY(_xlfn._xlws.FILTER(All_Detail!I$2:I$740,(All_Detail!I$2:I$740&lt;TODAY())*(All_Detail!J$2:J$740&lt;&gt;"Success")),_xlfn._xlws.FILTER(All_Detail!I$2:I$740,(All_Detail!I$2:I$740&lt;TODAY())*(All_Detail!J$2:J$740&lt;&gt;"Success")),1),48),"")</f>
        <v>46108</v>
      </c>
      <c r="G177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IFERROR(INDEX(_xlfn.SORTBY(_xlfn._xlws.FILTER(All_Detail!J$2:J$740,(All_Detail!I$2:I$740&lt;TODAY())*(All_Detail!J$2:J$740&lt;&gt;"Success")),_xlfn._xlws.FILTER(All_Detail!I$2:I$740,(All_Detail!I$2:I$740&lt;TODAY())*(All_Detail!J$2:J$740&lt;&gt;"Success")),1),48),"")</f>
        <v>On Plan</v>
      </c>
      <c r="H177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IFERROR(INDEX(_xlfn.SORTBY(_xlfn._xlws.FILTER(TODAY()-All_Detail!I$2:I$740,(All_Detail!I$2:I$740&lt;TODAY())*(All_Detail!J$2:J$740&lt;&gt;"Success")),_xlfn._xlws.FILTER(All_Detail!I$2:I$740,(All_Detail!I$2:I$740&lt;TODAY())*(All_Detail!J$2:J$740&lt;&gt;"Success")),1),48),"")</f>
        <v>5</v>
      </c>
    </row>
    <row r="178" spans="1:10" ht="14.25" customHeight="1">
      <c r="A178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IFERROR(INDEX(_xlfn.SORTBY(_xlfn._xlws.FILTER(All_Detail!B$2:B$740,(All_Detail!I$2:I$740&lt;TODAY())*(All_Detail!J$2:J$740&lt;&gt;"Success")),_xlfn._xlws.FILTER(All_Detail!I$2:I$740,(All_Detail!I$2:I$740&lt;TODAY())*(All_Detail!J$2:J$740&lt;&gt;"Success")),1),49),"")</f>
        <v>D1-041</v>
      </c>
      <c r="B178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IFERROR(INDEX(_xlfn.SORTBY(_xlfn._xlws.FILTER(All_Detail!C$2:C$740,(All_Detail!I$2:I$740&lt;TODAY())*(All_Detail!J$2:J$740&lt;&gt;"Success")),_xlfn._xlws.FILTER(All_Detail!I$2:I$740,(All_Detail!I$2:I$740&lt;TODAY())*(All_Detail!J$2:J$740&lt;&gt;"Success")),1),49),"")</f>
        <v>Concourse D</v>
      </c>
      <c r="C178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IFERROR(INDEX(_xlfn.SORTBY(_xlfn._xlws.FILTER(All_Detail!D$2:D$740,(All_Detail!I$2:I$740&lt;TODAY())*(All_Detail!J$2:J$740&lt;&gt;"Success")),_xlfn._xlws.FILTER(All_Detail!I$2:I$740,(All_Detail!I$2:I$740&lt;TODAY())*(All_Detail!J$2:J$740&lt;&gt;"Success")),1),49),"")</f>
        <v>D3-031</v>
      </c>
      <c r="D178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IFERROR(INDEX(_xlfn.SORTBY(_xlfn._xlws.FILTER(All_Detail!E$2:E$740,(All_Detail!I$2:I$740&lt;TODAY())*(All_Detail!J$2:J$740&lt;&gt;"Success")),_xlfn._xlws.FILTER(All_Detail!I$2:I$740,(All_Detail!I$2:I$740&lt;TODAY())*(All_Detail!J$2:J$740&lt;&gt;"Success")),1),49),"")</f>
        <v>Aggregation Switch Type 2</v>
      </c>
      <c r="E178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IFERROR(INDEX(_xlfn.SORTBY(_xlfn._xlws.FILTER(All_Detail!F$2:F$740,(All_Detail!I$2:I$740&lt;TODAY())*(All_Detail!J$2:J$740&lt;&gt;"Success")),_xlfn._xlws.FILTER(All_Detail!I$2:I$740,(All_Detail!I$2:I$740&lt;TODAY())*(All_Detail!J$2:J$740&lt;&gt;"Success")),1),49),"")</f>
        <v>1</v>
      </c>
      <c r="F178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IFERROR(INDEX(_xlfn.SORTBY(_xlfn._xlws.FILTER(All_Detail!I$2:I$740,(All_Detail!I$2:I$740&lt;TODAY())*(All_Detail!J$2:J$740&lt;&gt;"Success")),_xlfn._xlws.FILTER(All_Detail!I$2:I$740,(All_Detail!I$2:I$740&lt;TODAY())*(All_Detail!J$2:J$740&lt;&gt;"Success")),1),49),"")</f>
        <v>46111</v>
      </c>
      <c r="G178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IFERROR(INDEX(_xlfn.SORTBY(_xlfn._xlws.FILTER(All_Detail!J$2:J$740,(All_Detail!I$2:I$740&lt;TODAY())*(All_Detail!J$2:J$740&lt;&gt;"Success")),_xlfn._xlws.FILTER(All_Detail!I$2:I$740,(All_Detail!I$2:I$740&lt;TODAY())*(All_Detail!J$2:J$740&lt;&gt;"Success")),1),49),"")</f>
        <v>On Plan</v>
      </c>
      <c r="H178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IFERROR(INDEX(_xlfn.SORTBY(_xlfn._xlws.FILTER(TODAY()-All_Detail!I$2:I$740,(All_Detail!I$2:I$740&lt;TODAY())*(All_Detail!J$2:J$740&lt;&gt;"Success")),_xlfn._xlws.FILTER(All_Detail!I$2:I$740,(All_Detail!I$2:I$740&lt;TODAY())*(All_Detail!J$2:J$740&lt;&gt;"Success")),1),49),"")</f>
        <v>2</v>
      </c>
    </row>
    <row r="179" spans="1:10" ht="14.25" customHeight="1">
      <c r="A179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IFERROR(INDEX(_xlfn.SORTBY(_xlfn._xlws.FILTER(All_Detail!B$2:B$740,(All_Detail!I$2:I$740&lt;TODAY())*(All_Detail!J$2:J$740&lt;&gt;"Success")),_xlfn._xlws.FILTER(All_Detail!I$2:I$740,(All_Detail!I$2:I$740&lt;TODAY())*(All_Detail!J$2:J$740&lt;&gt;"Success")),1),50),"")</f>
        <v>D1-041</v>
      </c>
      <c r="B179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IFERROR(INDEX(_xlfn.SORTBY(_xlfn._xlws.FILTER(All_Detail!C$2:C$740,(All_Detail!I$2:I$740&lt;TODAY())*(All_Detail!J$2:J$740&lt;&gt;"Success")),_xlfn._xlws.FILTER(All_Detail!I$2:I$740,(All_Detail!I$2:I$740&lt;TODAY())*(All_Detail!J$2:J$740&lt;&gt;"Success")),1),50),"")</f>
        <v>Concourse D</v>
      </c>
      <c r="C179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IFERROR(INDEX(_xlfn.SORTBY(_xlfn._xlws.FILTER(All_Detail!D$2:D$740,(All_Detail!I$2:I$740&lt;TODAY())*(All_Detail!J$2:J$740&lt;&gt;"Success")),_xlfn._xlws.FILTER(All_Detail!I$2:I$740,(All_Detail!I$2:I$740&lt;TODAY())*(All_Detail!J$2:J$740&lt;&gt;"Success")),1),50),"")</f>
        <v>D2-069</v>
      </c>
      <c r="D179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IFERROR(INDEX(_xlfn.SORTBY(_xlfn._xlws.FILTER(All_Detail!E$2:E$740,(All_Detail!I$2:I$740&lt;TODAY())*(All_Detail!J$2:J$740&lt;&gt;"Success")),_xlfn._xlws.FILTER(All_Detail!I$2:I$740,(All_Detail!I$2:I$740&lt;TODAY())*(All_Detail!J$2:J$740&lt;&gt;"Success")),1),50),"")</f>
        <v>Access Switch Type 4</v>
      </c>
      <c r="E179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IFERROR(INDEX(_xlfn.SORTBY(_xlfn._xlws.FILTER(All_Detail!F$2:F$740,(All_Detail!I$2:I$740&lt;TODAY())*(All_Detail!J$2:J$740&lt;&gt;"Success")),_xlfn._xlws.FILTER(All_Detail!I$2:I$740,(All_Detail!I$2:I$740&lt;TODAY())*(All_Detail!J$2:J$740&lt;&gt;"Success")),1),50),"")</f>
        <v>1</v>
      </c>
      <c r="F179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IFERROR(INDEX(_xlfn.SORTBY(_xlfn._xlws.FILTER(All_Detail!I$2:I$740,(All_Detail!I$2:I$740&lt;TODAY())*(All_Detail!J$2:J$740&lt;&gt;"Success")),_xlfn._xlws.FILTER(All_Detail!I$2:I$740,(All_Detail!I$2:I$740&lt;TODAY())*(All_Detail!J$2:J$740&lt;&gt;"Success")),1),50),"")</f>
        <v>46111</v>
      </c>
      <c r="G179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IFERROR(INDEX(_xlfn.SORTBY(_xlfn._xlws.FILTER(All_Detail!J$2:J$740,(All_Detail!I$2:I$740&lt;TODAY())*(All_Detail!J$2:J$740&lt;&gt;"Success")),_xlfn._xlws.FILTER(All_Detail!I$2:I$740,(All_Detail!I$2:I$740&lt;TODAY())*(All_Detail!J$2:J$740&lt;&gt;"Success")),1),50),"")</f>
        <v>On Plan</v>
      </c>
      <c r="H179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IFERROR(INDEX(_xlfn.SORTBY(_xlfn._xlws.FILTER(TODAY()-All_Detail!I$2:I$740,(All_Detail!I$2:I$740&lt;TODAY())*(All_Detail!J$2:J$740&lt;&gt;"Success")),_xlfn._xlws.FILTER(All_Detail!I$2:I$740,(All_Detail!I$2:I$740&lt;TODAY())*(All_Detail!J$2:J$740&lt;&gt;"Success")),1),50),"")</f>
        <v>2</v>
      </c>
    </row>
    <row r="180" spans="1:10" ht="15" customHeight="1">
      <c r="A180" s="96" t="s">
        <v>65</v>
      </c>
      <c r="B180" s="96"/>
      <c r="C180" s="96"/>
      <c r="D180" s="96"/>
      <c r="E180" s="96"/>
      <c r="F180" s="96"/>
      <c r="G180" s="96"/>
      <c r="H180" s="96"/>
      <c r="I180" s="96"/>
      <c r="J180" s="96"/>
    </row>
    <row r="181" spans="1:10" ht="14.25" customHeight="1">
      <c r="A181" s="12" t="s">
        <v>12</v>
      </c>
      <c r="B181" s="12" t="s">
        <v>56</v>
      </c>
      <c r="C181" s="12" t="s">
        <v>57</v>
      </c>
      <c r="D181" s="12" t="s">
        <v>58</v>
      </c>
      <c r="E181" s="12" t="s">
        <v>59</v>
      </c>
      <c r="F181" s="12" t="s">
        <v>60</v>
      </c>
      <c r="G181" s="12" t="s">
        <v>61</v>
      </c>
      <c r="H181" s="12" t="s">
        <v>62</v>
      </c>
    </row>
    <row r="182" spans="1:10" ht="14.25" customHeight="1">
      <c r="A182" t="str">
        <f>IFERROR(INDEX(_xlfn._xlws.FILTER(All_Detail!B$2:B$740,All_Detail!J$2:J$740="Hold"),1),"")</f>
        <v>D1-041</v>
      </c>
      <c r="B182" t="str">
        <f>IFERROR(INDEX(_xlfn._xlws.FILTER(All_Detail!C$2:C$740,All_Detail!J$2:J$740="Hold"),1),"")</f>
        <v>Concourse B</v>
      </c>
      <c r="C182" t="str">
        <f>IFERROR(INDEX(_xlfn._xlws.FILTER(All_Detail!D$2:D$740,All_Detail!J$2:J$740="Hold"),1),"")</f>
        <v>B1-024</v>
      </c>
      <c r="D182" t="str">
        <f>IFERROR(INDEX(_xlfn._xlws.FILTER(All_Detail!E$2:E$740,All_Detail!J$2:J$740="Hold"),1),"")</f>
        <v>Aggregation Switch Type 2</v>
      </c>
      <c r="E182">
        <f>IFERROR(INDEX(_xlfn._xlws.FILTER(All_Detail!F$2:F$740,All_Detail!J$2:J$740="Hold"),1),"")</f>
        <v>2</v>
      </c>
      <c r="F182" s="31">
        <f>IFERROR(INDEX(_xlfn._xlws.FILTER(All_Detail!I$2:I$740,All_Detail!J$2:J$740="Hold"),1),"")</f>
        <v>46174</v>
      </c>
      <c r="G182" t="str">
        <f>IFERROR(INDEX(_xlfn._xlws.FILTER(All_Detail!J$2:J$740,All_Detail!J$2:J$740="Hold"),1),"")</f>
        <v>Hold</v>
      </c>
      <c r="H182" t="str">
        <f>IFERROR(INDEX(_xlfn._xlws.FILTER(All_Detail!P$2:P$740,All_Detail!J$2:J$740="Hold"),1),"")</f>
        <v>*ยังไม่ได้ติด 1 ตัว</v>
      </c>
    </row>
    <row r="183" spans="1:10" ht="14.25" customHeight="1">
      <c r="A183" t="str">
        <f>IFERROR(INDEX(_xlfn._xlws.FILTER(All_Detail!B$2:B$740,All_Detail!J$2:J$740="Hold"),2),"")</f>
        <v>CFZ</v>
      </c>
      <c r="B183" t="str">
        <f>IFERROR(INDEX(_xlfn._xlws.FILTER(All_Detail!C$2:C$740,All_Detail!J$2:J$740="Hold"),2),"")</f>
        <v>อาคาร BC-1</v>
      </c>
      <c r="C183" t="str">
        <f>IFERROR(INDEX(_xlfn._xlws.FILTER(All_Detail!D$2:D$740,All_Detail!J$2:J$740="Hold"),2),"")</f>
        <v>BC-1 FL.1</v>
      </c>
      <c r="D183" t="str">
        <f>IFERROR(INDEX(_xlfn._xlws.FILTER(All_Detail!E$2:E$740,All_Detail!J$2:J$740="Hold"),2),"")</f>
        <v>Access Switch Type 2</v>
      </c>
      <c r="E183">
        <f>IFERROR(INDEX(_xlfn._xlws.FILTER(All_Detail!F$2:F$740,All_Detail!J$2:J$740="Hold"),2),"")</f>
        <v>1</v>
      </c>
      <c r="F183" s="31">
        <f>IFERROR(INDEX(_xlfn._xlws.FILTER(All_Detail!I$2:I$740,All_Detail!J$2:J$740="Hold"),2),"")</f>
        <v>46174</v>
      </c>
      <c r="G183" t="str">
        <f>IFERROR(INDEX(_xlfn._xlws.FILTER(All_Detail!J$2:J$740,All_Detail!J$2:J$740="Hold"),2),"")</f>
        <v>Hold</v>
      </c>
      <c r="H183">
        <f>IFERROR(INDEX(_xlfn._xlws.FILTER(All_Detail!P$2:P$740,All_Detail!J$2:J$740="Hold"),2),"")</f>
        <v>0</v>
      </c>
    </row>
    <row r="184" spans="1:10" ht="14.25" customHeight="1">
      <c r="A184" t="str">
        <f>IFERROR(INDEX(_xlfn._xlws.FILTER(All_Detail!B$2:B$740,All_Detail!J$2:J$740="Hold"),3),"")</f>
        <v>CFZ</v>
      </c>
      <c r="B184" t="str">
        <f>IFERROR(INDEX(_xlfn._xlws.FILTER(All_Detail!C$2:C$740,All_Detail!J$2:J$740="Hold"),3),"")</f>
        <v>อาคาร BC-1</v>
      </c>
      <c r="C184" t="str">
        <f>IFERROR(INDEX(_xlfn._xlws.FILTER(All_Detail!D$2:D$740,All_Detail!J$2:J$740="Hold"),3),"")</f>
        <v>ส่วนบริการกลาง</v>
      </c>
      <c r="D184" t="str">
        <f>IFERROR(INDEX(_xlfn._xlws.FILTER(All_Detail!E$2:E$740,All_Detail!J$2:J$740="Hold"),3),"")</f>
        <v>Access Switch Type 2</v>
      </c>
      <c r="E184">
        <f>IFERROR(INDEX(_xlfn._xlws.FILTER(All_Detail!F$2:F$740,All_Detail!J$2:J$740="Hold"),3),"")</f>
        <v>1</v>
      </c>
      <c r="F184" s="31">
        <f>IFERROR(INDEX(_xlfn._xlws.FILTER(All_Detail!I$2:I$740,All_Detail!J$2:J$740="Hold"),3),"")</f>
        <v>46174</v>
      </c>
      <c r="G184" t="str">
        <f>IFERROR(INDEX(_xlfn._xlws.FILTER(All_Detail!J$2:J$740,All_Detail!J$2:J$740="Hold"),3),"")</f>
        <v>Hold</v>
      </c>
      <c r="H184">
        <f>IFERROR(INDEX(_xlfn._xlws.FILTER(All_Detail!P$2:P$740,All_Detail!J$2:J$740="Hold"),3),"")</f>
        <v>0</v>
      </c>
    </row>
    <row r="185" spans="1:10" ht="14.25" customHeight="1">
      <c r="A185" t="str">
        <f>IFERROR(INDEX(_xlfn._xlws.FILTER(All_Detail!B$2:B$740,All_Detail!J$2:J$740="Hold"),4),"")</f>
        <v>D1-041</v>
      </c>
      <c r="B185" t="str">
        <f>IFERROR(INDEX(_xlfn._xlws.FILTER(All_Detail!C$2:C$740,All_Detail!J$2:J$740="Hold"),4),"")</f>
        <v>Power house 01R</v>
      </c>
      <c r="C185" t="str">
        <f>IFERROR(INDEX(_xlfn._xlws.FILTER(All_Detail!D$2:D$740,All_Detail!J$2:J$740="Hold"),4),"")</f>
        <v>ห้องเครื่อง</v>
      </c>
      <c r="D185" t="str">
        <f>IFERROR(INDEX(_xlfn._xlws.FILTER(All_Detail!E$2:E$740,All_Detail!J$2:J$740="Hold"),4),"")</f>
        <v>Access Switch Type 2</v>
      </c>
      <c r="E185">
        <f>IFERROR(INDEX(_xlfn._xlws.FILTER(All_Detail!F$2:F$740,All_Detail!J$2:J$740="Hold"),4),"")</f>
        <v>1</v>
      </c>
      <c r="F185" s="31">
        <f>IFERROR(INDEX(_xlfn._xlws.FILTER(All_Detail!I$2:I$740,All_Detail!J$2:J$740="Hold"),4),"")</f>
        <v>46174</v>
      </c>
      <c r="G185" t="str">
        <f>IFERROR(INDEX(_xlfn._xlws.FILTER(All_Detail!J$2:J$740,All_Detail!J$2:J$740="Hold"),4),"")</f>
        <v>Hold</v>
      </c>
      <c r="H185" t="str">
        <f>IFERROR(INDEX(_xlfn._xlws.FILTER(All_Detail!P$2:P$740,All_Detail!J$2:J$740="Hold"),4),"")</f>
        <v>BPDU</v>
      </c>
    </row>
    <row r="186" spans="1:10" ht="14.25" customHeight="1">
      <c r="A186" t="str">
        <f>IFERROR(INDEX(_xlfn._xlws.FILTER(All_Detail!B$2:B$740,All_Detail!J$2:J$740="Hold"),5),"")</f>
        <v>D1-041</v>
      </c>
      <c r="B186" t="str">
        <f>IFERROR(INDEX(_xlfn._xlws.FILTER(All_Detail!C$2:C$740,All_Detail!J$2:J$740="Hold"),5),"")</f>
        <v>อาคารสำนักงานท่าอากาศยานสุวรรณภูมิ</v>
      </c>
      <c r="C186" t="str">
        <f>IFERROR(INDEX(_xlfn._xlws.FILTER(All_Detail!D$2:D$740,All_Detail!J$2:J$740="Hold"),5),"")</f>
        <v>งานบริการยานพาหนะ</v>
      </c>
      <c r="D186" t="str">
        <f>IFERROR(INDEX(_xlfn._xlws.FILTER(All_Detail!E$2:E$740,All_Detail!J$2:J$740="Hold"),5),"")</f>
        <v>Access Switch Type 2</v>
      </c>
      <c r="E186">
        <f>IFERROR(INDEX(_xlfn._xlws.FILTER(All_Detail!F$2:F$740,All_Detail!J$2:J$740="Hold"),5),"")</f>
        <v>1</v>
      </c>
      <c r="F186" s="31">
        <f>IFERROR(INDEX(_xlfn._xlws.FILTER(All_Detail!I$2:I$740,All_Detail!J$2:J$740="Hold"),5),"")</f>
        <v>46174</v>
      </c>
      <c r="G186" t="str">
        <f>IFERROR(INDEX(_xlfn._xlws.FILTER(All_Detail!J$2:J$740,All_Detail!J$2:J$740="Hold"),5),"")</f>
        <v>Hold</v>
      </c>
      <c r="H186" t="str">
        <f>IFERROR(INDEX(_xlfn._xlws.FILTER(All_Detail!P$2:P$740,All_Detail!J$2:J$740="Hold"),5),"")</f>
        <v>*ยกเลิก 1 ตัว หน้างานติดตั้งไม่ได้ (คอนเฟริม By พี่โจ้)</v>
      </c>
    </row>
    <row r="187" spans="1:10" ht="14.25" customHeight="1">
      <c r="A187" t="str">
        <f>IFERROR(INDEX(_xlfn._xlws.FILTER(All_Detail!B$2:B$740,All_Detail!J$2:J$740="Hold"),6),"")</f>
        <v/>
      </c>
      <c r="B187" t="str">
        <f>IFERROR(INDEX(_xlfn._xlws.FILTER(All_Detail!C$2:C$740,All_Detail!J$2:J$740="Hold"),6),"")</f>
        <v/>
      </c>
      <c r="C187" t="str">
        <f>IFERROR(INDEX(_xlfn._xlws.FILTER(All_Detail!D$2:D$740,All_Detail!J$2:J$740="Hold"),6),"")</f>
        <v/>
      </c>
      <c r="D187" t="str">
        <f>IFERROR(INDEX(_xlfn._xlws.FILTER(All_Detail!E$2:E$740,All_Detail!J$2:J$740="Hold"),6),"")</f>
        <v/>
      </c>
      <c r="E187" t="str">
        <f>IFERROR(INDEX(_xlfn._xlws.FILTER(All_Detail!F$2:F$740,All_Detail!J$2:J$740="Hold"),6),"")</f>
        <v/>
      </c>
      <c r="F187" s="31" t="str">
        <f>IFERROR(INDEX(_xlfn._xlws.FILTER(All_Detail!I$2:I$740,All_Detail!J$2:J$740="Hold"),6),"")</f>
        <v/>
      </c>
      <c r="G187" t="str">
        <f>IFERROR(INDEX(_xlfn._xlws.FILTER(All_Detail!J$2:J$740,All_Detail!J$2:J$740="Hold"),6),"")</f>
        <v/>
      </c>
      <c r="H187" t="str">
        <f>IFERROR(INDEX(_xlfn._xlws.FILTER(All_Detail!P$2:P$740,All_Detail!J$2:J$740="Hold"),6),"")</f>
        <v/>
      </c>
    </row>
    <row r="188" spans="1:10" ht="14.25" customHeight="1">
      <c r="A188" t="str">
        <f>IFERROR(INDEX(_xlfn._xlws.FILTER(All_Detail!B$2:B$740,All_Detail!J$2:J$740="Hold"),7),"")</f>
        <v/>
      </c>
      <c r="B188" t="str">
        <f>IFERROR(INDEX(_xlfn._xlws.FILTER(All_Detail!C$2:C$740,All_Detail!J$2:J$740="Hold"),7),"")</f>
        <v/>
      </c>
      <c r="C188" t="str">
        <f>IFERROR(INDEX(_xlfn._xlws.FILTER(All_Detail!D$2:D$740,All_Detail!J$2:J$740="Hold"),7),"")</f>
        <v/>
      </c>
      <c r="D188" t="str">
        <f>IFERROR(INDEX(_xlfn._xlws.FILTER(All_Detail!E$2:E$740,All_Detail!J$2:J$740="Hold"),7),"")</f>
        <v/>
      </c>
      <c r="E188" t="str">
        <f>IFERROR(INDEX(_xlfn._xlws.FILTER(All_Detail!F$2:F$740,All_Detail!J$2:J$740="Hold"),7),"")</f>
        <v/>
      </c>
      <c r="F188" s="31" t="str">
        <f>IFERROR(INDEX(_xlfn._xlws.FILTER(All_Detail!I$2:I$740,All_Detail!J$2:J$740="Hold"),7),"")</f>
        <v/>
      </c>
      <c r="G188" t="str">
        <f>IFERROR(INDEX(_xlfn._xlws.FILTER(All_Detail!J$2:J$740,All_Detail!J$2:J$740="Hold"),7),"")</f>
        <v/>
      </c>
      <c r="H188" t="str">
        <f>IFERROR(INDEX(_xlfn._xlws.FILTER(All_Detail!P$2:P$740,All_Detail!J$2:J$740="Hold"),7),"")</f>
        <v/>
      </c>
    </row>
    <row r="189" spans="1:10" ht="14.25" customHeight="1">
      <c r="A189" t="str">
        <f>IFERROR(INDEX(_xlfn._xlws.FILTER(All_Detail!B$2:B$740,All_Detail!J$2:J$740="Hold"),8),"")</f>
        <v/>
      </c>
      <c r="B189" t="str">
        <f>IFERROR(INDEX(_xlfn._xlws.FILTER(All_Detail!C$2:C$740,All_Detail!J$2:J$740="Hold"),8),"")</f>
        <v/>
      </c>
      <c r="C189" t="str">
        <f>IFERROR(INDEX(_xlfn._xlws.FILTER(All_Detail!D$2:D$740,All_Detail!J$2:J$740="Hold"),8),"")</f>
        <v/>
      </c>
      <c r="D189" t="str">
        <f>IFERROR(INDEX(_xlfn._xlws.FILTER(All_Detail!E$2:E$740,All_Detail!J$2:J$740="Hold"),8),"")</f>
        <v/>
      </c>
      <c r="E189" t="str">
        <f>IFERROR(INDEX(_xlfn._xlws.FILTER(All_Detail!F$2:F$740,All_Detail!J$2:J$740="Hold"),8),"")</f>
        <v/>
      </c>
      <c r="F189" s="31" t="str">
        <f>IFERROR(INDEX(_xlfn._xlws.FILTER(All_Detail!I$2:I$740,All_Detail!J$2:J$740="Hold"),8),"")</f>
        <v/>
      </c>
      <c r="G189" t="str">
        <f>IFERROR(INDEX(_xlfn._xlws.FILTER(All_Detail!J$2:J$740,All_Detail!J$2:J$740="Hold"),8),"")</f>
        <v/>
      </c>
      <c r="H189" t="str">
        <f>IFERROR(INDEX(_xlfn._xlws.FILTER(All_Detail!P$2:P$740,All_Detail!J$2:J$740="Hold"),8),"")</f>
        <v/>
      </c>
    </row>
    <row r="190" spans="1:10" ht="14.25" customHeight="1">
      <c r="A190" t="str">
        <f>IFERROR(INDEX(_xlfn._xlws.FILTER(All_Detail!B$2:B$740,All_Detail!J$2:J$740="Hold"),9),"")</f>
        <v/>
      </c>
      <c r="B190" t="str">
        <f>IFERROR(INDEX(_xlfn._xlws.FILTER(All_Detail!C$2:C$740,All_Detail!J$2:J$740="Hold"),9),"")</f>
        <v/>
      </c>
      <c r="C190" t="str">
        <f>IFERROR(INDEX(_xlfn._xlws.FILTER(All_Detail!D$2:D$740,All_Detail!J$2:J$740="Hold"),9),"")</f>
        <v/>
      </c>
      <c r="D190" t="str">
        <f>IFERROR(INDEX(_xlfn._xlws.FILTER(All_Detail!E$2:E$740,All_Detail!J$2:J$740="Hold"),9),"")</f>
        <v/>
      </c>
      <c r="E190" t="str">
        <f>IFERROR(INDEX(_xlfn._xlws.FILTER(All_Detail!F$2:F$740,All_Detail!J$2:J$740="Hold"),9),"")</f>
        <v/>
      </c>
      <c r="F190" s="31" t="str">
        <f>IFERROR(INDEX(_xlfn._xlws.FILTER(All_Detail!I$2:I$740,All_Detail!J$2:J$740="Hold"),9),"")</f>
        <v/>
      </c>
      <c r="G190" t="str">
        <f>IFERROR(INDEX(_xlfn._xlws.FILTER(All_Detail!J$2:J$740,All_Detail!J$2:J$740="Hold"),9),"")</f>
        <v/>
      </c>
      <c r="H190" t="str">
        <f>IFERROR(INDEX(_xlfn._xlws.FILTER(All_Detail!P$2:P$740,All_Detail!J$2:J$740="Hold"),9),"")</f>
        <v/>
      </c>
    </row>
    <row r="191" spans="1:10" ht="14.25" customHeight="1">
      <c r="A191" t="str">
        <f>IFERROR(INDEX(_xlfn._xlws.FILTER(All_Detail!B$2:B$740,All_Detail!J$2:J$740="Hold"),10),"")</f>
        <v/>
      </c>
      <c r="B191" t="str">
        <f>IFERROR(INDEX(_xlfn._xlws.FILTER(All_Detail!C$2:C$740,All_Detail!J$2:J$740="Hold"),10),"")</f>
        <v/>
      </c>
      <c r="C191" t="str">
        <f>IFERROR(INDEX(_xlfn._xlws.FILTER(All_Detail!D$2:D$740,All_Detail!J$2:J$740="Hold"),10),"")</f>
        <v/>
      </c>
      <c r="D191" t="str">
        <f>IFERROR(INDEX(_xlfn._xlws.FILTER(All_Detail!E$2:E$740,All_Detail!J$2:J$740="Hold"),10),"")</f>
        <v/>
      </c>
      <c r="E191" t="str">
        <f>IFERROR(INDEX(_xlfn._xlws.FILTER(All_Detail!F$2:F$740,All_Detail!J$2:J$740="Hold"),10),"")</f>
        <v/>
      </c>
      <c r="F191" s="31" t="str">
        <f>IFERROR(INDEX(_xlfn._xlws.FILTER(All_Detail!I$2:I$740,All_Detail!J$2:J$740="Hold"),10),"")</f>
        <v/>
      </c>
      <c r="G191" t="str">
        <f>IFERROR(INDEX(_xlfn._xlws.FILTER(All_Detail!J$2:J$740,All_Detail!J$2:J$740="Hold"),10),"")</f>
        <v/>
      </c>
      <c r="H191" t="str">
        <f>IFERROR(INDEX(_xlfn._xlws.FILTER(All_Detail!P$2:P$740,All_Detail!J$2:J$740="Hold"),10),"")</f>
        <v/>
      </c>
    </row>
    <row r="192" spans="1:10" ht="14.25" customHeight="1">
      <c r="A192" t="str">
        <f>IFERROR(INDEX(_xlfn._xlws.FILTER(All_Detail!B$2:B$740,All_Detail!J$2:J$740="Hold"),11),"")</f>
        <v/>
      </c>
      <c r="B192" t="str">
        <f>IFERROR(INDEX(_xlfn._xlws.FILTER(All_Detail!C$2:C$740,All_Detail!J$2:J$740="Hold"),11),"")</f>
        <v/>
      </c>
      <c r="C192" t="str">
        <f>IFERROR(INDEX(_xlfn._xlws.FILTER(All_Detail!D$2:D$740,All_Detail!J$2:J$740="Hold"),11),"")</f>
        <v/>
      </c>
      <c r="D192" t="str">
        <f>IFERROR(INDEX(_xlfn._xlws.FILTER(All_Detail!E$2:E$740,All_Detail!J$2:J$740="Hold"),11),"")</f>
        <v/>
      </c>
      <c r="E192" t="str">
        <f>IFERROR(INDEX(_xlfn._xlws.FILTER(All_Detail!F$2:F$740,All_Detail!J$2:J$740="Hold"),11),"")</f>
        <v/>
      </c>
      <c r="F192" s="31" t="str">
        <f>IFERROR(INDEX(_xlfn._xlws.FILTER(All_Detail!I$2:I$740,All_Detail!J$2:J$740="Hold"),11),"")</f>
        <v/>
      </c>
      <c r="G192" t="str">
        <f>IFERROR(INDEX(_xlfn._xlws.FILTER(All_Detail!J$2:J$740,All_Detail!J$2:J$740="Hold"),11),"")</f>
        <v/>
      </c>
      <c r="H192" t="str">
        <f>IFERROR(INDEX(_xlfn._xlws.FILTER(All_Detail!P$2:P$740,All_Detail!J$2:J$740="Hold"),11),"")</f>
        <v/>
      </c>
    </row>
    <row r="193" spans="1:8" ht="14.25" customHeight="1">
      <c r="A193" t="str">
        <f>IFERROR(INDEX(_xlfn._xlws.FILTER(All_Detail!B$2:B$740,All_Detail!J$2:J$740="Hold"),12),"")</f>
        <v/>
      </c>
      <c r="B193" t="str">
        <f>IFERROR(INDEX(_xlfn._xlws.FILTER(All_Detail!C$2:C$740,All_Detail!J$2:J$740="Hold"),12),"")</f>
        <v/>
      </c>
      <c r="C193" t="str">
        <f>IFERROR(INDEX(_xlfn._xlws.FILTER(All_Detail!D$2:D$740,All_Detail!J$2:J$740="Hold"),12),"")</f>
        <v/>
      </c>
      <c r="D193" t="str">
        <f>IFERROR(INDEX(_xlfn._xlws.FILTER(All_Detail!E$2:E$740,All_Detail!J$2:J$740="Hold"),12),"")</f>
        <v/>
      </c>
      <c r="E193" t="str">
        <f>IFERROR(INDEX(_xlfn._xlws.FILTER(All_Detail!F$2:F$740,All_Detail!J$2:J$740="Hold"),12),"")</f>
        <v/>
      </c>
      <c r="F193" s="31" t="str">
        <f>IFERROR(INDEX(_xlfn._xlws.FILTER(All_Detail!I$2:I$740,All_Detail!J$2:J$740="Hold"),12),"")</f>
        <v/>
      </c>
      <c r="G193" t="str">
        <f>IFERROR(INDEX(_xlfn._xlws.FILTER(All_Detail!J$2:J$740,All_Detail!J$2:J$740="Hold"),12),"")</f>
        <v/>
      </c>
      <c r="H193" t="str">
        <f>IFERROR(INDEX(_xlfn._xlws.FILTER(All_Detail!P$2:P$740,All_Detail!J$2:J$740="Hold"),12),"")</f>
        <v/>
      </c>
    </row>
    <row r="194" spans="1:8" ht="14.25" customHeight="1">
      <c r="A194" t="str">
        <f>IFERROR(INDEX(_xlfn._xlws.FILTER(All_Detail!B$2:B$740,All_Detail!J$2:J$740="Hold"),13),"")</f>
        <v/>
      </c>
      <c r="B194" t="str">
        <f>IFERROR(INDEX(_xlfn._xlws.FILTER(All_Detail!C$2:C$740,All_Detail!J$2:J$740="Hold"),13),"")</f>
        <v/>
      </c>
      <c r="C194" t="str">
        <f>IFERROR(INDEX(_xlfn._xlws.FILTER(All_Detail!D$2:D$740,All_Detail!J$2:J$740="Hold"),13),"")</f>
        <v/>
      </c>
      <c r="D194" t="str">
        <f>IFERROR(INDEX(_xlfn._xlws.FILTER(All_Detail!E$2:E$740,All_Detail!J$2:J$740="Hold"),13),"")</f>
        <v/>
      </c>
      <c r="E194" t="str">
        <f>IFERROR(INDEX(_xlfn._xlws.FILTER(All_Detail!F$2:F$740,All_Detail!J$2:J$740="Hold"),13),"")</f>
        <v/>
      </c>
      <c r="F194" s="31" t="str">
        <f>IFERROR(INDEX(_xlfn._xlws.FILTER(All_Detail!I$2:I$740,All_Detail!J$2:J$740="Hold"),13),"")</f>
        <v/>
      </c>
      <c r="G194" t="str">
        <f>IFERROR(INDEX(_xlfn._xlws.FILTER(All_Detail!J$2:J$740,All_Detail!J$2:J$740="Hold"),13),"")</f>
        <v/>
      </c>
      <c r="H194" t="str">
        <f>IFERROR(INDEX(_xlfn._xlws.FILTER(All_Detail!P$2:P$740,All_Detail!J$2:J$740="Hold"),13),"")</f>
        <v/>
      </c>
    </row>
    <row r="195" spans="1:8" ht="14.25" customHeight="1">
      <c r="A195" t="str">
        <f>IFERROR(INDEX(_xlfn._xlws.FILTER(All_Detail!B$2:B$740,All_Detail!J$2:J$740="Hold"),14),"")</f>
        <v/>
      </c>
      <c r="B195" t="str">
        <f>IFERROR(INDEX(_xlfn._xlws.FILTER(All_Detail!C$2:C$740,All_Detail!J$2:J$740="Hold"),14),"")</f>
        <v/>
      </c>
      <c r="C195" t="str">
        <f>IFERROR(INDEX(_xlfn._xlws.FILTER(All_Detail!D$2:D$740,All_Detail!J$2:J$740="Hold"),14),"")</f>
        <v/>
      </c>
      <c r="D195" t="str">
        <f>IFERROR(INDEX(_xlfn._xlws.FILTER(All_Detail!E$2:E$740,All_Detail!J$2:J$740="Hold"),14),"")</f>
        <v/>
      </c>
      <c r="E195" t="str">
        <f>IFERROR(INDEX(_xlfn._xlws.FILTER(All_Detail!F$2:F$740,All_Detail!J$2:J$740="Hold"),14),"")</f>
        <v/>
      </c>
      <c r="F195" s="31" t="str">
        <f>IFERROR(INDEX(_xlfn._xlws.FILTER(All_Detail!I$2:I$740,All_Detail!J$2:J$740="Hold"),14),"")</f>
        <v/>
      </c>
      <c r="G195" t="str">
        <f>IFERROR(INDEX(_xlfn._xlws.FILTER(All_Detail!J$2:J$740,All_Detail!J$2:J$740="Hold"),14),"")</f>
        <v/>
      </c>
      <c r="H195" t="str">
        <f>IFERROR(INDEX(_xlfn._xlws.FILTER(All_Detail!P$2:P$740,All_Detail!J$2:J$740="Hold"),14),"")</f>
        <v/>
      </c>
    </row>
    <row r="196" spans="1:8" ht="14.25" customHeight="1">
      <c r="A196" t="str">
        <f>IFERROR(INDEX(_xlfn._xlws.FILTER(All_Detail!B$2:B$740,All_Detail!J$2:J$740="Hold"),15),"")</f>
        <v/>
      </c>
      <c r="B196" t="str">
        <f>IFERROR(INDEX(_xlfn._xlws.FILTER(All_Detail!C$2:C$740,All_Detail!J$2:J$740="Hold"),15),"")</f>
        <v/>
      </c>
      <c r="C196" t="str">
        <f>IFERROR(INDEX(_xlfn._xlws.FILTER(All_Detail!D$2:D$740,All_Detail!J$2:J$740="Hold"),15),"")</f>
        <v/>
      </c>
      <c r="D196" t="str">
        <f>IFERROR(INDEX(_xlfn._xlws.FILTER(All_Detail!E$2:E$740,All_Detail!J$2:J$740="Hold"),15),"")</f>
        <v/>
      </c>
      <c r="E196" t="str">
        <f>IFERROR(INDEX(_xlfn._xlws.FILTER(All_Detail!F$2:F$740,All_Detail!J$2:J$740="Hold"),15),"")</f>
        <v/>
      </c>
      <c r="F196" s="31" t="str">
        <f>IFERROR(INDEX(_xlfn._xlws.FILTER(All_Detail!I$2:I$740,All_Detail!J$2:J$740="Hold"),15),"")</f>
        <v/>
      </c>
      <c r="G196" t="str">
        <f>IFERROR(INDEX(_xlfn._xlws.FILTER(All_Detail!J$2:J$740,All_Detail!J$2:J$740="Hold"),15),"")</f>
        <v/>
      </c>
      <c r="H196" t="str">
        <f>IFERROR(INDEX(_xlfn._xlws.FILTER(All_Detail!P$2:P$740,All_Detail!J$2:J$740="Hold"),15),"")</f>
        <v/>
      </c>
    </row>
    <row r="197" spans="1:8" ht="14.25" customHeight="1">
      <c r="A197" t="str">
        <f>IFERROR(INDEX(_xlfn._xlws.FILTER(All_Detail!B$2:B$740,All_Detail!J$2:J$740="Hold"),16),"")</f>
        <v/>
      </c>
      <c r="B197" t="str">
        <f>IFERROR(INDEX(_xlfn._xlws.FILTER(All_Detail!C$2:C$740,All_Detail!J$2:J$740="Hold"),16),"")</f>
        <v/>
      </c>
      <c r="C197" t="str">
        <f>IFERROR(INDEX(_xlfn._xlws.FILTER(All_Detail!D$2:D$740,All_Detail!J$2:J$740="Hold"),16),"")</f>
        <v/>
      </c>
      <c r="D197" t="str">
        <f>IFERROR(INDEX(_xlfn._xlws.FILTER(All_Detail!E$2:E$740,All_Detail!J$2:J$740="Hold"),16),"")</f>
        <v/>
      </c>
      <c r="E197" t="str">
        <f>IFERROR(INDEX(_xlfn._xlws.FILTER(All_Detail!F$2:F$740,All_Detail!J$2:J$740="Hold"),16),"")</f>
        <v/>
      </c>
      <c r="F197" s="31" t="str">
        <f>IFERROR(INDEX(_xlfn._xlws.FILTER(All_Detail!I$2:I$740,All_Detail!J$2:J$740="Hold"),16),"")</f>
        <v/>
      </c>
      <c r="G197" t="str">
        <f>IFERROR(INDEX(_xlfn._xlws.FILTER(All_Detail!J$2:J$740,All_Detail!J$2:J$740="Hold"),16),"")</f>
        <v/>
      </c>
      <c r="H197" t="str">
        <f>IFERROR(INDEX(_xlfn._xlws.FILTER(All_Detail!P$2:P$740,All_Detail!J$2:J$740="Hold"),16),"")</f>
        <v/>
      </c>
    </row>
    <row r="198" spans="1:8" ht="14.25" customHeight="1">
      <c r="A198" t="str">
        <f>IFERROR(INDEX(_xlfn._xlws.FILTER(All_Detail!B$2:B$740,All_Detail!J$2:J$740="Hold"),17),"")</f>
        <v/>
      </c>
      <c r="B198" t="str">
        <f>IFERROR(INDEX(_xlfn._xlws.FILTER(All_Detail!C$2:C$740,All_Detail!J$2:J$740="Hold"),17),"")</f>
        <v/>
      </c>
      <c r="C198" t="str">
        <f>IFERROR(INDEX(_xlfn._xlws.FILTER(All_Detail!D$2:D$740,All_Detail!J$2:J$740="Hold"),17),"")</f>
        <v/>
      </c>
      <c r="D198" t="str">
        <f>IFERROR(INDEX(_xlfn._xlws.FILTER(All_Detail!E$2:E$740,All_Detail!J$2:J$740="Hold"),17),"")</f>
        <v/>
      </c>
      <c r="E198" t="str">
        <f>IFERROR(INDEX(_xlfn._xlws.FILTER(All_Detail!F$2:F$740,All_Detail!J$2:J$740="Hold"),17),"")</f>
        <v/>
      </c>
      <c r="F198" s="31" t="str">
        <f>IFERROR(INDEX(_xlfn._xlws.FILTER(All_Detail!I$2:I$740,All_Detail!J$2:J$740="Hold"),17),"")</f>
        <v/>
      </c>
      <c r="G198" t="str">
        <f>IFERROR(INDEX(_xlfn._xlws.FILTER(All_Detail!J$2:J$740,All_Detail!J$2:J$740="Hold"),17),"")</f>
        <v/>
      </c>
      <c r="H198" t="str">
        <f>IFERROR(INDEX(_xlfn._xlws.FILTER(All_Detail!P$2:P$740,All_Detail!J$2:J$740="Hold"),17),"")</f>
        <v/>
      </c>
    </row>
    <row r="199" spans="1:8" ht="14.25" customHeight="1">
      <c r="A199" t="str">
        <f>IFERROR(INDEX(_xlfn._xlws.FILTER(All_Detail!B$2:B$740,All_Detail!J$2:J$740="Hold"),18),"")</f>
        <v/>
      </c>
      <c r="B199" t="str">
        <f>IFERROR(INDEX(_xlfn._xlws.FILTER(All_Detail!C$2:C$740,All_Detail!J$2:J$740="Hold"),18),"")</f>
        <v/>
      </c>
      <c r="C199" t="str">
        <f>IFERROR(INDEX(_xlfn._xlws.FILTER(All_Detail!D$2:D$740,All_Detail!J$2:J$740="Hold"),18),"")</f>
        <v/>
      </c>
      <c r="D199" t="str">
        <f>IFERROR(INDEX(_xlfn._xlws.FILTER(All_Detail!E$2:E$740,All_Detail!J$2:J$740="Hold"),18),"")</f>
        <v/>
      </c>
      <c r="E199" t="str">
        <f>IFERROR(INDEX(_xlfn._xlws.FILTER(All_Detail!F$2:F$740,All_Detail!J$2:J$740="Hold"),18),"")</f>
        <v/>
      </c>
      <c r="F199" s="31" t="str">
        <f>IFERROR(INDEX(_xlfn._xlws.FILTER(All_Detail!I$2:I$740,All_Detail!J$2:J$740="Hold"),18),"")</f>
        <v/>
      </c>
      <c r="G199" t="str">
        <f>IFERROR(INDEX(_xlfn._xlws.FILTER(All_Detail!J$2:J$740,All_Detail!J$2:J$740="Hold"),18),"")</f>
        <v/>
      </c>
      <c r="H199" t="str">
        <f>IFERROR(INDEX(_xlfn._xlws.FILTER(All_Detail!P$2:P$740,All_Detail!J$2:J$740="Hold"),18),"")</f>
        <v/>
      </c>
    </row>
    <row r="200" spans="1:8" ht="14.25" customHeight="1">
      <c r="A200" t="str">
        <f>IFERROR(INDEX(_xlfn._xlws.FILTER(All_Detail!B$2:B$740,All_Detail!J$2:J$740="Hold"),19),"")</f>
        <v/>
      </c>
      <c r="B200" t="str">
        <f>IFERROR(INDEX(_xlfn._xlws.FILTER(All_Detail!C$2:C$740,All_Detail!J$2:J$740="Hold"),19),"")</f>
        <v/>
      </c>
      <c r="C200" t="str">
        <f>IFERROR(INDEX(_xlfn._xlws.FILTER(All_Detail!D$2:D$740,All_Detail!J$2:J$740="Hold"),19),"")</f>
        <v/>
      </c>
      <c r="D200" t="str">
        <f>IFERROR(INDEX(_xlfn._xlws.FILTER(All_Detail!E$2:E$740,All_Detail!J$2:J$740="Hold"),19),"")</f>
        <v/>
      </c>
      <c r="E200" t="str">
        <f>IFERROR(INDEX(_xlfn._xlws.FILTER(All_Detail!F$2:F$740,All_Detail!J$2:J$740="Hold"),19),"")</f>
        <v/>
      </c>
      <c r="F200" s="31" t="str">
        <f>IFERROR(INDEX(_xlfn._xlws.FILTER(All_Detail!I$2:I$740,All_Detail!J$2:J$740="Hold"),19),"")</f>
        <v/>
      </c>
      <c r="G200" t="str">
        <f>IFERROR(INDEX(_xlfn._xlws.FILTER(All_Detail!J$2:J$740,All_Detail!J$2:J$740="Hold"),19),"")</f>
        <v/>
      </c>
      <c r="H200" t="str">
        <f>IFERROR(INDEX(_xlfn._xlws.FILTER(All_Detail!P$2:P$740,All_Detail!J$2:J$740="Hold"),19),"")</f>
        <v/>
      </c>
    </row>
    <row r="201" spans="1:8" ht="14.25" customHeight="1">
      <c r="A201" t="str">
        <f>IFERROR(INDEX(_xlfn._xlws.FILTER(All_Detail!B$2:B$740,All_Detail!J$2:J$740="Hold"),20),"")</f>
        <v/>
      </c>
      <c r="B201" t="str">
        <f>IFERROR(INDEX(_xlfn._xlws.FILTER(All_Detail!C$2:C$740,All_Detail!J$2:J$740="Hold"),20),"")</f>
        <v/>
      </c>
      <c r="C201" t="str">
        <f>IFERROR(INDEX(_xlfn._xlws.FILTER(All_Detail!D$2:D$740,All_Detail!J$2:J$740="Hold"),20),"")</f>
        <v/>
      </c>
      <c r="D201" t="str">
        <f>IFERROR(INDEX(_xlfn._xlws.FILTER(All_Detail!E$2:E$740,All_Detail!J$2:J$740="Hold"),20),"")</f>
        <v/>
      </c>
      <c r="E201" t="str">
        <f>IFERROR(INDEX(_xlfn._xlws.FILTER(All_Detail!F$2:F$740,All_Detail!J$2:J$740="Hold"),20),"")</f>
        <v/>
      </c>
      <c r="F201" s="31" t="str">
        <f>IFERROR(INDEX(_xlfn._xlws.FILTER(All_Detail!I$2:I$740,All_Detail!J$2:J$740="Hold"),20),"")</f>
        <v/>
      </c>
      <c r="G201" t="str">
        <f>IFERROR(INDEX(_xlfn._xlws.FILTER(All_Detail!J$2:J$740,All_Detail!J$2:J$740="Hold"),20),"")</f>
        <v/>
      </c>
      <c r="H201" t="str">
        <f>IFERROR(INDEX(_xlfn._xlws.FILTER(All_Detail!P$2:P$740,All_Detail!J$2:J$740="Hold"),20),"")</f>
        <v/>
      </c>
    </row>
  </sheetData>
  <mergeCells count="10">
    <mergeCell ref="A1:J1"/>
    <mergeCell ref="A2:J2"/>
    <mergeCell ref="A4:J4"/>
    <mergeCell ref="A9:J9"/>
    <mergeCell ref="A20:J20"/>
    <mergeCell ref="A26:J26"/>
    <mergeCell ref="A39:J39"/>
    <mergeCell ref="A60:J60"/>
    <mergeCell ref="A128:J128"/>
    <mergeCell ref="A180:J18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740"/>
  <sheetViews>
    <sheetView tabSelected="1" zoomScaleNormal="100" workbookViewId="0">
      <selection activeCell="H8" sqref="H8"/>
    </sheetView>
  </sheetViews>
  <sheetFormatPr defaultColWidth="11.42578125" defaultRowHeight="14.25" customHeight="1"/>
  <cols>
    <col min="1" max="1" width="4.42578125" customWidth="1"/>
    <col min="3" max="3" width="38.140625" customWidth="1"/>
    <col min="4" max="4" width="37.7109375" customWidth="1"/>
    <col min="5" max="5" width="28.28515625" customWidth="1"/>
    <col min="6" max="6" width="9" customWidth="1"/>
    <col min="7" max="7" width="13.7109375" customWidth="1"/>
    <col min="8" max="8" width="17.7109375" style="87" customWidth="1"/>
    <col min="9" max="9" width="21" style="87" customWidth="1"/>
    <col min="10" max="10" width="12.28515625" customWidth="1"/>
    <col min="11" max="11" width="14" customWidth="1"/>
    <col min="12" max="12" width="12" customWidth="1"/>
    <col min="13" max="13" width="14" customWidth="1"/>
    <col min="14" max="14" width="8" customWidth="1"/>
    <col min="15" max="15" width="12" customWidth="1"/>
    <col min="16" max="16" width="44.7109375" customWidth="1"/>
  </cols>
  <sheetData>
    <row r="1" spans="1:16" ht="14.25" customHeight="1">
      <c r="A1" s="32" t="s">
        <v>66</v>
      </c>
      <c r="B1" s="33" t="s">
        <v>12</v>
      </c>
      <c r="C1" s="34" t="s">
        <v>56</v>
      </c>
      <c r="D1" s="34" t="s">
        <v>57</v>
      </c>
      <c r="E1" s="34" t="s">
        <v>58</v>
      </c>
      <c r="F1" s="34" t="s">
        <v>59</v>
      </c>
      <c r="G1" s="34" t="s">
        <v>67</v>
      </c>
      <c r="H1" s="85" t="s">
        <v>68</v>
      </c>
      <c r="I1" s="85" t="s">
        <v>60</v>
      </c>
      <c r="J1" s="34" t="s">
        <v>61</v>
      </c>
      <c r="K1" s="34" t="s">
        <v>69</v>
      </c>
      <c r="L1" t="s">
        <v>70</v>
      </c>
      <c r="M1" t="s">
        <v>71</v>
      </c>
      <c r="N1" t="s">
        <v>44</v>
      </c>
      <c r="O1" t="s">
        <v>29</v>
      </c>
      <c r="P1" t="s">
        <v>62</v>
      </c>
    </row>
    <row r="2" spans="1:16" ht="14.25" customHeight="1">
      <c r="A2">
        <v>703</v>
      </c>
      <c r="B2" s="35" t="s">
        <v>25</v>
      </c>
      <c r="C2" s="37" t="s">
        <v>72</v>
      </c>
      <c r="D2" s="37" t="s">
        <v>73</v>
      </c>
      <c r="E2" s="37" t="s">
        <v>74</v>
      </c>
      <c r="F2" s="37">
        <v>2</v>
      </c>
      <c r="G2" s="37">
        <v>2</v>
      </c>
      <c r="H2" s="86">
        <v>46109</v>
      </c>
      <c r="I2" s="86">
        <v>46189</v>
      </c>
      <c r="J2" s="37" t="s">
        <v>75</v>
      </c>
      <c r="K2" s="38">
        <f t="shared" ref="K2:K65" si="0">F2-G2</f>
        <v>0</v>
      </c>
      <c r="L2" s="39">
        <f t="shared" ref="L2:L65" si="1">IF(F2=0,"",G2/F2)</f>
        <v>1</v>
      </c>
      <c r="M2" s="40">
        <f t="shared" ref="M2:M65" ca="1" si="2">I2-TODAY()</f>
        <v>76</v>
      </c>
      <c r="N2">
        <f t="shared" ref="N2:N65" si="3">_xlfn.ISOWEEKNUM(I2)</f>
        <v>25</v>
      </c>
      <c r="O2" t="str">
        <f t="shared" ref="O2:O65" si="4">IF(ISNUMBER(SEARCH("Access Point",E2)),"AP",IF(OR(ISNUMBER(SEARCH("Switch",E2)),ISNUMBER(SEARCH("Control Type",E2))),"Switch","Infra"))</f>
        <v>Switch</v>
      </c>
    </row>
    <row r="3" spans="1:16" ht="14.25" hidden="1" customHeight="1">
      <c r="A3">
        <v>688</v>
      </c>
      <c r="B3" s="35" t="s">
        <v>25</v>
      </c>
      <c r="C3" s="37" t="s">
        <v>76</v>
      </c>
      <c r="D3" s="37" t="s">
        <v>77</v>
      </c>
      <c r="E3" s="37" t="s">
        <v>78</v>
      </c>
      <c r="F3" s="37">
        <v>18</v>
      </c>
      <c r="G3" s="37"/>
      <c r="H3" s="86"/>
      <c r="I3" s="86">
        <v>46189</v>
      </c>
      <c r="J3" s="37" t="s">
        <v>4</v>
      </c>
      <c r="K3" s="38">
        <f t="shared" si="0"/>
        <v>18</v>
      </c>
      <c r="L3" s="39">
        <f t="shared" si="1"/>
        <v>0</v>
      </c>
      <c r="M3" s="40">
        <f t="shared" ca="1" si="2"/>
        <v>76</v>
      </c>
      <c r="N3">
        <f t="shared" si="3"/>
        <v>25</v>
      </c>
      <c r="O3" t="str">
        <f t="shared" si="4"/>
        <v>AP</v>
      </c>
    </row>
    <row r="4" spans="1:16" ht="14.25" customHeight="1">
      <c r="A4">
        <v>704</v>
      </c>
      <c r="B4" s="35" t="s">
        <v>25</v>
      </c>
      <c r="C4" s="37" t="s">
        <v>72</v>
      </c>
      <c r="D4" s="36" t="s">
        <v>79</v>
      </c>
      <c r="E4" s="37" t="s">
        <v>80</v>
      </c>
      <c r="F4" s="37">
        <v>1</v>
      </c>
      <c r="G4" s="37">
        <v>2</v>
      </c>
      <c r="H4" s="86">
        <v>46109</v>
      </c>
      <c r="I4" s="86">
        <v>46189</v>
      </c>
      <c r="J4" s="37" t="s">
        <v>75</v>
      </c>
      <c r="K4" s="38">
        <f t="shared" si="0"/>
        <v>-1</v>
      </c>
      <c r="L4" s="39">
        <f t="shared" si="1"/>
        <v>2</v>
      </c>
      <c r="M4" s="40">
        <f t="shared" ca="1" si="2"/>
        <v>76</v>
      </c>
      <c r="N4">
        <f t="shared" si="3"/>
        <v>25</v>
      </c>
      <c r="O4" t="str">
        <f t="shared" si="4"/>
        <v>Switch</v>
      </c>
      <c r="P4" s="41" t="s">
        <v>81</v>
      </c>
    </row>
    <row r="5" spans="1:16" ht="14.25" hidden="1" customHeight="1">
      <c r="A5">
        <v>690</v>
      </c>
      <c r="B5" s="35" t="s">
        <v>25</v>
      </c>
      <c r="C5" s="37" t="s">
        <v>76</v>
      </c>
      <c r="D5" s="37" t="s">
        <v>82</v>
      </c>
      <c r="E5" s="37" t="s">
        <v>83</v>
      </c>
      <c r="F5" s="37">
        <v>2</v>
      </c>
      <c r="G5" s="37">
        <v>2</v>
      </c>
      <c r="H5" s="86">
        <v>46063</v>
      </c>
      <c r="I5" s="86">
        <v>46063</v>
      </c>
      <c r="J5" s="37" t="s">
        <v>75</v>
      </c>
      <c r="K5" s="38">
        <f t="shared" si="0"/>
        <v>0</v>
      </c>
      <c r="L5" s="39">
        <f t="shared" si="1"/>
        <v>1</v>
      </c>
      <c r="M5" s="40">
        <f t="shared" ca="1" si="2"/>
        <v>-50</v>
      </c>
      <c r="N5">
        <f t="shared" si="3"/>
        <v>7</v>
      </c>
      <c r="O5" t="str">
        <f t="shared" si="4"/>
        <v>Infra</v>
      </c>
    </row>
    <row r="6" spans="1:16" ht="14.25" hidden="1" customHeight="1">
      <c r="A6">
        <v>689</v>
      </c>
      <c r="B6" s="35" t="s">
        <v>25</v>
      </c>
      <c r="C6" s="37" t="s">
        <v>76</v>
      </c>
      <c r="D6" s="37" t="s">
        <v>82</v>
      </c>
      <c r="E6" s="37" t="s">
        <v>84</v>
      </c>
      <c r="F6" s="37">
        <v>2</v>
      </c>
      <c r="G6" s="37">
        <v>2</v>
      </c>
      <c r="H6" s="86">
        <v>46105</v>
      </c>
      <c r="I6" s="86">
        <v>46190</v>
      </c>
      <c r="J6" s="37" t="s">
        <v>75</v>
      </c>
      <c r="K6" s="38">
        <f t="shared" si="0"/>
        <v>0</v>
      </c>
      <c r="L6" s="39">
        <f t="shared" si="1"/>
        <v>1</v>
      </c>
      <c r="M6" s="40">
        <f t="shared" ca="1" si="2"/>
        <v>77</v>
      </c>
      <c r="N6">
        <f t="shared" si="3"/>
        <v>25</v>
      </c>
      <c r="O6" t="str">
        <f t="shared" si="4"/>
        <v>Switch</v>
      </c>
    </row>
    <row r="7" spans="1:16" ht="14.25" customHeight="1">
      <c r="A7">
        <v>705</v>
      </c>
      <c r="B7" s="35" t="s">
        <v>25</v>
      </c>
      <c r="C7" s="37" t="s">
        <v>72</v>
      </c>
      <c r="D7" s="36" t="s">
        <v>85</v>
      </c>
      <c r="E7" s="37" t="s">
        <v>80</v>
      </c>
      <c r="F7" s="37">
        <v>2</v>
      </c>
      <c r="G7" s="37">
        <v>2</v>
      </c>
      <c r="H7" s="86">
        <v>46109</v>
      </c>
      <c r="I7" s="86">
        <v>46189</v>
      </c>
      <c r="J7" s="37" t="s">
        <v>75</v>
      </c>
      <c r="K7" s="38">
        <f t="shared" si="0"/>
        <v>0</v>
      </c>
      <c r="L7" s="39">
        <f t="shared" si="1"/>
        <v>1</v>
      </c>
      <c r="M7" s="40">
        <f t="shared" ca="1" si="2"/>
        <v>76</v>
      </c>
      <c r="N7">
        <f t="shared" si="3"/>
        <v>25</v>
      </c>
      <c r="O7" t="str">
        <f t="shared" si="4"/>
        <v>Switch</v>
      </c>
    </row>
    <row r="8" spans="1:16" ht="14.25" customHeight="1">
      <c r="A8">
        <v>706</v>
      </c>
      <c r="B8" s="35" t="s">
        <v>25</v>
      </c>
      <c r="C8" s="37" t="s">
        <v>72</v>
      </c>
      <c r="D8" s="36" t="s">
        <v>86</v>
      </c>
      <c r="E8" s="37" t="s">
        <v>74</v>
      </c>
      <c r="F8" s="37">
        <v>3</v>
      </c>
      <c r="G8" s="37">
        <v>3</v>
      </c>
      <c r="H8" s="86">
        <v>46109</v>
      </c>
      <c r="I8" s="86">
        <v>46190</v>
      </c>
      <c r="J8" s="37" t="s">
        <v>75</v>
      </c>
      <c r="K8" s="38">
        <f t="shared" si="0"/>
        <v>0</v>
      </c>
      <c r="L8" s="39">
        <f t="shared" si="1"/>
        <v>1</v>
      </c>
      <c r="M8" s="40">
        <f t="shared" ca="1" si="2"/>
        <v>77</v>
      </c>
      <c r="N8">
        <f t="shared" si="3"/>
        <v>25</v>
      </c>
      <c r="O8" t="str">
        <f t="shared" si="4"/>
        <v>Switch</v>
      </c>
    </row>
    <row r="9" spans="1:16" ht="14.25" customHeight="1">
      <c r="A9">
        <v>115</v>
      </c>
      <c r="B9" s="35" t="s">
        <v>20</v>
      </c>
      <c r="C9" s="37" t="s">
        <v>87</v>
      </c>
      <c r="D9" s="37" t="s">
        <v>88</v>
      </c>
      <c r="E9" s="37" t="s">
        <v>80</v>
      </c>
      <c r="F9" s="37">
        <v>1</v>
      </c>
      <c r="G9" s="37">
        <v>1</v>
      </c>
      <c r="H9" s="86">
        <v>46108</v>
      </c>
      <c r="I9" s="86">
        <v>46112</v>
      </c>
      <c r="J9" s="37" t="s">
        <v>75</v>
      </c>
      <c r="K9" s="38">
        <f t="shared" si="0"/>
        <v>0</v>
      </c>
      <c r="L9" s="39">
        <f t="shared" si="1"/>
        <v>1</v>
      </c>
      <c r="M9" s="40">
        <f t="shared" ca="1" si="2"/>
        <v>-1</v>
      </c>
      <c r="N9">
        <f t="shared" si="3"/>
        <v>14</v>
      </c>
      <c r="O9" t="str">
        <f t="shared" si="4"/>
        <v>Switch</v>
      </c>
    </row>
    <row r="10" spans="1:16" ht="14.25" hidden="1" customHeight="1">
      <c r="A10">
        <v>695</v>
      </c>
      <c r="B10" s="35" t="s">
        <v>25</v>
      </c>
      <c r="C10" s="37" t="s">
        <v>76</v>
      </c>
      <c r="D10" s="37" t="s">
        <v>89</v>
      </c>
      <c r="E10" s="37" t="s">
        <v>90</v>
      </c>
      <c r="F10" s="37">
        <v>2</v>
      </c>
      <c r="G10" s="37">
        <v>2</v>
      </c>
      <c r="H10" s="86">
        <v>46105</v>
      </c>
      <c r="I10" s="86">
        <v>46191</v>
      </c>
      <c r="J10" s="37" t="s">
        <v>75</v>
      </c>
      <c r="K10" s="38">
        <f t="shared" si="0"/>
        <v>0</v>
      </c>
      <c r="L10" s="39">
        <f t="shared" si="1"/>
        <v>1</v>
      </c>
      <c r="M10" s="40">
        <f t="shared" ca="1" si="2"/>
        <v>78</v>
      </c>
      <c r="N10">
        <f t="shared" si="3"/>
        <v>25</v>
      </c>
      <c r="O10" t="str">
        <f t="shared" si="4"/>
        <v>Switch</v>
      </c>
    </row>
    <row r="11" spans="1:16" ht="14.25" customHeight="1">
      <c r="A11">
        <v>114</v>
      </c>
      <c r="B11" s="35" t="s">
        <v>20</v>
      </c>
      <c r="C11" s="37" t="s">
        <v>87</v>
      </c>
      <c r="D11" s="37" t="s">
        <v>88</v>
      </c>
      <c r="E11" s="37" t="s">
        <v>74</v>
      </c>
      <c r="F11" s="37">
        <v>1</v>
      </c>
      <c r="G11" s="37">
        <v>1</v>
      </c>
      <c r="H11" s="86">
        <v>46108</v>
      </c>
      <c r="I11" s="86">
        <v>46112</v>
      </c>
      <c r="J11" s="37" t="s">
        <v>75</v>
      </c>
      <c r="K11" s="38">
        <f t="shared" si="0"/>
        <v>0</v>
      </c>
      <c r="L11" s="39">
        <f t="shared" si="1"/>
        <v>1</v>
      </c>
      <c r="M11" s="40">
        <f t="shared" ca="1" si="2"/>
        <v>-1</v>
      </c>
      <c r="N11">
        <f t="shared" si="3"/>
        <v>14</v>
      </c>
      <c r="O11" t="str">
        <f t="shared" si="4"/>
        <v>Switch</v>
      </c>
    </row>
    <row r="12" spans="1:16" ht="14.25" customHeight="1">
      <c r="A12">
        <v>118</v>
      </c>
      <c r="B12" s="35" t="s">
        <v>20</v>
      </c>
      <c r="C12" s="37" t="s">
        <v>87</v>
      </c>
      <c r="D12" s="37" t="s">
        <v>91</v>
      </c>
      <c r="E12" s="37" t="s">
        <v>74</v>
      </c>
      <c r="F12" s="37">
        <v>1</v>
      </c>
      <c r="G12" s="37">
        <v>1</v>
      </c>
      <c r="H12" s="86">
        <v>46108</v>
      </c>
      <c r="I12" s="86">
        <v>46112</v>
      </c>
      <c r="J12" s="37" t="s">
        <v>75</v>
      </c>
      <c r="K12" s="38">
        <f t="shared" si="0"/>
        <v>0</v>
      </c>
      <c r="L12" s="39">
        <f t="shared" si="1"/>
        <v>1</v>
      </c>
      <c r="M12" s="40">
        <f t="shared" ca="1" si="2"/>
        <v>-1</v>
      </c>
      <c r="N12">
        <f t="shared" si="3"/>
        <v>14</v>
      </c>
      <c r="O12" t="str">
        <f t="shared" si="4"/>
        <v>Switch</v>
      </c>
    </row>
    <row r="13" spans="1:16" ht="14.25" customHeight="1">
      <c r="A13">
        <v>120</v>
      </c>
      <c r="B13" s="35" t="s">
        <v>20</v>
      </c>
      <c r="C13" s="37" t="s">
        <v>87</v>
      </c>
      <c r="D13" s="37" t="s">
        <v>92</v>
      </c>
      <c r="E13" s="37" t="s">
        <v>74</v>
      </c>
      <c r="F13" s="37">
        <v>1</v>
      </c>
      <c r="G13" s="37">
        <v>1</v>
      </c>
      <c r="H13" s="86">
        <v>46108</v>
      </c>
      <c r="I13" s="86">
        <v>46112</v>
      </c>
      <c r="J13" s="37" t="s">
        <v>75</v>
      </c>
      <c r="K13" s="38">
        <f t="shared" si="0"/>
        <v>0</v>
      </c>
      <c r="L13" s="39">
        <f t="shared" si="1"/>
        <v>1</v>
      </c>
      <c r="M13" s="40">
        <f t="shared" ca="1" si="2"/>
        <v>-1</v>
      </c>
      <c r="N13">
        <f t="shared" si="3"/>
        <v>14</v>
      </c>
      <c r="O13" t="str">
        <f t="shared" si="4"/>
        <v>Switch</v>
      </c>
    </row>
    <row r="14" spans="1:16" ht="14.25" customHeight="1">
      <c r="A14">
        <v>146</v>
      </c>
      <c r="B14" s="35" t="s">
        <v>20</v>
      </c>
      <c r="C14" s="37" t="s">
        <v>93</v>
      </c>
      <c r="D14" s="37" t="s">
        <v>94</v>
      </c>
      <c r="E14" s="37" t="s">
        <v>80</v>
      </c>
      <c r="F14" s="37">
        <v>1</v>
      </c>
      <c r="G14" s="37">
        <v>1</v>
      </c>
      <c r="H14" s="86">
        <v>46107</v>
      </c>
      <c r="I14" s="86">
        <v>46129</v>
      </c>
      <c r="J14" s="37" t="s">
        <v>75</v>
      </c>
      <c r="K14" s="38">
        <f t="shared" si="0"/>
        <v>0</v>
      </c>
      <c r="L14" s="39">
        <f t="shared" si="1"/>
        <v>1</v>
      </c>
      <c r="M14" s="40">
        <f t="shared" ca="1" si="2"/>
        <v>16</v>
      </c>
      <c r="N14">
        <f t="shared" si="3"/>
        <v>16</v>
      </c>
      <c r="O14" t="str">
        <f t="shared" si="4"/>
        <v>Switch</v>
      </c>
    </row>
    <row r="15" spans="1:16" ht="14.25" customHeight="1">
      <c r="A15">
        <v>145</v>
      </c>
      <c r="B15" s="35" t="s">
        <v>20</v>
      </c>
      <c r="C15" s="37" t="s">
        <v>93</v>
      </c>
      <c r="D15" s="37" t="s">
        <v>94</v>
      </c>
      <c r="E15" s="37" t="s">
        <v>74</v>
      </c>
      <c r="F15" s="37">
        <v>2</v>
      </c>
      <c r="G15" s="37">
        <v>2</v>
      </c>
      <c r="H15" s="86">
        <v>46107</v>
      </c>
      <c r="I15" s="86">
        <v>46129</v>
      </c>
      <c r="J15" s="37" t="s">
        <v>75</v>
      </c>
      <c r="K15" s="38">
        <f t="shared" si="0"/>
        <v>0</v>
      </c>
      <c r="L15" s="39">
        <f t="shared" si="1"/>
        <v>1</v>
      </c>
      <c r="M15" s="40">
        <f t="shared" ca="1" si="2"/>
        <v>16</v>
      </c>
      <c r="N15">
        <f t="shared" si="3"/>
        <v>16</v>
      </c>
      <c r="O15" t="str">
        <f t="shared" si="4"/>
        <v>Switch</v>
      </c>
      <c r="P15" s="41" t="s">
        <v>95</v>
      </c>
    </row>
    <row r="16" spans="1:16" ht="14.25" customHeight="1">
      <c r="A16">
        <v>254</v>
      </c>
      <c r="B16" s="35" t="s">
        <v>20</v>
      </c>
      <c r="C16" s="37" t="s">
        <v>96</v>
      </c>
      <c r="D16" s="37" t="s">
        <v>97</v>
      </c>
      <c r="E16" s="37" t="s">
        <v>80</v>
      </c>
      <c r="F16" s="37">
        <v>1</v>
      </c>
      <c r="G16" s="37">
        <v>1</v>
      </c>
      <c r="H16" s="86">
        <v>46107</v>
      </c>
      <c r="I16" s="86">
        <v>46174</v>
      </c>
      <c r="J16" s="37" t="s">
        <v>75</v>
      </c>
      <c r="K16" s="38">
        <f t="shared" si="0"/>
        <v>0</v>
      </c>
      <c r="L16" s="39">
        <f t="shared" si="1"/>
        <v>1</v>
      </c>
      <c r="M16" s="40">
        <f t="shared" ca="1" si="2"/>
        <v>61</v>
      </c>
      <c r="N16">
        <f t="shared" si="3"/>
        <v>23</v>
      </c>
      <c r="O16" t="str">
        <f t="shared" si="4"/>
        <v>Switch</v>
      </c>
    </row>
    <row r="17" spans="1:16" ht="14.25" hidden="1" customHeight="1">
      <c r="A17">
        <v>707</v>
      </c>
      <c r="B17" s="35" t="s">
        <v>25</v>
      </c>
      <c r="C17" s="37" t="s">
        <v>98</v>
      </c>
      <c r="D17" s="37" t="s">
        <v>77</v>
      </c>
      <c r="E17" s="37" t="s">
        <v>78</v>
      </c>
      <c r="F17" s="37">
        <v>6</v>
      </c>
      <c r="G17" s="37"/>
      <c r="H17" s="86"/>
      <c r="I17" s="86">
        <v>46190</v>
      </c>
      <c r="J17" s="37" t="s">
        <v>4</v>
      </c>
      <c r="K17" s="38">
        <f t="shared" si="0"/>
        <v>6</v>
      </c>
      <c r="L17" s="39">
        <f t="shared" si="1"/>
        <v>0</v>
      </c>
      <c r="M17" s="40">
        <f t="shared" ca="1" si="2"/>
        <v>77</v>
      </c>
      <c r="N17">
        <f t="shared" si="3"/>
        <v>25</v>
      </c>
      <c r="O17" t="str">
        <f t="shared" si="4"/>
        <v>AP</v>
      </c>
    </row>
    <row r="18" spans="1:16" ht="14.25" customHeight="1">
      <c r="A18">
        <v>253</v>
      </c>
      <c r="B18" s="35" t="s">
        <v>20</v>
      </c>
      <c r="C18" s="37" t="s">
        <v>96</v>
      </c>
      <c r="D18" s="37" t="s">
        <v>97</v>
      </c>
      <c r="E18" s="37" t="s">
        <v>74</v>
      </c>
      <c r="F18" s="37">
        <v>1</v>
      </c>
      <c r="G18" s="37">
        <v>1</v>
      </c>
      <c r="H18" s="86">
        <v>46107</v>
      </c>
      <c r="I18" s="86">
        <v>46174</v>
      </c>
      <c r="J18" s="37" t="s">
        <v>75</v>
      </c>
      <c r="K18" s="38">
        <f t="shared" si="0"/>
        <v>0</v>
      </c>
      <c r="L18" s="39">
        <f t="shared" si="1"/>
        <v>1</v>
      </c>
      <c r="M18" s="40">
        <f t="shared" ca="1" si="2"/>
        <v>61</v>
      </c>
      <c r="N18">
        <f t="shared" si="3"/>
        <v>23</v>
      </c>
      <c r="O18" t="str">
        <f t="shared" si="4"/>
        <v>Switch</v>
      </c>
      <c r="P18" s="41" t="s">
        <v>99</v>
      </c>
    </row>
    <row r="19" spans="1:16" ht="14.25" customHeight="1">
      <c r="A19">
        <v>228</v>
      </c>
      <c r="B19" s="35" t="s">
        <v>20</v>
      </c>
      <c r="C19" s="37" t="s">
        <v>100</v>
      </c>
      <c r="D19" s="37" t="s">
        <v>101</v>
      </c>
      <c r="E19" s="37" t="s">
        <v>80</v>
      </c>
      <c r="F19" s="37">
        <v>1</v>
      </c>
      <c r="G19" s="37">
        <v>1</v>
      </c>
      <c r="H19" s="86">
        <v>46107</v>
      </c>
      <c r="I19" s="86">
        <v>46132</v>
      </c>
      <c r="J19" s="37" t="s">
        <v>75</v>
      </c>
      <c r="K19" s="38">
        <f t="shared" si="0"/>
        <v>0</v>
      </c>
      <c r="L19" s="39">
        <f t="shared" si="1"/>
        <v>1</v>
      </c>
      <c r="M19" s="40">
        <f t="shared" ca="1" si="2"/>
        <v>19</v>
      </c>
      <c r="N19">
        <f t="shared" si="3"/>
        <v>17</v>
      </c>
      <c r="O19" t="str">
        <f t="shared" si="4"/>
        <v>Switch</v>
      </c>
    </row>
    <row r="20" spans="1:16" ht="14.25" customHeight="1">
      <c r="A20">
        <v>227</v>
      </c>
      <c r="B20" s="35" t="s">
        <v>20</v>
      </c>
      <c r="C20" s="37" t="s">
        <v>100</v>
      </c>
      <c r="D20" s="37" t="s">
        <v>101</v>
      </c>
      <c r="E20" s="37" t="s">
        <v>74</v>
      </c>
      <c r="F20" s="37">
        <v>1</v>
      </c>
      <c r="G20" s="37">
        <v>1</v>
      </c>
      <c r="H20" s="86">
        <v>46107</v>
      </c>
      <c r="I20" s="86">
        <v>46132</v>
      </c>
      <c r="J20" s="37" t="s">
        <v>75</v>
      </c>
      <c r="K20" s="38">
        <f t="shared" si="0"/>
        <v>0</v>
      </c>
      <c r="L20" s="39">
        <f t="shared" si="1"/>
        <v>1</v>
      </c>
      <c r="M20" s="40">
        <f t="shared" ca="1" si="2"/>
        <v>19</v>
      </c>
      <c r="N20">
        <f t="shared" si="3"/>
        <v>17</v>
      </c>
      <c r="O20" t="str">
        <f t="shared" si="4"/>
        <v>Switch</v>
      </c>
      <c r="P20" s="41" t="s">
        <v>102</v>
      </c>
    </row>
    <row r="21" spans="1:16" ht="14.25" customHeight="1">
      <c r="A21">
        <v>209</v>
      </c>
      <c r="B21" s="35" t="s">
        <v>20</v>
      </c>
      <c r="C21" s="37" t="s">
        <v>103</v>
      </c>
      <c r="D21" s="36" t="s">
        <v>104</v>
      </c>
      <c r="E21" s="37" t="s">
        <v>80</v>
      </c>
      <c r="F21" s="37">
        <v>4</v>
      </c>
      <c r="G21" s="37">
        <v>4</v>
      </c>
      <c r="H21" s="86">
        <v>46106</v>
      </c>
      <c r="I21" s="86">
        <v>46120</v>
      </c>
      <c r="J21" s="37" t="s">
        <v>75</v>
      </c>
      <c r="K21" s="38">
        <f t="shared" si="0"/>
        <v>0</v>
      </c>
      <c r="L21" s="39">
        <f t="shared" si="1"/>
        <v>1</v>
      </c>
      <c r="M21" s="40">
        <f t="shared" ca="1" si="2"/>
        <v>7</v>
      </c>
      <c r="N21">
        <f t="shared" si="3"/>
        <v>15</v>
      </c>
      <c r="O21" t="str">
        <f t="shared" si="4"/>
        <v>Switch</v>
      </c>
    </row>
    <row r="22" spans="1:16" ht="14.25" customHeight="1">
      <c r="A22">
        <v>208</v>
      </c>
      <c r="B22" s="35" t="s">
        <v>20</v>
      </c>
      <c r="C22" s="37" t="s">
        <v>103</v>
      </c>
      <c r="D22" s="36" t="s">
        <v>104</v>
      </c>
      <c r="E22" s="37" t="s">
        <v>74</v>
      </c>
      <c r="F22" s="37">
        <v>4</v>
      </c>
      <c r="G22" s="37">
        <v>4</v>
      </c>
      <c r="H22" s="86">
        <v>46106</v>
      </c>
      <c r="I22" s="86">
        <v>46120</v>
      </c>
      <c r="J22" s="37" t="s">
        <v>75</v>
      </c>
      <c r="K22" s="38">
        <f t="shared" si="0"/>
        <v>0</v>
      </c>
      <c r="L22" s="39">
        <f t="shared" si="1"/>
        <v>1</v>
      </c>
      <c r="M22" s="40">
        <f t="shared" ca="1" si="2"/>
        <v>7</v>
      </c>
      <c r="N22">
        <f t="shared" si="3"/>
        <v>15</v>
      </c>
      <c r="O22" t="str">
        <f t="shared" si="4"/>
        <v>Switch</v>
      </c>
    </row>
    <row r="23" spans="1:16" ht="14.25" hidden="1" customHeight="1">
      <c r="A23">
        <v>715</v>
      </c>
      <c r="B23" s="35" t="s">
        <v>25</v>
      </c>
      <c r="C23" s="37" t="s">
        <v>105</v>
      </c>
      <c r="D23" s="37" t="s">
        <v>77</v>
      </c>
      <c r="E23" s="37" t="s">
        <v>78</v>
      </c>
      <c r="F23" s="37">
        <v>2</v>
      </c>
      <c r="G23" s="37"/>
      <c r="H23" s="86"/>
      <c r="I23" s="86">
        <v>46192</v>
      </c>
      <c r="J23" s="37" t="s">
        <v>4</v>
      </c>
      <c r="K23" s="38">
        <f t="shared" si="0"/>
        <v>2</v>
      </c>
      <c r="L23" s="39">
        <f t="shared" si="1"/>
        <v>0</v>
      </c>
      <c r="M23" s="40">
        <f t="shared" ca="1" si="2"/>
        <v>79</v>
      </c>
      <c r="N23">
        <f t="shared" si="3"/>
        <v>25</v>
      </c>
      <c r="O23" t="str">
        <f t="shared" si="4"/>
        <v>AP</v>
      </c>
    </row>
    <row r="24" spans="1:16" ht="14.25" customHeight="1">
      <c r="A24">
        <v>203</v>
      </c>
      <c r="B24" s="35" t="s">
        <v>20</v>
      </c>
      <c r="C24" s="37" t="s">
        <v>103</v>
      </c>
      <c r="D24" s="37" t="s">
        <v>106</v>
      </c>
      <c r="E24" s="37" t="s">
        <v>80</v>
      </c>
      <c r="F24" s="37">
        <v>1</v>
      </c>
      <c r="G24" s="37">
        <v>1</v>
      </c>
      <c r="H24" s="86">
        <v>46104</v>
      </c>
      <c r="I24" s="86">
        <v>46120</v>
      </c>
      <c r="J24" s="37" t="s">
        <v>75</v>
      </c>
      <c r="K24" s="38">
        <f t="shared" si="0"/>
        <v>0</v>
      </c>
      <c r="L24" s="39">
        <f t="shared" si="1"/>
        <v>1</v>
      </c>
      <c r="M24" s="40">
        <f t="shared" ca="1" si="2"/>
        <v>7</v>
      </c>
      <c r="N24">
        <f t="shared" si="3"/>
        <v>15</v>
      </c>
      <c r="O24" t="str">
        <f t="shared" si="4"/>
        <v>Switch</v>
      </c>
    </row>
    <row r="25" spans="1:16" ht="14.25" customHeight="1">
      <c r="A25">
        <v>202</v>
      </c>
      <c r="B25" s="35" t="s">
        <v>20</v>
      </c>
      <c r="C25" s="37" t="s">
        <v>103</v>
      </c>
      <c r="D25" s="37" t="s">
        <v>106</v>
      </c>
      <c r="E25" s="37" t="s">
        <v>74</v>
      </c>
      <c r="F25" s="37">
        <v>1</v>
      </c>
      <c r="G25" s="37">
        <v>1</v>
      </c>
      <c r="H25" s="86">
        <v>46104</v>
      </c>
      <c r="I25" s="86">
        <v>46120</v>
      </c>
      <c r="J25" s="37" t="s">
        <v>75</v>
      </c>
      <c r="K25" s="38">
        <f t="shared" si="0"/>
        <v>0</v>
      </c>
      <c r="L25" s="39">
        <f t="shared" si="1"/>
        <v>1</v>
      </c>
      <c r="M25" s="40">
        <f t="shared" ca="1" si="2"/>
        <v>7</v>
      </c>
      <c r="N25">
        <f t="shared" si="3"/>
        <v>15</v>
      </c>
      <c r="O25" t="str">
        <f t="shared" si="4"/>
        <v>Switch</v>
      </c>
    </row>
    <row r="26" spans="1:16" ht="14.25" hidden="1" customHeight="1">
      <c r="A26">
        <v>702</v>
      </c>
      <c r="B26" s="35" t="s">
        <v>25</v>
      </c>
      <c r="C26" s="37" t="s">
        <v>72</v>
      </c>
      <c r="D26" s="37" t="s">
        <v>77</v>
      </c>
      <c r="E26" s="37" t="s">
        <v>78</v>
      </c>
      <c r="F26" s="37">
        <v>8</v>
      </c>
      <c r="G26" s="37">
        <v>8</v>
      </c>
      <c r="H26" s="86">
        <v>46109</v>
      </c>
      <c r="I26" s="86">
        <v>46189</v>
      </c>
      <c r="J26" s="37" t="s">
        <v>75</v>
      </c>
      <c r="K26" s="38">
        <f t="shared" si="0"/>
        <v>0</v>
      </c>
      <c r="L26" s="39">
        <f t="shared" si="1"/>
        <v>1</v>
      </c>
      <c r="M26" s="40">
        <f t="shared" ca="1" si="2"/>
        <v>76</v>
      </c>
      <c r="N26">
        <f t="shared" si="3"/>
        <v>25</v>
      </c>
      <c r="O26" t="str">
        <f t="shared" si="4"/>
        <v>AP</v>
      </c>
    </row>
    <row r="27" spans="1:16" ht="14.25" customHeight="1">
      <c r="A27">
        <v>260</v>
      </c>
      <c r="B27" s="35" t="s">
        <v>20</v>
      </c>
      <c r="C27" s="37" t="s">
        <v>96</v>
      </c>
      <c r="D27" s="37" t="s">
        <v>107</v>
      </c>
      <c r="E27" s="37" t="s">
        <v>80</v>
      </c>
      <c r="F27" s="37">
        <v>2</v>
      </c>
      <c r="G27" s="37">
        <v>2</v>
      </c>
      <c r="H27" s="86">
        <v>46101</v>
      </c>
      <c r="I27" s="86">
        <v>46135</v>
      </c>
      <c r="J27" s="37" t="s">
        <v>75</v>
      </c>
      <c r="K27" s="38">
        <f t="shared" si="0"/>
        <v>0</v>
      </c>
      <c r="L27" s="39">
        <f t="shared" si="1"/>
        <v>1</v>
      </c>
      <c r="M27" s="40">
        <f t="shared" ca="1" si="2"/>
        <v>22</v>
      </c>
      <c r="N27">
        <f t="shared" si="3"/>
        <v>17</v>
      </c>
      <c r="O27" t="str">
        <f t="shared" si="4"/>
        <v>Switch</v>
      </c>
    </row>
    <row r="28" spans="1:16" ht="14.25" customHeight="1">
      <c r="A28">
        <v>259</v>
      </c>
      <c r="B28" s="35" t="s">
        <v>20</v>
      </c>
      <c r="C28" s="37" t="s">
        <v>96</v>
      </c>
      <c r="D28" s="37" t="s">
        <v>107</v>
      </c>
      <c r="E28" s="37" t="s">
        <v>74</v>
      </c>
      <c r="F28" s="37">
        <v>2</v>
      </c>
      <c r="G28" s="37">
        <v>2</v>
      </c>
      <c r="H28" s="86">
        <v>46101</v>
      </c>
      <c r="I28" s="86">
        <v>46135</v>
      </c>
      <c r="J28" s="37" t="s">
        <v>75</v>
      </c>
      <c r="K28" s="38">
        <f t="shared" si="0"/>
        <v>0</v>
      </c>
      <c r="L28" s="39">
        <f t="shared" si="1"/>
        <v>1</v>
      </c>
      <c r="M28" s="40">
        <f t="shared" ca="1" si="2"/>
        <v>22</v>
      </c>
      <c r="N28">
        <f t="shared" si="3"/>
        <v>17</v>
      </c>
      <c r="O28" t="str">
        <f t="shared" si="4"/>
        <v>Switch</v>
      </c>
    </row>
    <row r="29" spans="1:16" ht="14.25" customHeight="1">
      <c r="A29">
        <v>263</v>
      </c>
      <c r="B29" s="35" t="s">
        <v>20</v>
      </c>
      <c r="C29" s="37" t="s">
        <v>96</v>
      </c>
      <c r="D29" s="37" t="s">
        <v>108</v>
      </c>
      <c r="E29" s="37" t="s">
        <v>80</v>
      </c>
      <c r="F29" s="37">
        <v>1</v>
      </c>
      <c r="G29" s="37">
        <v>1</v>
      </c>
      <c r="H29" s="86">
        <v>46101</v>
      </c>
      <c r="I29" s="86">
        <v>46135</v>
      </c>
      <c r="J29" s="37" t="s">
        <v>75</v>
      </c>
      <c r="K29" s="38">
        <f t="shared" si="0"/>
        <v>0</v>
      </c>
      <c r="L29" s="39">
        <f t="shared" si="1"/>
        <v>1</v>
      </c>
      <c r="M29" s="40">
        <f t="shared" ca="1" si="2"/>
        <v>22</v>
      </c>
      <c r="N29">
        <f t="shared" si="3"/>
        <v>17</v>
      </c>
      <c r="O29" t="str">
        <f t="shared" si="4"/>
        <v>Switch</v>
      </c>
    </row>
    <row r="30" spans="1:16" ht="14.25" customHeight="1">
      <c r="A30">
        <v>262</v>
      </c>
      <c r="B30" s="35" t="s">
        <v>20</v>
      </c>
      <c r="C30" s="37" t="s">
        <v>96</v>
      </c>
      <c r="D30" s="37" t="s">
        <v>108</v>
      </c>
      <c r="E30" s="37" t="s">
        <v>74</v>
      </c>
      <c r="F30" s="37">
        <v>1</v>
      </c>
      <c r="G30" s="37">
        <v>1</v>
      </c>
      <c r="H30" s="86">
        <v>46101</v>
      </c>
      <c r="I30" s="86">
        <v>46135</v>
      </c>
      <c r="J30" s="37" t="s">
        <v>75</v>
      </c>
      <c r="K30" s="38">
        <f t="shared" si="0"/>
        <v>0</v>
      </c>
      <c r="L30" s="39">
        <f t="shared" si="1"/>
        <v>1</v>
      </c>
      <c r="M30" s="40">
        <f t="shared" ca="1" si="2"/>
        <v>22</v>
      </c>
      <c r="N30">
        <f t="shared" si="3"/>
        <v>17</v>
      </c>
      <c r="O30" t="str">
        <f t="shared" si="4"/>
        <v>Switch</v>
      </c>
    </row>
    <row r="31" spans="1:16" ht="14.25" hidden="1" customHeight="1">
      <c r="A31">
        <v>718</v>
      </c>
      <c r="B31" s="35" t="s">
        <v>25</v>
      </c>
      <c r="C31" s="37" t="s">
        <v>109</v>
      </c>
      <c r="D31" s="37" t="s">
        <v>77</v>
      </c>
      <c r="E31" s="37" t="s">
        <v>78</v>
      </c>
      <c r="F31" s="37">
        <v>3</v>
      </c>
      <c r="G31" s="37"/>
      <c r="H31" s="86"/>
      <c r="I31" s="86">
        <v>46192</v>
      </c>
      <c r="J31" s="37" t="s">
        <v>4</v>
      </c>
      <c r="K31" s="38">
        <f t="shared" si="0"/>
        <v>3</v>
      </c>
      <c r="L31" s="39">
        <f t="shared" si="1"/>
        <v>0</v>
      </c>
      <c r="M31" s="40">
        <f t="shared" ca="1" si="2"/>
        <v>79</v>
      </c>
      <c r="N31">
        <f t="shared" si="3"/>
        <v>25</v>
      </c>
      <c r="O31" t="str">
        <f t="shared" si="4"/>
        <v>AP</v>
      </c>
    </row>
    <row r="32" spans="1:16" ht="14.25" customHeight="1">
      <c r="A32">
        <v>234</v>
      </c>
      <c r="B32" s="35" t="s">
        <v>20</v>
      </c>
      <c r="C32" s="37" t="s">
        <v>100</v>
      </c>
      <c r="D32" s="37" t="s">
        <v>110</v>
      </c>
      <c r="E32" s="37" t="s">
        <v>80</v>
      </c>
      <c r="F32" s="37">
        <v>1</v>
      </c>
      <c r="G32" s="37">
        <v>1</v>
      </c>
      <c r="H32" s="86">
        <v>46101</v>
      </c>
      <c r="I32" s="86">
        <v>46133</v>
      </c>
      <c r="J32" s="37" t="s">
        <v>75</v>
      </c>
      <c r="K32" s="38">
        <f t="shared" si="0"/>
        <v>0</v>
      </c>
      <c r="L32" s="39">
        <f t="shared" si="1"/>
        <v>1</v>
      </c>
      <c r="M32" s="40">
        <f t="shared" ca="1" si="2"/>
        <v>20</v>
      </c>
      <c r="N32">
        <f t="shared" si="3"/>
        <v>17</v>
      </c>
      <c r="O32" t="str">
        <f t="shared" si="4"/>
        <v>Switch</v>
      </c>
    </row>
    <row r="33" spans="1:15" ht="14.25" customHeight="1">
      <c r="A33">
        <v>233</v>
      </c>
      <c r="B33" s="35" t="s">
        <v>20</v>
      </c>
      <c r="C33" s="37" t="s">
        <v>100</v>
      </c>
      <c r="D33" s="37" t="s">
        <v>110</v>
      </c>
      <c r="E33" s="37" t="s">
        <v>74</v>
      </c>
      <c r="F33" s="37">
        <v>1</v>
      </c>
      <c r="G33" s="37">
        <v>1</v>
      </c>
      <c r="H33" s="86">
        <v>46101</v>
      </c>
      <c r="I33" s="86">
        <v>46133</v>
      </c>
      <c r="J33" s="37" t="s">
        <v>75</v>
      </c>
      <c r="K33" s="38">
        <f t="shared" si="0"/>
        <v>0</v>
      </c>
      <c r="L33" s="39">
        <f t="shared" si="1"/>
        <v>1</v>
      </c>
      <c r="M33" s="40">
        <f t="shared" ca="1" si="2"/>
        <v>20</v>
      </c>
      <c r="N33">
        <f t="shared" si="3"/>
        <v>17</v>
      </c>
      <c r="O33" t="str">
        <f t="shared" si="4"/>
        <v>Switch</v>
      </c>
    </row>
    <row r="34" spans="1:15" ht="14.25" hidden="1" customHeight="1">
      <c r="A34">
        <v>721</v>
      </c>
      <c r="B34" s="35" t="s">
        <v>25</v>
      </c>
      <c r="C34" s="37" t="s">
        <v>111</v>
      </c>
      <c r="D34" s="37" t="s">
        <v>77</v>
      </c>
      <c r="E34" s="37" t="s">
        <v>78</v>
      </c>
      <c r="F34" s="37">
        <v>1</v>
      </c>
      <c r="G34" s="37"/>
      <c r="H34" s="86"/>
      <c r="I34" s="86">
        <v>46195</v>
      </c>
      <c r="J34" s="37" t="s">
        <v>4</v>
      </c>
      <c r="K34" s="38">
        <f t="shared" si="0"/>
        <v>1</v>
      </c>
      <c r="L34" s="39">
        <f t="shared" si="1"/>
        <v>0</v>
      </c>
      <c r="M34" s="40">
        <f t="shared" ca="1" si="2"/>
        <v>82</v>
      </c>
      <c r="N34">
        <f t="shared" si="3"/>
        <v>26</v>
      </c>
      <c r="O34" t="str">
        <f t="shared" si="4"/>
        <v>AP</v>
      </c>
    </row>
    <row r="35" spans="1:15" ht="14.25" customHeight="1">
      <c r="A35">
        <v>236</v>
      </c>
      <c r="B35" s="35" t="s">
        <v>20</v>
      </c>
      <c r="C35" s="37" t="s">
        <v>100</v>
      </c>
      <c r="D35" s="37" t="s">
        <v>112</v>
      </c>
      <c r="E35" s="37" t="s">
        <v>80</v>
      </c>
      <c r="F35" s="37">
        <v>1</v>
      </c>
      <c r="G35" s="37">
        <v>1</v>
      </c>
      <c r="H35" s="86">
        <v>46101</v>
      </c>
      <c r="I35" s="86">
        <v>46133</v>
      </c>
      <c r="J35" s="37" t="s">
        <v>75</v>
      </c>
      <c r="K35" s="38">
        <f t="shared" si="0"/>
        <v>0</v>
      </c>
      <c r="L35" s="39">
        <f t="shared" si="1"/>
        <v>1</v>
      </c>
      <c r="M35" s="40">
        <f t="shared" ca="1" si="2"/>
        <v>20</v>
      </c>
      <c r="N35">
        <f t="shared" si="3"/>
        <v>17</v>
      </c>
      <c r="O35" t="str">
        <f t="shared" si="4"/>
        <v>Switch</v>
      </c>
    </row>
    <row r="36" spans="1:15" ht="14.25" customHeight="1">
      <c r="A36">
        <v>235</v>
      </c>
      <c r="B36" s="35" t="s">
        <v>20</v>
      </c>
      <c r="C36" s="37" t="s">
        <v>100</v>
      </c>
      <c r="D36" s="37" t="s">
        <v>112</v>
      </c>
      <c r="E36" s="37" t="s">
        <v>74</v>
      </c>
      <c r="F36" s="37">
        <v>1</v>
      </c>
      <c r="G36" s="37">
        <v>1</v>
      </c>
      <c r="H36" s="86">
        <v>46101</v>
      </c>
      <c r="I36" s="86">
        <v>46133</v>
      </c>
      <c r="J36" s="37" t="s">
        <v>75</v>
      </c>
      <c r="K36" s="38">
        <f t="shared" si="0"/>
        <v>0</v>
      </c>
      <c r="L36" s="39">
        <f t="shared" si="1"/>
        <v>1</v>
      </c>
      <c r="M36" s="40">
        <f t="shared" ca="1" si="2"/>
        <v>20</v>
      </c>
      <c r="N36">
        <f t="shared" si="3"/>
        <v>17</v>
      </c>
      <c r="O36" t="str">
        <f t="shared" si="4"/>
        <v>Switch</v>
      </c>
    </row>
    <row r="37" spans="1:15" ht="14.25" customHeight="1">
      <c r="A37">
        <v>238</v>
      </c>
      <c r="B37" s="35" t="s">
        <v>20</v>
      </c>
      <c r="C37" s="37" t="s">
        <v>100</v>
      </c>
      <c r="D37" s="37" t="s">
        <v>113</v>
      </c>
      <c r="E37" s="37" t="s">
        <v>80</v>
      </c>
      <c r="F37" s="37">
        <v>1</v>
      </c>
      <c r="G37" s="37">
        <v>1</v>
      </c>
      <c r="H37" s="86">
        <v>46101</v>
      </c>
      <c r="I37" s="86">
        <v>46133</v>
      </c>
      <c r="J37" s="37" t="s">
        <v>75</v>
      </c>
      <c r="K37" s="38">
        <f t="shared" si="0"/>
        <v>0</v>
      </c>
      <c r="L37" s="39">
        <f t="shared" si="1"/>
        <v>1</v>
      </c>
      <c r="M37" s="40">
        <f t="shared" ca="1" si="2"/>
        <v>20</v>
      </c>
      <c r="N37">
        <f t="shared" si="3"/>
        <v>17</v>
      </c>
      <c r="O37" t="str">
        <f t="shared" si="4"/>
        <v>Switch</v>
      </c>
    </row>
    <row r="38" spans="1:15" ht="14.25" customHeight="1">
      <c r="A38">
        <v>237</v>
      </c>
      <c r="B38" s="35" t="s">
        <v>20</v>
      </c>
      <c r="C38" s="37" t="s">
        <v>100</v>
      </c>
      <c r="D38" s="37" t="s">
        <v>113</v>
      </c>
      <c r="E38" s="37" t="s">
        <v>74</v>
      </c>
      <c r="F38" s="37">
        <v>1</v>
      </c>
      <c r="G38" s="37">
        <v>1</v>
      </c>
      <c r="H38" s="86">
        <v>46101</v>
      </c>
      <c r="I38" s="86">
        <v>46133</v>
      </c>
      <c r="J38" s="37" t="s">
        <v>75</v>
      </c>
      <c r="K38" s="38">
        <f t="shared" si="0"/>
        <v>0</v>
      </c>
      <c r="L38" s="39">
        <f t="shared" si="1"/>
        <v>1</v>
      </c>
      <c r="M38" s="40">
        <f t="shared" ca="1" si="2"/>
        <v>20</v>
      </c>
      <c r="N38">
        <f t="shared" si="3"/>
        <v>17</v>
      </c>
      <c r="O38" t="str">
        <f t="shared" si="4"/>
        <v>Switch</v>
      </c>
    </row>
    <row r="39" spans="1:15" ht="14.25" hidden="1" customHeight="1">
      <c r="A39">
        <v>713</v>
      </c>
      <c r="B39" s="35" t="s">
        <v>25</v>
      </c>
      <c r="C39" s="37" t="s">
        <v>114</v>
      </c>
      <c r="D39" s="37" t="s">
        <v>77</v>
      </c>
      <c r="E39" s="37" t="s">
        <v>78</v>
      </c>
      <c r="F39" s="37">
        <v>5</v>
      </c>
      <c r="G39" s="37"/>
      <c r="H39" s="86"/>
      <c r="I39" s="86">
        <v>46191</v>
      </c>
      <c r="J39" s="37" t="s">
        <v>4</v>
      </c>
      <c r="K39" s="38">
        <f t="shared" si="0"/>
        <v>5</v>
      </c>
      <c r="L39" s="39">
        <f t="shared" si="1"/>
        <v>0</v>
      </c>
      <c r="M39" s="40">
        <f t="shared" ca="1" si="2"/>
        <v>78</v>
      </c>
      <c r="N39">
        <f t="shared" si="3"/>
        <v>25</v>
      </c>
      <c r="O39" t="str">
        <f t="shared" si="4"/>
        <v>AP</v>
      </c>
    </row>
    <row r="40" spans="1:15" ht="14.25" customHeight="1">
      <c r="A40">
        <v>241</v>
      </c>
      <c r="B40" s="35" t="s">
        <v>20</v>
      </c>
      <c r="C40" s="37" t="s">
        <v>100</v>
      </c>
      <c r="D40" s="37" t="s">
        <v>115</v>
      </c>
      <c r="E40" s="37" t="s">
        <v>80</v>
      </c>
      <c r="F40" s="37">
        <v>1</v>
      </c>
      <c r="G40" s="37">
        <v>1</v>
      </c>
      <c r="H40" s="86">
        <v>46101</v>
      </c>
      <c r="I40" s="86">
        <v>46133</v>
      </c>
      <c r="J40" s="37" t="s">
        <v>75</v>
      </c>
      <c r="K40" s="38">
        <f t="shared" si="0"/>
        <v>0</v>
      </c>
      <c r="L40" s="39">
        <f t="shared" si="1"/>
        <v>1</v>
      </c>
      <c r="M40" s="40">
        <f t="shared" ca="1" si="2"/>
        <v>20</v>
      </c>
      <c r="N40">
        <f t="shared" si="3"/>
        <v>17</v>
      </c>
      <c r="O40" t="str">
        <f t="shared" si="4"/>
        <v>Switch</v>
      </c>
    </row>
    <row r="41" spans="1:15" ht="14.25" customHeight="1">
      <c r="A41">
        <v>240</v>
      </c>
      <c r="B41" s="35" t="s">
        <v>20</v>
      </c>
      <c r="C41" s="37" t="s">
        <v>100</v>
      </c>
      <c r="D41" s="37" t="s">
        <v>115</v>
      </c>
      <c r="E41" s="37" t="s">
        <v>74</v>
      </c>
      <c r="F41" s="37">
        <v>1</v>
      </c>
      <c r="G41" s="37">
        <v>1</v>
      </c>
      <c r="H41" s="86">
        <v>46101</v>
      </c>
      <c r="I41" s="86">
        <v>46133</v>
      </c>
      <c r="J41" s="37" t="s">
        <v>75</v>
      </c>
      <c r="K41" s="38">
        <f t="shared" si="0"/>
        <v>0</v>
      </c>
      <c r="L41" s="39">
        <f t="shared" si="1"/>
        <v>1</v>
      </c>
      <c r="M41" s="40">
        <f t="shared" ca="1" si="2"/>
        <v>20</v>
      </c>
      <c r="N41">
        <f t="shared" si="3"/>
        <v>17</v>
      </c>
      <c r="O41" t="str">
        <f t="shared" si="4"/>
        <v>Switch</v>
      </c>
    </row>
    <row r="42" spans="1:15" ht="14.25" hidden="1" customHeight="1">
      <c r="A42">
        <v>726</v>
      </c>
      <c r="B42" s="35" t="s">
        <v>25</v>
      </c>
      <c r="C42" s="36" t="s">
        <v>116</v>
      </c>
      <c r="D42" s="37" t="s">
        <v>117</v>
      </c>
      <c r="E42" s="37" t="s">
        <v>118</v>
      </c>
      <c r="F42" s="37">
        <v>1</v>
      </c>
      <c r="G42" s="37"/>
      <c r="H42" s="86"/>
      <c r="I42" s="86">
        <v>46195</v>
      </c>
      <c r="J42" s="37" t="s">
        <v>4</v>
      </c>
      <c r="K42" s="38">
        <f t="shared" si="0"/>
        <v>1</v>
      </c>
      <c r="L42" s="39">
        <f t="shared" si="1"/>
        <v>0</v>
      </c>
      <c r="M42" s="40">
        <f t="shared" ca="1" si="2"/>
        <v>82</v>
      </c>
      <c r="N42">
        <f t="shared" si="3"/>
        <v>26</v>
      </c>
      <c r="O42" t="str">
        <f t="shared" si="4"/>
        <v>Switch</v>
      </c>
    </row>
    <row r="43" spans="1:15" ht="14.25" customHeight="1">
      <c r="A43">
        <v>165</v>
      </c>
      <c r="B43" s="35" t="s">
        <v>20</v>
      </c>
      <c r="C43" s="37" t="s">
        <v>93</v>
      </c>
      <c r="D43" s="37" t="s">
        <v>119</v>
      </c>
      <c r="E43" s="37" t="s">
        <v>80</v>
      </c>
      <c r="F43" s="37">
        <v>1</v>
      </c>
      <c r="G43" s="37">
        <v>1</v>
      </c>
      <c r="H43" s="86">
        <v>46100</v>
      </c>
      <c r="I43" s="86">
        <v>46100</v>
      </c>
      <c r="J43" s="37" t="s">
        <v>75</v>
      </c>
      <c r="K43" s="38">
        <f t="shared" si="0"/>
        <v>0</v>
      </c>
      <c r="L43" s="39">
        <f t="shared" si="1"/>
        <v>1</v>
      </c>
      <c r="M43" s="40">
        <f t="shared" ca="1" si="2"/>
        <v>-13</v>
      </c>
      <c r="N43">
        <f t="shared" si="3"/>
        <v>12</v>
      </c>
      <c r="O43" t="str">
        <f t="shared" si="4"/>
        <v>Switch</v>
      </c>
    </row>
    <row r="44" spans="1:15" ht="14.25" customHeight="1">
      <c r="A44">
        <v>164</v>
      </c>
      <c r="B44" s="35" t="s">
        <v>20</v>
      </c>
      <c r="C44" s="37" t="s">
        <v>93</v>
      </c>
      <c r="D44" s="37" t="s">
        <v>119</v>
      </c>
      <c r="E44" s="37" t="s">
        <v>74</v>
      </c>
      <c r="F44" s="37">
        <v>1</v>
      </c>
      <c r="G44" s="37">
        <v>1</v>
      </c>
      <c r="H44" s="86">
        <v>46100</v>
      </c>
      <c r="I44" s="86">
        <v>46100</v>
      </c>
      <c r="J44" s="37" t="s">
        <v>75</v>
      </c>
      <c r="K44" s="38">
        <f t="shared" si="0"/>
        <v>0</v>
      </c>
      <c r="L44" s="39">
        <f t="shared" si="1"/>
        <v>1</v>
      </c>
      <c r="M44" s="40">
        <f t="shared" ca="1" si="2"/>
        <v>-13</v>
      </c>
      <c r="N44">
        <f t="shared" si="3"/>
        <v>12</v>
      </c>
      <c r="O44" t="str">
        <f t="shared" si="4"/>
        <v>Switch</v>
      </c>
    </row>
    <row r="45" spans="1:15" ht="14.25" customHeight="1">
      <c r="A45">
        <v>181</v>
      </c>
      <c r="B45" s="35" t="s">
        <v>20</v>
      </c>
      <c r="C45" s="37" t="s">
        <v>93</v>
      </c>
      <c r="D45" s="37" t="s">
        <v>120</v>
      </c>
      <c r="E45" s="37" t="s">
        <v>80</v>
      </c>
      <c r="F45" s="37">
        <v>1</v>
      </c>
      <c r="G45" s="37">
        <v>1</v>
      </c>
      <c r="H45" s="86">
        <v>46100</v>
      </c>
      <c r="I45" s="86">
        <v>46100</v>
      </c>
      <c r="J45" s="37" t="s">
        <v>75</v>
      </c>
      <c r="K45" s="38">
        <f t="shared" si="0"/>
        <v>0</v>
      </c>
      <c r="L45" s="39">
        <f t="shared" si="1"/>
        <v>1</v>
      </c>
      <c r="M45" s="40">
        <f t="shared" ca="1" si="2"/>
        <v>-13</v>
      </c>
      <c r="N45">
        <f t="shared" si="3"/>
        <v>12</v>
      </c>
      <c r="O45" t="str">
        <f t="shared" si="4"/>
        <v>Switch</v>
      </c>
    </row>
    <row r="46" spans="1:15" ht="14.25" hidden="1" customHeight="1">
      <c r="A46">
        <v>731</v>
      </c>
      <c r="B46" s="35" t="s">
        <v>25</v>
      </c>
      <c r="C46" s="36" t="s">
        <v>121</v>
      </c>
      <c r="D46" s="37" t="s">
        <v>122</v>
      </c>
      <c r="E46" s="37" t="s">
        <v>118</v>
      </c>
      <c r="F46" s="37">
        <v>2</v>
      </c>
      <c r="G46" s="37"/>
      <c r="H46" s="86"/>
      <c r="I46" s="86">
        <v>46195</v>
      </c>
      <c r="J46" s="37" t="s">
        <v>4</v>
      </c>
      <c r="K46" s="38">
        <f t="shared" si="0"/>
        <v>2</v>
      </c>
      <c r="L46" s="39">
        <f t="shared" si="1"/>
        <v>0</v>
      </c>
      <c r="M46" s="40">
        <f t="shared" ca="1" si="2"/>
        <v>82</v>
      </c>
      <c r="N46">
        <f t="shared" si="3"/>
        <v>26</v>
      </c>
      <c r="O46" t="str">
        <f t="shared" si="4"/>
        <v>Switch</v>
      </c>
    </row>
    <row r="47" spans="1:15" ht="14.25" customHeight="1">
      <c r="A47">
        <v>183</v>
      </c>
      <c r="B47" s="35" t="s">
        <v>20</v>
      </c>
      <c r="C47" s="37" t="s">
        <v>93</v>
      </c>
      <c r="D47" s="37" t="s">
        <v>123</v>
      </c>
      <c r="E47" s="37" t="s">
        <v>80</v>
      </c>
      <c r="F47" s="37">
        <v>1</v>
      </c>
      <c r="G47" s="37">
        <v>1</v>
      </c>
      <c r="H47" s="86">
        <v>46100</v>
      </c>
      <c r="I47" s="86">
        <v>46100</v>
      </c>
      <c r="J47" s="37" t="s">
        <v>75</v>
      </c>
      <c r="K47" s="38">
        <f t="shared" si="0"/>
        <v>0</v>
      </c>
      <c r="L47" s="39">
        <f t="shared" si="1"/>
        <v>1</v>
      </c>
      <c r="M47" s="40">
        <f t="shared" ca="1" si="2"/>
        <v>-13</v>
      </c>
      <c r="N47">
        <f t="shared" si="3"/>
        <v>12</v>
      </c>
      <c r="O47" t="str">
        <f t="shared" si="4"/>
        <v>Switch</v>
      </c>
    </row>
    <row r="48" spans="1:15" ht="14.25" customHeight="1">
      <c r="A48">
        <v>182</v>
      </c>
      <c r="B48" s="35" t="s">
        <v>20</v>
      </c>
      <c r="C48" s="37" t="s">
        <v>93</v>
      </c>
      <c r="D48" s="37" t="s">
        <v>123</v>
      </c>
      <c r="E48" s="37" t="s">
        <v>74</v>
      </c>
      <c r="F48" s="37">
        <v>1</v>
      </c>
      <c r="G48" s="37">
        <v>1</v>
      </c>
      <c r="H48" s="86">
        <v>46100</v>
      </c>
      <c r="I48" s="86">
        <v>46100</v>
      </c>
      <c r="J48" s="37" t="s">
        <v>75</v>
      </c>
      <c r="K48" s="38">
        <f t="shared" si="0"/>
        <v>0</v>
      </c>
      <c r="L48" s="39">
        <f t="shared" si="1"/>
        <v>1</v>
      </c>
      <c r="M48" s="40">
        <f t="shared" ca="1" si="2"/>
        <v>-13</v>
      </c>
      <c r="N48">
        <f t="shared" si="3"/>
        <v>12</v>
      </c>
      <c r="O48" t="str">
        <f t="shared" si="4"/>
        <v>Switch</v>
      </c>
    </row>
    <row r="49" spans="1:16" ht="14.25" hidden="1" customHeight="1">
      <c r="A49">
        <v>356</v>
      </c>
      <c r="B49" s="35" t="s">
        <v>21</v>
      </c>
      <c r="C49" s="37" t="s">
        <v>124</v>
      </c>
      <c r="D49" s="37" t="s">
        <v>125</v>
      </c>
      <c r="E49" s="37" t="s">
        <v>118</v>
      </c>
      <c r="F49" s="37">
        <v>2</v>
      </c>
      <c r="G49" s="37"/>
      <c r="H49" s="86"/>
      <c r="I49" s="86">
        <v>46104</v>
      </c>
      <c r="J49" s="37" t="s">
        <v>4</v>
      </c>
      <c r="K49" s="38">
        <f t="shared" si="0"/>
        <v>2</v>
      </c>
      <c r="L49" s="39">
        <f t="shared" si="1"/>
        <v>0</v>
      </c>
      <c r="M49" s="40">
        <f t="shared" ca="1" si="2"/>
        <v>-9</v>
      </c>
      <c r="N49">
        <f t="shared" si="3"/>
        <v>13</v>
      </c>
      <c r="O49" t="str">
        <f t="shared" si="4"/>
        <v>Switch</v>
      </c>
      <c r="P49" s="41" t="s">
        <v>126</v>
      </c>
    </row>
    <row r="50" spans="1:16" ht="14.25" hidden="1" customHeight="1">
      <c r="A50">
        <v>345</v>
      </c>
      <c r="B50" s="35" t="s">
        <v>21</v>
      </c>
      <c r="C50" s="37" t="s">
        <v>127</v>
      </c>
      <c r="D50" s="37" t="s">
        <v>77</v>
      </c>
      <c r="E50" s="37" t="s">
        <v>78</v>
      </c>
      <c r="F50" s="37">
        <v>1</v>
      </c>
      <c r="G50" s="37"/>
      <c r="H50" s="86"/>
      <c r="I50" s="86">
        <v>46104</v>
      </c>
      <c r="J50" s="37" t="s">
        <v>4</v>
      </c>
      <c r="K50" s="38">
        <f t="shared" si="0"/>
        <v>1</v>
      </c>
      <c r="L50" s="39">
        <f t="shared" si="1"/>
        <v>0</v>
      </c>
      <c r="M50" s="40">
        <f t="shared" ca="1" si="2"/>
        <v>-9</v>
      </c>
      <c r="N50">
        <f t="shared" si="3"/>
        <v>13</v>
      </c>
      <c r="O50" t="str">
        <f t="shared" si="4"/>
        <v>AP</v>
      </c>
    </row>
    <row r="51" spans="1:16" ht="14.25" customHeight="1">
      <c r="A51">
        <v>184</v>
      </c>
      <c r="B51" s="35" t="s">
        <v>20</v>
      </c>
      <c r="C51" s="37" t="s">
        <v>93</v>
      </c>
      <c r="D51" s="37" t="s">
        <v>128</v>
      </c>
      <c r="E51" s="37" t="s">
        <v>74</v>
      </c>
      <c r="F51" s="37">
        <v>1</v>
      </c>
      <c r="G51" s="37">
        <v>1</v>
      </c>
      <c r="H51" s="86">
        <v>46100</v>
      </c>
      <c r="I51" s="86">
        <v>46100</v>
      </c>
      <c r="J51" s="37" t="s">
        <v>75</v>
      </c>
      <c r="K51" s="38">
        <f t="shared" si="0"/>
        <v>0</v>
      </c>
      <c r="L51" s="39">
        <f t="shared" si="1"/>
        <v>1</v>
      </c>
      <c r="M51" s="40">
        <f t="shared" ca="1" si="2"/>
        <v>-13</v>
      </c>
      <c r="N51">
        <f t="shared" si="3"/>
        <v>12</v>
      </c>
      <c r="O51" t="str">
        <f t="shared" si="4"/>
        <v>Switch</v>
      </c>
    </row>
    <row r="52" spans="1:16" ht="14.25" customHeight="1">
      <c r="A52">
        <v>185</v>
      </c>
      <c r="B52" s="35" t="s">
        <v>20</v>
      </c>
      <c r="C52" s="37" t="s">
        <v>93</v>
      </c>
      <c r="D52" s="37" t="s">
        <v>129</v>
      </c>
      <c r="E52" s="37" t="s">
        <v>74</v>
      </c>
      <c r="F52" s="37">
        <v>1</v>
      </c>
      <c r="G52" s="37">
        <v>1</v>
      </c>
      <c r="H52" s="86">
        <v>46100</v>
      </c>
      <c r="I52" s="86">
        <v>46100</v>
      </c>
      <c r="J52" s="37" t="s">
        <v>75</v>
      </c>
      <c r="K52" s="38">
        <f t="shared" si="0"/>
        <v>0</v>
      </c>
      <c r="L52" s="39">
        <f t="shared" si="1"/>
        <v>1</v>
      </c>
      <c r="M52" s="40">
        <f t="shared" ca="1" si="2"/>
        <v>-13</v>
      </c>
      <c r="N52">
        <f t="shared" si="3"/>
        <v>12</v>
      </c>
      <c r="O52" t="str">
        <f t="shared" si="4"/>
        <v>Switch</v>
      </c>
    </row>
    <row r="53" spans="1:16" ht="14.25" customHeight="1">
      <c r="A53">
        <v>187</v>
      </c>
      <c r="B53" s="35" t="s">
        <v>20</v>
      </c>
      <c r="C53" s="37" t="s">
        <v>93</v>
      </c>
      <c r="D53" s="37" t="s">
        <v>130</v>
      </c>
      <c r="E53" s="37" t="s">
        <v>80</v>
      </c>
      <c r="F53" s="37">
        <v>1</v>
      </c>
      <c r="G53" s="37">
        <v>1</v>
      </c>
      <c r="H53" s="86">
        <v>46100</v>
      </c>
      <c r="I53" s="86">
        <v>46100</v>
      </c>
      <c r="J53" s="37" t="s">
        <v>75</v>
      </c>
      <c r="K53" s="38">
        <f t="shared" si="0"/>
        <v>0</v>
      </c>
      <c r="L53" s="39">
        <f t="shared" si="1"/>
        <v>1</v>
      </c>
      <c r="M53" s="40">
        <f t="shared" ca="1" si="2"/>
        <v>-13</v>
      </c>
      <c r="N53">
        <f t="shared" si="3"/>
        <v>12</v>
      </c>
      <c r="O53" t="str">
        <f t="shared" si="4"/>
        <v>Switch</v>
      </c>
    </row>
    <row r="54" spans="1:16" ht="14.25" customHeight="1">
      <c r="A54">
        <v>186</v>
      </c>
      <c r="B54" s="35" t="s">
        <v>20</v>
      </c>
      <c r="C54" s="37" t="s">
        <v>93</v>
      </c>
      <c r="D54" s="37" t="s">
        <v>130</v>
      </c>
      <c r="E54" s="37" t="s">
        <v>74</v>
      </c>
      <c r="F54" s="37">
        <v>1</v>
      </c>
      <c r="G54" s="37">
        <v>1</v>
      </c>
      <c r="H54" s="86">
        <v>46100</v>
      </c>
      <c r="I54" s="86">
        <v>46100</v>
      </c>
      <c r="J54" s="37" t="s">
        <v>75</v>
      </c>
      <c r="K54" s="38">
        <f t="shared" si="0"/>
        <v>0</v>
      </c>
      <c r="L54" s="39">
        <f t="shared" si="1"/>
        <v>1</v>
      </c>
      <c r="M54" s="40">
        <f t="shared" ca="1" si="2"/>
        <v>-13</v>
      </c>
      <c r="N54">
        <f t="shared" si="3"/>
        <v>12</v>
      </c>
      <c r="O54" t="str">
        <f t="shared" si="4"/>
        <v>Switch</v>
      </c>
    </row>
    <row r="55" spans="1:16" ht="14.25" customHeight="1">
      <c r="A55">
        <v>188</v>
      </c>
      <c r="B55" s="35" t="s">
        <v>20</v>
      </c>
      <c r="C55" s="37" t="s">
        <v>93</v>
      </c>
      <c r="D55" s="37" t="s">
        <v>131</v>
      </c>
      <c r="E55" s="37" t="s">
        <v>74</v>
      </c>
      <c r="F55" s="37">
        <v>1</v>
      </c>
      <c r="G55" s="37">
        <v>1</v>
      </c>
      <c r="H55" s="86">
        <v>46100</v>
      </c>
      <c r="I55" s="86">
        <v>46100</v>
      </c>
      <c r="J55" s="37" t="s">
        <v>75</v>
      </c>
      <c r="K55" s="38">
        <f t="shared" si="0"/>
        <v>0</v>
      </c>
      <c r="L55" s="39">
        <f t="shared" si="1"/>
        <v>1</v>
      </c>
      <c r="M55" s="40">
        <f t="shared" ca="1" si="2"/>
        <v>-13</v>
      </c>
      <c r="N55">
        <f t="shared" si="3"/>
        <v>12</v>
      </c>
      <c r="O55" t="str">
        <f t="shared" si="4"/>
        <v>Switch</v>
      </c>
    </row>
    <row r="56" spans="1:16" ht="14.25" customHeight="1">
      <c r="A56">
        <v>230</v>
      </c>
      <c r="B56" s="35" t="s">
        <v>20</v>
      </c>
      <c r="C56" s="37" t="s">
        <v>100</v>
      </c>
      <c r="D56" s="37" t="s">
        <v>132</v>
      </c>
      <c r="E56" s="37" t="s">
        <v>80</v>
      </c>
      <c r="F56" s="37">
        <v>1</v>
      </c>
      <c r="G56" s="37">
        <v>1</v>
      </c>
      <c r="H56" s="86">
        <v>46100</v>
      </c>
      <c r="I56" s="86">
        <v>46100</v>
      </c>
      <c r="J56" s="37" t="s">
        <v>75</v>
      </c>
      <c r="K56" s="38">
        <f t="shared" si="0"/>
        <v>0</v>
      </c>
      <c r="L56" s="39">
        <f t="shared" si="1"/>
        <v>1</v>
      </c>
      <c r="M56" s="40">
        <f t="shared" ca="1" si="2"/>
        <v>-13</v>
      </c>
      <c r="N56">
        <f t="shared" si="3"/>
        <v>12</v>
      </c>
      <c r="O56" t="str">
        <f t="shared" si="4"/>
        <v>Switch</v>
      </c>
    </row>
    <row r="57" spans="1:16" ht="14.25" customHeight="1">
      <c r="A57">
        <v>229</v>
      </c>
      <c r="B57" s="35" t="s">
        <v>20</v>
      </c>
      <c r="C57" s="37" t="s">
        <v>100</v>
      </c>
      <c r="D57" s="37" t="s">
        <v>132</v>
      </c>
      <c r="E57" s="37" t="s">
        <v>74</v>
      </c>
      <c r="F57" s="37">
        <v>1</v>
      </c>
      <c r="G57" s="37">
        <v>1</v>
      </c>
      <c r="H57" s="86">
        <v>46100</v>
      </c>
      <c r="I57" s="86">
        <v>46100</v>
      </c>
      <c r="J57" s="37" t="s">
        <v>75</v>
      </c>
      <c r="K57" s="38">
        <f t="shared" si="0"/>
        <v>0</v>
      </c>
      <c r="L57" s="39">
        <f t="shared" si="1"/>
        <v>1</v>
      </c>
      <c r="M57" s="40">
        <f t="shared" ca="1" si="2"/>
        <v>-13</v>
      </c>
      <c r="N57">
        <f t="shared" si="3"/>
        <v>12</v>
      </c>
      <c r="O57" t="str">
        <f t="shared" si="4"/>
        <v>Switch</v>
      </c>
    </row>
    <row r="58" spans="1:16" ht="14.25" customHeight="1">
      <c r="A58">
        <v>232</v>
      </c>
      <c r="B58" s="35" t="s">
        <v>20</v>
      </c>
      <c r="C58" s="37" t="s">
        <v>100</v>
      </c>
      <c r="D58" s="37" t="s">
        <v>133</v>
      </c>
      <c r="E58" s="37" t="s">
        <v>80</v>
      </c>
      <c r="F58" s="37">
        <v>1</v>
      </c>
      <c r="G58" s="37">
        <v>1</v>
      </c>
      <c r="H58" s="86">
        <v>46100</v>
      </c>
      <c r="I58" s="86">
        <v>46100</v>
      </c>
      <c r="J58" s="37" t="s">
        <v>75</v>
      </c>
      <c r="K58" s="38">
        <f t="shared" si="0"/>
        <v>0</v>
      </c>
      <c r="L58" s="39">
        <f t="shared" si="1"/>
        <v>1</v>
      </c>
      <c r="M58" s="40">
        <f t="shared" ca="1" si="2"/>
        <v>-13</v>
      </c>
      <c r="N58">
        <f t="shared" si="3"/>
        <v>12</v>
      </c>
      <c r="O58" t="str">
        <f t="shared" si="4"/>
        <v>Switch</v>
      </c>
    </row>
    <row r="59" spans="1:16" ht="14.25" customHeight="1">
      <c r="A59">
        <v>231</v>
      </c>
      <c r="B59" s="35" t="s">
        <v>20</v>
      </c>
      <c r="C59" s="37" t="s">
        <v>100</v>
      </c>
      <c r="D59" s="37" t="s">
        <v>133</v>
      </c>
      <c r="E59" s="37" t="s">
        <v>74</v>
      </c>
      <c r="F59" s="37">
        <v>1</v>
      </c>
      <c r="G59" s="37">
        <v>1</v>
      </c>
      <c r="H59" s="86">
        <v>46100</v>
      </c>
      <c r="I59" s="86">
        <v>46100</v>
      </c>
      <c r="J59" s="37" t="s">
        <v>75</v>
      </c>
      <c r="K59" s="38">
        <f t="shared" si="0"/>
        <v>0</v>
      </c>
      <c r="L59" s="39">
        <f t="shared" si="1"/>
        <v>1</v>
      </c>
      <c r="M59" s="40">
        <f t="shared" ca="1" si="2"/>
        <v>-13</v>
      </c>
      <c r="N59">
        <f t="shared" si="3"/>
        <v>12</v>
      </c>
      <c r="O59" t="str">
        <f t="shared" si="4"/>
        <v>Switch</v>
      </c>
    </row>
    <row r="60" spans="1:16" ht="14.25" customHeight="1">
      <c r="A60">
        <v>109</v>
      </c>
      <c r="B60" s="35" t="s">
        <v>20</v>
      </c>
      <c r="C60" s="37" t="s">
        <v>87</v>
      </c>
      <c r="D60" s="37" t="s">
        <v>134</v>
      </c>
      <c r="E60" s="37" t="s">
        <v>80</v>
      </c>
      <c r="F60" s="37">
        <v>1</v>
      </c>
      <c r="G60" s="37">
        <v>1</v>
      </c>
      <c r="H60" s="86">
        <v>46100</v>
      </c>
      <c r="I60" s="86">
        <v>46100</v>
      </c>
      <c r="J60" s="37" t="s">
        <v>75</v>
      </c>
      <c r="K60" s="38">
        <f t="shared" si="0"/>
        <v>0</v>
      </c>
      <c r="L60" s="39">
        <f t="shared" si="1"/>
        <v>1</v>
      </c>
      <c r="M60" s="40">
        <f t="shared" ca="1" si="2"/>
        <v>-13</v>
      </c>
      <c r="N60">
        <f t="shared" si="3"/>
        <v>12</v>
      </c>
      <c r="O60" t="str">
        <f t="shared" si="4"/>
        <v>Switch</v>
      </c>
    </row>
    <row r="61" spans="1:16" ht="14.25" customHeight="1">
      <c r="A61">
        <v>108</v>
      </c>
      <c r="B61" s="35" t="s">
        <v>20</v>
      </c>
      <c r="C61" s="37" t="s">
        <v>87</v>
      </c>
      <c r="D61" s="37" t="s">
        <v>134</v>
      </c>
      <c r="E61" s="37" t="s">
        <v>74</v>
      </c>
      <c r="F61" s="37">
        <v>2</v>
      </c>
      <c r="G61" s="37">
        <v>2</v>
      </c>
      <c r="H61" s="86">
        <v>46100</v>
      </c>
      <c r="I61" s="86">
        <v>46100</v>
      </c>
      <c r="J61" s="37" t="s">
        <v>75</v>
      </c>
      <c r="K61" s="38">
        <f t="shared" si="0"/>
        <v>0</v>
      </c>
      <c r="L61" s="39">
        <f t="shared" si="1"/>
        <v>1</v>
      </c>
      <c r="M61" s="40">
        <f t="shared" ca="1" si="2"/>
        <v>-13</v>
      </c>
      <c r="N61">
        <f t="shared" si="3"/>
        <v>12</v>
      </c>
      <c r="O61" t="str">
        <f t="shared" si="4"/>
        <v>Switch</v>
      </c>
    </row>
    <row r="62" spans="1:16" ht="14.25" customHeight="1">
      <c r="A62">
        <v>246</v>
      </c>
      <c r="B62" s="35" t="s">
        <v>20</v>
      </c>
      <c r="C62" s="37" t="s">
        <v>96</v>
      </c>
      <c r="D62" s="37" t="s">
        <v>135</v>
      </c>
      <c r="E62" s="37" t="s">
        <v>80</v>
      </c>
      <c r="F62" s="37">
        <v>1</v>
      </c>
      <c r="G62" s="37">
        <v>1</v>
      </c>
      <c r="H62" s="86">
        <v>46099</v>
      </c>
      <c r="I62" s="86">
        <v>46099</v>
      </c>
      <c r="J62" s="37" t="s">
        <v>75</v>
      </c>
      <c r="K62" s="38">
        <f t="shared" si="0"/>
        <v>0</v>
      </c>
      <c r="L62" s="39">
        <f t="shared" si="1"/>
        <v>1</v>
      </c>
      <c r="M62" s="40">
        <f t="shared" ca="1" si="2"/>
        <v>-14</v>
      </c>
      <c r="N62">
        <f t="shared" si="3"/>
        <v>12</v>
      </c>
      <c r="O62" t="str">
        <f t="shared" si="4"/>
        <v>Switch</v>
      </c>
    </row>
    <row r="63" spans="1:16" ht="14.25" customHeight="1">
      <c r="A63">
        <v>245</v>
      </c>
      <c r="B63" s="35" t="s">
        <v>20</v>
      </c>
      <c r="C63" s="37" t="s">
        <v>96</v>
      </c>
      <c r="D63" s="37" t="s">
        <v>135</v>
      </c>
      <c r="E63" s="37" t="s">
        <v>74</v>
      </c>
      <c r="F63" s="37">
        <v>1</v>
      </c>
      <c r="G63" s="37">
        <v>1</v>
      </c>
      <c r="H63" s="86">
        <v>46099</v>
      </c>
      <c r="I63" s="86">
        <v>46099</v>
      </c>
      <c r="J63" s="37" t="s">
        <v>75</v>
      </c>
      <c r="K63" s="38">
        <f t="shared" si="0"/>
        <v>0</v>
      </c>
      <c r="L63" s="39">
        <f t="shared" si="1"/>
        <v>1</v>
      </c>
      <c r="M63" s="40">
        <f t="shared" ca="1" si="2"/>
        <v>-14</v>
      </c>
      <c r="N63">
        <f t="shared" si="3"/>
        <v>12</v>
      </c>
      <c r="O63" t="str">
        <f t="shared" si="4"/>
        <v>Switch</v>
      </c>
    </row>
    <row r="64" spans="1:16" ht="14.25" customHeight="1">
      <c r="A64">
        <v>249</v>
      </c>
      <c r="B64" s="35" t="s">
        <v>20</v>
      </c>
      <c r="C64" s="37" t="s">
        <v>96</v>
      </c>
      <c r="D64" s="37" t="s">
        <v>136</v>
      </c>
      <c r="E64" s="37" t="s">
        <v>80</v>
      </c>
      <c r="F64" s="37">
        <v>1</v>
      </c>
      <c r="G64" s="37">
        <v>1</v>
      </c>
      <c r="H64" s="86">
        <v>46099</v>
      </c>
      <c r="I64" s="86">
        <v>46135</v>
      </c>
      <c r="J64" s="37" t="s">
        <v>75</v>
      </c>
      <c r="K64" s="38">
        <f t="shared" si="0"/>
        <v>0</v>
      </c>
      <c r="L64" s="39">
        <f t="shared" si="1"/>
        <v>1</v>
      </c>
      <c r="M64" s="40">
        <f t="shared" ca="1" si="2"/>
        <v>22</v>
      </c>
      <c r="N64">
        <f t="shared" si="3"/>
        <v>17</v>
      </c>
      <c r="O64" t="str">
        <f t="shared" si="4"/>
        <v>Switch</v>
      </c>
    </row>
    <row r="65" spans="1:15" ht="14.25" customHeight="1">
      <c r="A65">
        <v>248</v>
      </c>
      <c r="B65" s="35" t="s">
        <v>20</v>
      </c>
      <c r="C65" s="37" t="s">
        <v>96</v>
      </c>
      <c r="D65" s="37" t="s">
        <v>136</v>
      </c>
      <c r="E65" s="37" t="s">
        <v>74</v>
      </c>
      <c r="F65" s="37">
        <v>1</v>
      </c>
      <c r="G65" s="37">
        <v>1</v>
      </c>
      <c r="H65" s="86">
        <v>46099</v>
      </c>
      <c r="I65" s="86">
        <v>46135</v>
      </c>
      <c r="J65" s="37" t="s">
        <v>75</v>
      </c>
      <c r="K65" s="38">
        <f t="shared" si="0"/>
        <v>0</v>
      </c>
      <c r="L65" s="39">
        <f t="shared" si="1"/>
        <v>1</v>
      </c>
      <c r="M65" s="40">
        <f t="shared" ca="1" si="2"/>
        <v>22</v>
      </c>
      <c r="N65">
        <f t="shared" si="3"/>
        <v>17</v>
      </c>
      <c r="O65" t="str">
        <f t="shared" si="4"/>
        <v>Switch</v>
      </c>
    </row>
    <row r="66" spans="1:15" ht="14.25" customHeight="1">
      <c r="A66">
        <v>217</v>
      </c>
      <c r="B66" s="35" t="s">
        <v>20</v>
      </c>
      <c r="C66" s="37" t="s">
        <v>100</v>
      </c>
      <c r="D66" s="37" t="s">
        <v>137</v>
      </c>
      <c r="E66" s="37" t="s">
        <v>80</v>
      </c>
      <c r="F66" s="37">
        <v>1</v>
      </c>
      <c r="G66" s="37">
        <v>1</v>
      </c>
      <c r="H66" s="86">
        <v>46099</v>
      </c>
      <c r="I66" s="86">
        <v>46099</v>
      </c>
      <c r="J66" s="37" t="s">
        <v>75</v>
      </c>
      <c r="K66" s="38">
        <f t="shared" ref="K66:K129" si="5">F66-G66</f>
        <v>0</v>
      </c>
      <c r="L66" s="39">
        <f t="shared" ref="L66:L129" si="6">IF(F66=0,"",G66/F66)</f>
        <v>1</v>
      </c>
      <c r="M66" s="40">
        <f t="shared" ref="M66:M129" ca="1" si="7">I66-TODAY()</f>
        <v>-14</v>
      </c>
      <c r="N66">
        <f t="shared" ref="N66:N129" si="8">_xlfn.ISOWEEKNUM(I66)</f>
        <v>12</v>
      </c>
      <c r="O66" t="str">
        <f t="shared" ref="O66:O129" si="9">IF(ISNUMBER(SEARCH("Access Point",E66)),"AP",IF(OR(ISNUMBER(SEARCH("Switch",E66)),ISNUMBER(SEARCH("Control Type",E66))),"Switch","Infra"))</f>
        <v>Switch</v>
      </c>
    </row>
    <row r="67" spans="1:15" ht="14.25" customHeight="1">
      <c r="A67">
        <v>216</v>
      </c>
      <c r="B67" s="35" t="s">
        <v>20</v>
      </c>
      <c r="C67" s="37" t="s">
        <v>100</v>
      </c>
      <c r="D67" s="37" t="s">
        <v>137</v>
      </c>
      <c r="E67" s="37" t="s">
        <v>74</v>
      </c>
      <c r="F67" s="37">
        <v>2</v>
      </c>
      <c r="G67" s="37">
        <v>2</v>
      </c>
      <c r="H67" s="86">
        <v>46099</v>
      </c>
      <c r="I67" s="86">
        <v>46099</v>
      </c>
      <c r="J67" s="37" t="s">
        <v>75</v>
      </c>
      <c r="K67" s="38">
        <f t="shared" si="5"/>
        <v>0</v>
      </c>
      <c r="L67" s="39">
        <f t="shared" si="6"/>
        <v>1</v>
      </c>
      <c r="M67" s="40">
        <f t="shared" ca="1" si="7"/>
        <v>-14</v>
      </c>
      <c r="N67">
        <f t="shared" si="8"/>
        <v>12</v>
      </c>
      <c r="O67" t="str">
        <f t="shared" si="9"/>
        <v>Switch</v>
      </c>
    </row>
    <row r="68" spans="1:15" ht="14.25" customHeight="1">
      <c r="A68">
        <v>25</v>
      </c>
      <c r="B68" s="35" t="s">
        <v>20</v>
      </c>
      <c r="C68" s="36" t="s">
        <v>138</v>
      </c>
      <c r="D68" s="37" t="s">
        <v>139</v>
      </c>
      <c r="E68" s="37" t="s">
        <v>80</v>
      </c>
      <c r="F68" s="37">
        <v>3</v>
      </c>
      <c r="G68" s="37">
        <v>3</v>
      </c>
      <c r="H68" s="86">
        <v>46099</v>
      </c>
      <c r="I68" s="86">
        <v>46099</v>
      </c>
      <c r="J68" s="37" t="s">
        <v>75</v>
      </c>
      <c r="K68" s="38">
        <f t="shared" si="5"/>
        <v>0</v>
      </c>
      <c r="L68" s="39">
        <f t="shared" si="6"/>
        <v>1</v>
      </c>
      <c r="M68" s="40">
        <f t="shared" ca="1" si="7"/>
        <v>-14</v>
      </c>
      <c r="N68">
        <f t="shared" si="8"/>
        <v>12</v>
      </c>
      <c r="O68" t="str">
        <f t="shared" si="9"/>
        <v>Switch</v>
      </c>
    </row>
    <row r="69" spans="1:15" ht="14.25" customHeight="1">
      <c r="A69">
        <v>24</v>
      </c>
      <c r="B69" s="35" t="s">
        <v>20</v>
      </c>
      <c r="C69" s="36" t="s">
        <v>138</v>
      </c>
      <c r="D69" s="37" t="s">
        <v>139</v>
      </c>
      <c r="E69" s="37" t="s">
        <v>140</v>
      </c>
      <c r="F69" s="37">
        <v>4</v>
      </c>
      <c r="G69" s="37">
        <v>4</v>
      </c>
      <c r="H69" s="86">
        <v>46099</v>
      </c>
      <c r="I69" s="86">
        <v>46099</v>
      </c>
      <c r="J69" s="37" t="s">
        <v>75</v>
      </c>
      <c r="K69" s="38">
        <f t="shared" si="5"/>
        <v>0</v>
      </c>
      <c r="L69" s="39">
        <f t="shared" si="6"/>
        <v>1</v>
      </c>
      <c r="M69" s="40">
        <f t="shared" ca="1" si="7"/>
        <v>-14</v>
      </c>
      <c r="N69">
        <f t="shared" si="8"/>
        <v>12</v>
      </c>
      <c r="O69" t="str">
        <f t="shared" si="9"/>
        <v>Switch</v>
      </c>
    </row>
    <row r="70" spans="1:15" ht="14.25" customHeight="1">
      <c r="A70">
        <v>26</v>
      </c>
      <c r="B70" s="35" t="s">
        <v>20</v>
      </c>
      <c r="C70" s="36" t="s">
        <v>138</v>
      </c>
      <c r="D70" s="37" t="s">
        <v>141</v>
      </c>
      <c r="E70" s="37" t="s">
        <v>142</v>
      </c>
      <c r="F70" s="37">
        <v>3</v>
      </c>
      <c r="G70" s="37">
        <v>3</v>
      </c>
      <c r="H70" s="86">
        <v>46099</v>
      </c>
      <c r="I70" s="86">
        <v>46099</v>
      </c>
      <c r="J70" s="37" t="s">
        <v>75</v>
      </c>
      <c r="K70" s="38">
        <f t="shared" si="5"/>
        <v>0</v>
      </c>
      <c r="L70" s="39">
        <f t="shared" si="6"/>
        <v>1</v>
      </c>
      <c r="M70" s="40">
        <f t="shared" ca="1" si="7"/>
        <v>-14</v>
      </c>
      <c r="N70">
        <f t="shared" si="8"/>
        <v>12</v>
      </c>
      <c r="O70" t="str">
        <f t="shared" si="9"/>
        <v>Switch</v>
      </c>
    </row>
    <row r="71" spans="1:15" ht="14.25" customHeight="1">
      <c r="A71">
        <v>124</v>
      </c>
      <c r="B71" s="35" t="s">
        <v>20</v>
      </c>
      <c r="C71" s="37" t="s">
        <v>93</v>
      </c>
      <c r="D71" s="37" t="s">
        <v>143</v>
      </c>
      <c r="E71" s="37" t="s">
        <v>80</v>
      </c>
      <c r="F71" s="37">
        <v>1</v>
      </c>
      <c r="G71" s="37">
        <v>1</v>
      </c>
      <c r="H71" s="86">
        <v>46097</v>
      </c>
      <c r="I71" s="86">
        <v>46097</v>
      </c>
      <c r="J71" s="37" t="s">
        <v>75</v>
      </c>
      <c r="K71" s="38">
        <f t="shared" si="5"/>
        <v>0</v>
      </c>
      <c r="L71" s="39">
        <f t="shared" si="6"/>
        <v>1</v>
      </c>
      <c r="M71" s="40">
        <f t="shared" ca="1" si="7"/>
        <v>-16</v>
      </c>
      <c r="N71">
        <f t="shared" si="8"/>
        <v>12</v>
      </c>
      <c r="O71" t="str">
        <f t="shared" si="9"/>
        <v>Switch</v>
      </c>
    </row>
    <row r="72" spans="1:15" ht="14.25" customHeight="1">
      <c r="A72">
        <v>123</v>
      </c>
      <c r="B72" s="35" t="s">
        <v>20</v>
      </c>
      <c r="C72" s="37" t="s">
        <v>93</v>
      </c>
      <c r="D72" s="37" t="s">
        <v>143</v>
      </c>
      <c r="E72" s="37" t="s">
        <v>74</v>
      </c>
      <c r="F72" s="37">
        <v>2</v>
      </c>
      <c r="G72" s="37">
        <v>2</v>
      </c>
      <c r="H72" s="86">
        <v>46097</v>
      </c>
      <c r="I72" s="86">
        <v>46097</v>
      </c>
      <c r="J72" s="37" t="s">
        <v>75</v>
      </c>
      <c r="K72" s="38">
        <f t="shared" si="5"/>
        <v>0</v>
      </c>
      <c r="L72" s="39">
        <f t="shared" si="6"/>
        <v>1</v>
      </c>
      <c r="M72" s="40">
        <f t="shared" ca="1" si="7"/>
        <v>-16</v>
      </c>
      <c r="N72">
        <f t="shared" si="8"/>
        <v>12</v>
      </c>
      <c r="O72" t="str">
        <f t="shared" si="9"/>
        <v>Switch</v>
      </c>
    </row>
    <row r="73" spans="1:15" ht="14.25" customHeight="1">
      <c r="A73">
        <v>127</v>
      </c>
      <c r="B73" s="35" t="s">
        <v>20</v>
      </c>
      <c r="C73" s="37" t="s">
        <v>93</v>
      </c>
      <c r="D73" s="37" t="s">
        <v>144</v>
      </c>
      <c r="E73" s="37" t="s">
        <v>80</v>
      </c>
      <c r="F73" s="37">
        <v>1</v>
      </c>
      <c r="G73" s="37">
        <v>2</v>
      </c>
      <c r="H73" s="86">
        <v>46097</v>
      </c>
      <c r="I73" s="86">
        <v>46097</v>
      </c>
      <c r="J73" s="37" t="s">
        <v>75</v>
      </c>
      <c r="K73" s="38">
        <f t="shared" si="5"/>
        <v>-1</v>
      </c>
      <c r="L73" s="39">
        <f t="shared" si="6"/>
        <v>2</v>
      </c>
      <c r="M73" s="40">
        <f t="shared" ca="1" si="7"/>
        <v>-16</v>
      </c>
      <c r="N73">
        <f t="shared" si="8"/>
        <v>12</v>
      </c>
      <c r="O73" t="str">
        <f t="shared" si="9"/>
        <v>Switch</v>
      </c>
    </row>
    <row r="74" spans="1:15" ht="14.25" customHeight="1">
      <c r="A74">
        <v>126</v>
      </c>
      <c r="B74" s="35" t="s">
        <v>20</v>
      </c>
      <c r="C74" s="37" t="s">
        <v>93</v>
      </c>
      <c r="D74" s="37" t="s">
        <v>144</v>
      </c>
      <c r="E74" s="37" t="s">
        <v>74</v>
      </c>
      <c r="F74" s="37">
        <v>1</v>
      </c>
      <c r="G74" s="37">
        <v>2</v>
      </c>
      <c r="H74" s="86">
        <v>46097</v>
      </c>
      <c r="I74" s="86">
        <v>46097</v>
      </c>
      <c r="J74" s="37" t="s">
        <v>75</v>
      </c>
      <c r="K74" s="38">
        <f t="shared" si="5"/>
        <v>-1</v>
      </c>
      <c r="L74" s="39">
        <f t="shared" si="6"/>
        <v>2</v>
      </c>
      <c r="M74" s="40">
        <f t="shared" ca="1" si="7"/>
        <v>-16</v>
      </c>
      <c r="N74">
        <f t="shared" si="8"/>
        <v>12</v>
      </c>
      <c r="O74" t="str">
        <f t="shared" si="9"/>
        <v>Switch</v>
      </c>
    </row>
    <row r="75" spans="1:15" ht="14.25" customHeight="1">
      <c r="A75">
        <v>161</v>
      </c>
      <c r="B75" s="35" t="s">
        <v>20</v>
      </c>
      <c r="C75" s="37" t="s">
        <v>93</v>
      </c>
      <c r="D75" s="37" t="s">
        <v>145</v>
      </c>
      <c r="E75" s="37" t="s">
        <v>80</v>
      </c>
      <c r="F75" s="37">
        <v>1</v>
      </c>
      <c r="G75" s="37">
        <v>1</v>
      </c>
      <c r="H75" s="86">
        <v>46097</v>
      </c>
      <c r="I75" s="86">
        <v>46097</v>
      </c>
      <c r="J75" s="37" t="s">
        <v>75</v>
      </c>
      <c r="K75" s="38">
        <f t="shared" si="5"/>
        <v>0</v>
      </c>
      <c r="L75" s="39">
        <f t="shared" si="6"/>
        <v>1</v>
      </c>
      <c r="M75" s="40">
        <f t="shared" ca="1" si="7"/>
        <v>-16</v>
      </c>
      <c r="N75">
        <f t="shared" si="8"/>
        <v>12</v>
      </c>
      <c r="O75" t="str">
        <f t="shared" si="9"/>
        <v>Switch</v>
      </c>
    </row>
    <row r="76" spans="1:15" ht="14.25" customHeight="1">
      <c r="A76">
        <v>160</v>
      </c>
      <c r="B76" s="35" t="s">
        <v>20</v>
      </c>
      <c r="C76" s="37" t="s">
        <v>93</v>
      </c>
      <c r="D76" s="37" t="s">
        <v>145</v>
      </c>
      <c r="E76" s="37" t="s">
        <v>74</v>
      </c>
      <c r="F76" s="37">
        <v>1</v>
      </c>
      <c r="G76" s="37">
        <v>1</v>
      </c>
      <c r="H76" s="86">
        <v>46097</v>
      </c>
      <c r="I76" s="86">
        <v>46097</v>
      </c>
      <c r="J76" s="37" t="s">
        <v>75</v>
      </c>
      <c r="K76" s="38">
        <f t="shared" si="5"/>
        <v>0</v>
      </c>
      <c r="L76" s="39">
        <f t="shared" si="6"/>
        <v>1</v>
      </c>
      <c r="M76" s="40">
        <f t="shared" ca="1" si="7"/>
        <v>-16</v>
      </c>
      <c r="N76">
        <f t="shared" si="8"/>
        <v>12</v>
      </c>
      <c r="O76" t="str">
        <f t="shared" si="9"/>
        <v>Switch</v>
      </c>
    </row>
    <row r="77" spans="1:15" ht="14.25" hidden="1" customHeight="1">
      <c r="A77">
        <v>303</v>
      </c>
      <c r="B77" s="35" t="s">
        <v>21</v>
      </c>
      <c r="C77" s="44" t="s">
        <v>146</v>
      </c>
      <c r="D77" s="37" t="s">
        <v>77</v>
      </c>
      <c r="E77" s="37" t="s">
        <v>78</v>
      </c>
      <c r="F77" s="37">
        <v>24</v>
      </c>
      <c r="G77" s="37">
        <v>24</v>
      </c>
      <c r="H77" s="86">
        <v>46063</v>
      </c>
      <c r="I77" s="86">
        <v>46079</v>
      </c>
      <c r="J77" s="37" t="s">
        <v>75</v>
      </c>
      <c r="K77" s="38">
        <f t="shared" si="5"/>
        <v>0</v>
      </c>
      <c r="L77" s="39">
        <f t="shared" si="6"/>
        <v>1</v>
      </c>
      <c r="M77" s="40">
        <f t="shared" ca="1" si="7"/>
        <v>-34</v>
      </c>
      <c r="N77">
        <f t="shared" si="8"/>
        <v>9</v>
      </c>
      <c r="O77" t="str">
        <f t="shared" si="9"/>
        <v>AP</v>
      </c>
    </row>
    <row r="78" spans="1:15" ht="14.25" customHeight="1">
      <c r="A78">
        <v>163</v>
      </c>
      <c r="B78" s="35" t="s">
        <v>20</v>
      </c>
      <c r="C78" s="37" t="s">
        <v>93</v>
      </c>
      <c r="D78" s="37" t="s">
        <v>147</v>
      </c>
      <c r="E78" s="37" t="s">
        <v>80</v>
      </c>
      <c r="F78" s="37">
        <v>2</v>
      </c>
      <c r="G78" s="37">
        <v>2</v>
      </c>
      <c r="H78" s="86">
        <v>46097</v>
      </c>
      <c r="I78" s="86">
        <v>46097</v>
      </c>
      <c r="J78" s="37" t="s">
        <v>75</v>
      </c>
      <c r="K78" s="38">
        <f t="shared" si="5"/>
        <v>0</v>
      </c>
      <c r="L78" s="39">
        <f t="shared" si="6"/>
        <v>1</v>
      </c>
      <c r="M78" s="40">
        <f t="shared" ca="1" si="7"/>
        <v>-16</v>
      </c>
      <c r="N78">
        <f t="shared" si="8"/>
        <v>12</v>
      </c>
      <c r="O78" t="str">
        <f t="shared" si="9"/>
        <v>Switch</v>
      </c>
    </row>
    <row r="79" spans="1:15" ht="14.25" customHeight="1">
      <c r="A79">
        <v>162</v>
      </c>
      <c r="B79" s="35" t="s">
        <v>20</v>
      </c>
      <c r="C79" s="37" t="s">
        <v>93</v>
      </c>
      <c r="D79" s="37" t="s">
        <v>147</v>
      </c>
      <c r="E79" s="37" t="s">
        <v>74</v>
      </c>
      <c r="F79" s="37">
        <v>2</v>
      </c>
      <c r="G79" s="37">
        <v>2</v>
      </c>
      <c r="H79" s="86">
        <v>46097</v>
      </c>
      <c r="I79" s="86">
        <v>46097</v>
      </c>
      <c r="J79" s="37" t="s">
        <v>75</v>
      </c>
      <c r="K79" s="38">
        <f t="shared" si="5"/>
        <v>0</v>
      </c>
      <c r="L79" s="39">
        <f t="shared" si="6"/>
        <v>1</v>
      </c>
      <c r="M79" s="40">
        <f t="shared" ca="1" si="7"/>
        <v>-16</v>
      </c>
      <c r="N79">
        <f t="shared" si="8"/>
        <v>12</v>
      </c>
      <c r="O79" t="str">
        <f t="shared" si="9"/>
        <v>Switch</v>
      </c>
    </row>
    <row r="80" spans="1:15" ht="14.25" customHeight="1">
      <c r="A80">
        <v>167</v>
      </c>
      <c r="B80" s="35" t="s">
        <v>20</v>
      </c>
      <c r="C80" s="37" t="s">
        <v>93</v>
      </c>
      <c r="D80" s="37" t="s">
        <v>148</v>
      </c>
      <c r="E80" s="37" t="s">
        <v>74</v>
      </c>
      <c r="F80" s="37">
        <v>1</v>
      </c>
      <c r="G80" s="37">
        <v>1</v>
      </c>
      <c r="H80" s="86">
        <v>46097</v>
      </c>
      <c r="I80" s="86">
        <v>46097</v>
      </c>
      <c r="J80" s="37" t="s">
        <v>75</v>
      </c>
      <c r="K80" s="38">
        <f t="shared" si="5"/>
        <v>0</v>
      </c>
      <c r="L80" s="39">
        <f t="shared" si="6"/>
        <v>1</v>
      </c>
      <c r="M80" s="40">
        <f t="shared" ca="1" si="7"/>
        <v>-16</v>
      </c>
      <c r="N80">
        <f t="shared" si="8"/>
        <v>12</v>
      </c>
      <c r="O80" t="str">
        <f t="shared" si="9"/>
        <v>Switch</v>
      </c>
    </row>
    <row r="81" spans="1:16" ht="14.25" customHeight="1">
      <c r="A81">
        <v>169</v>
      </c>
      <c r="B81" s="35" t="s">
        <v>20</v>
      </c>
      <c r="C81" s="37" t="s">
        <v>93</v>
      </c>
      <c r="D81" s="37" t="s">
        <v>149</v>
      </c>
      <c r="E81" s="37" t="s">
        <v>74</v>
      </c>
      <c r="F81" s="37">
        <v>1</v>
      </c>
      <c r="G81" s="37">
        <v>1</v>
      </c>
      <c r="H81" s="86">
        <v>46097</v>
      </c>
      <c r="I81" s="86">
        <v>46097</v>
      </c>
      <c r="J81" s="37" t="s">
        <v>75</v>
      </c>
      <c r="K81" s="38">
        <f t="shared" si="5"/>
        <v>0</v>
      </c>
      <c r="L81" s="39">
        <f t="shared" si="6"/>
        <v>1</v>
      </c>
      <c r="M81" s="40">
        <f t="shared" ca="1" si="7"/>
        <v>-16</v>
      </c>
      <c r="N81">
        <f t="shared" si="8"/>
        <v>12</v>
      </c>
      <c r="O81" t="str">
        <f t="shared" si="9"/>
        <v>Switch</v>
      </c>
    </row>
    <row r="82" spans="1:16" ht="14.25" customHeight="1">
      <c r="A82">
        <v>256</v>
      </c>
      <c r="B82" s="35" t="s">
        <v>20</v>
      </c>
      <c r="C82" s="37" t="s">
        <v>96</v>
      </c>
      <c r="D82" s="37" t="s">
        <v>150</v>
      </c>
      <c r="E82" s="37" t="s">
        <v>80</v>
      </c>
      <c r="F82" s="37">
        <v>1</v>
      </c>
      <c r="G82" s="37">
        <v>1</v>
      </c>
      <c r="H82" s="86">
        <v>46097</v>
      </c>
      <c r="I82" s="86">
        <v>46097</v>
      </c>
      <c r="J82" s="37" t="s">
        <v>75</v>
      </c>
      <c r="K82" s="38">
        <f t="shared" si="5"/>
        <v>0</v>
      </c>
      <c r="L82" s="39">
        <f t="shared" si="6"/>
        <v>1</v>
      </c>
      <c r="M82" s="40">
        <f t="shared" ca="1" si="7"/>
        <v>-16</v>
      </c>
      <c r="N82">
        <f t="shared" si="8"/>
        <v>12</v>
      </c>
      <c r="O82" t="str">
        <f t="shared" si="9"/>
        <v>Switch</v>
      </c>
    </row>
    <row r="83" spans="1:16" ht="14.25" customHeight="1">
      <c r="A83">
        <v>255</v>
      </c>
      <c r="B83" s="35" t="s">
        <v>20</v>
      </c>
      <c r="C83" s="37" t="s">
        <v>96</v>
      </c>
      <c r="D83" s="37" t="s">
        <v>150</v>
      </c>
      <c r="E83" s="37" t="s">
        <v>74</v>
      </c>
      <c r="F83" s="37">
        <v>1</v>
      </c>
      <c r="G83" s="37">
        <v>1</v>
      </c>
      <c r="H83" s="86">
        <v>46097</v>
      </c>
      <c r="I83" s="86">
        <v>46097</v>
      </c>
      <c r="J83" s="37" t="s">
        <v>75</v>
      </c>
      <c r="K83" s="38">
        <f t="shared" si="5"/>
        <v>0</v>
      </c>
      <c r="L83" s="39">
        <f t="shared" si="6"/>
        <v>1</v>
      </c>
      <c r="M83" s="40">
        <f t="shared" ca="1" si="7"/>
        <v>-16</v>
      </c>
      <c r="N83">
        <f t="shared" si="8"/>
        <v>12</v>
      </c>
      <c r="O83" t="str">
        <f t="shared" si="9"/>
        <v>Switch</v>
      </c>
    </row>
    <row r="84" spans="1:16" ht="14.25" customHeight="1">
      <c r="A84">
        <v>258</v>
      </c>
      <c r="B84" s="35" t="s">
        <v>20</v>
      </c>
      <c r="C84" s="37" t="s">
        <v>96</v>
      </c>
      <c r="D84" s="37" t="s">
        <v>151</v>
      </c>
      <c r="E84" s="37" t="s">
        <v>80</v>
      </c>
      <c r="F84" s="37">
        <v>1</v>
      </c>
      <c r="G84" s="37">
        <v>1</v>
      </c>
      <c r="H84" s="86">
        <v>46097</v>
      </c>
      <c r="I84" s="86">
        <v>46097</v>
      </c>
      <c r="J84" s="37" t="s">
        <v>75</v>
      </c>
      <c r="K84" s="38">
        <f t="shared" si="5"/>
        <v>0</v>
      </c>
      <c r="L84" s="39">
        <f t="shared" si="6"/>
        <v>1</v>
      </c>
      <c r="M84" s="40">
        <f t="shared" ca="1" si="7"/>
        <v>-16</v>
      </c>
      <c r="N84">
        <f t="shared" si="8"/>
        <v>12</v>
      </c>
      <c r="O84" t="str">
        <f t="shared" si="9"/>
        <v>Switch</v>
      </c>
    </row>
    <row r="85" spans="1:16" ht="14.25" hidden="1" customHeight="1">
      <c r="A85">
        <v>309</v>
      </c>
      <c r="B85" s="35" t="s">
        <v>21</v>
      </c>
      <c r="C85" s="36" t="s">
        <v>152</v>
      </c>
      <c r="D85" s="37" t="s">
        <v>153</v>
      </c>
      <c r="E85" s="37" t="s">
        <v>154</v>
      </c>
      <c r="F85" s="37">
        <v>2</v>
      </c>
      <c r="G85" s="37">
        <v>2</v>
      </c>
      <c r="H85" s="86">
        <v>46063</v>
      </c>
      <c r="I85" s="86">
        <v>46085</v>
      </c>
      <c r="J85" s="37" t="s">
        <v>75</v>
      </c>
      <c r="K85" s="38">
        <f t="shared" si="5"/>
        <v>0</v>
      </c>
      <c r="L85" s="39">
        <f t="shared" si="6"/>
        <v>1</v>
      </c>
      <c r="M85" s="40">
        <f t="shared" ca="1" si="7"/>
        <v>-28</v>
      </c>
      <c r="N85">
        <f t="shared" si="8"/>
        <v>10</v>
      </c>
      <c r="O85" t="str">
        <f t="shared" si="9"/>
        <v>Infra</v>
      </c>
    </row>
    <row r="86" spans="1:16" ht="14.25" customHeight="1">
      <c r="A86">
        <v>257</v>
      </c>
      <c r="B86" s="35" t="s">
        <v>20</v>
      </c>
      <c r="C86" s="37" t="s">
        <v>96</v>
      </c>
      <c r="D86" s="37" t="s">
        <v>151</v>
      </c>
      <c r="E86" s="37" t="s">
        <v>74</v>
      </c>
      <c r="F86" s="37">
        <v>1</v>
      </c>
      <c r="G86" s="37">
        <v>1</v>
      </c>
      <c r="H86" s="86">
        <v>46097</v>
      </c>
      <c r="I86" s="86">
        <v>46097</v>
      </c>
      <c r="J86" s="37" t="s">
        <v>75</v>
      </c>
      <c r="K86" s="38">
        <f t="shared" si="5"/>
        <v>0</v>
      </c>
      <c r="L86" s="39">
        <f t="shared" si="6"/>
        <v>1</v>
      </c>
      <c r="M86" s="40">
        <f t="shared" ca="1" si="7"/>
        <v>-16</v>
      </c>
      <c r="N86">
        <f t="shared" si="8"/>
        <v>12</v>
      </c>
      <c r="O86" t="str">
        <f t="shared" si="9"/>
        <v>Switch</v>
      </c>
    </row>
    <row r="87" spans="1:16" ht="14.25" customHeight="1">
      <c r="A87">
        <v>211</v>
      </c>
      <c r="B87" s="35" t="s">
        <v>20</v>
      </c>
      <c r="C87" s="37" t="s">
        <v>100</v>
      </c>
      <c r="D87" s="37" t="s">
        <v>155</v>
      </c>
      <c r="E87" s="37" t="s">
        <v>80</v>
      </c>
      <c r="F87" s="37">
        <v>1</v>
      </c>
      <c r="G87" s="37">
        <v>1</v>
      </c>
      <c r="H87" s="86">
        <v>46097</v>
      </c>
      <c r="I87" s="86">
        <v>46097</v>
      </c>
      <c r="J87" s="37" t="s">
        <v>75</v>
      </c>
      <c r="K87" s="38">
        <f t="shared" si="5"/>
        <v>0</v>
      </c>
      <c r="L87" s="39">
        <f t="shared" si="6"/>
        <v>1</v>
      </c>
      <c r="M87" s="40">
        <f t="shared" ca="1" si="7"/>
        <v>-16</v>
      </c>
      <c r="N87">
        <f t="shared" si="8"/>
        <v>12</v>
      </c>
      <c r="O87" t="str">
        <f t="shared" si="9"/>
        <v>Switch</v>
      </c>
    </row>
    <row r="88" spans="1:16" ht="14.25" hidden="1" customHeight="1">
      <c r="A88">
        <v>348</v>
      </c>
      <c r="B88" s="35" t="s">
        <v>21</v>
      </c>
      <c r="C88" s="36" t="s">
        <v>156</v>
      </c>
      <c r="D88" s="37" t="s">
        <v>157</v>
      </c>
      <c r="E88" s="37" t="s">
        <v>118</v>
      </c>
      <c r="F88" s="37">
        <v>1</v>
      </c>
      <c r="G88" s="37">
        <v>2</v>
      </c>
      <c r="H88" s="86">
        <v>46095</v>
      </c>
      <c r="I88" s="86">
        <v>46095</v>
      </c>
      <c r="J88" s="37" t="s">
        <v>75</v>
      </c>
      <c r="K88" s="38">
        <f t="shared" si="5"/>
        <v>-1</v>
      </c>
      <c r="L88" s="39">
        <f t="shared" si="6"/>
        <v>2</v>
      </c>
      <c r="M88" s="40">
        <f t="shared" ca="1" si="7"/>
        <v>-18</v>
      </c>
      <c r="N88">
        <f t="shared" si="8"/>
        <v>11</v>
      </c>
      <c r="O88" t="str">
        <f t="shared" si="9"/>
        <v>Switch</v>
      </c>
      <c r="P88" s="41" t="s">
        <v>158</v>
      </c>
    </row>
    <row r="89" spans="1:16" ht="14.25" customHeight="1">
      <c r="A89">
        <v>210</v>
      </c>
      <c r="B89" s="35" t="s">
        <v>20</v>
      </c>
      <c r="C89" s="37" t="s">
        <v>100</v>
      </c>
      <c r="D89" s="37" t="s">
        <v>155</v>
      </c>
      <c r="E89" s="37" t="s">
        <v>74</v>
      </c>
      <c r="F89" s="37">
        <v>2</v>
      </c>
      <c r="G89" s="37">
        <v>2</v>
      </c>
      <c r="H89" s="86">
        <v>46097</v>
      </c>
      <c r="I89" s="86">
        <v>46097</v>
      </c>
      <c r="J89" s="37" t="s">
        <v>75</v>
      </c>
      <c r="K89" s="38">
        <f t="shared" si="5"/>
        <v>0</v>
      </c>
      <c r="L89" s="39">
        <f t="shared" si="6"/>
        <v>1</v>
      </c>
      <c r="M89" s="40">
        <f t="shared" ca="1" si="7"/>
        <v>-16</v>
      </c>
      <c r="N89">
        <f t="shared" si="8"/>
        <v>12</v>
      </c>
      <c r="O89" t="str">
        <f t="shared" si="9"/>
        <v>Switch</v>
      </c>
    </row>
    <row r="90" spans="1:16" ht="14.25" customHeight="1">
      <c r="A90">
        <v>214</v>
      </c>
      <c r="B90" s="35" t="s">
        <v>20</v>
      </c>
      <c r="C90" s="37" t="s">
        <v>100</v>
      </c>
      <c r="D90" s="37" t="s">
        <v>159</v>
      </c>
      <c r="E90" s="37" t="s">
        <v>80</v>
      </c>
      <c r="F90" s="37">
        <v>1</v>
      </c>
      <c r="G90" s="37">
        <v>1</v>
      </c>
      <c r="H90" s="86">
        <v>46097</v>
      </c>
      <c r="I90" s="86">
        <v>46097</v>
      </c>
      <c r="J90" s="37" t="s">
        <v>75</v>
      </c>
      <c r="K90" s="38">
        <f t="shared" si="5"/>
        <v>0</v>
      </c>
      <c r="L90" s="39">
        <f t="shared" si="6"/>
        <v>1</v>
      </c>
      <c r="M90" s="40">
        <f t="shared" ca="1" si="7"/>
        <v>-16</v>
      </c>
      <c r="N90">
        <f t="shared" si="8"/>
        <v>12</v>
      </c>
      <c r="O90" t="str">
        <f t="shared" si="9"/>
        <v>Switch</v>
      </c>
    </row>
    <row r="91" spans="1:16" ht="14.25" hidden="1" customHeight="1">
      <c r="A91">
        <v>337</v>
      </c>
      <c r="B91" s="37" t="s">
        <v>21</v>
      </c>
      <c r="C91" s="36" t="s">
        <v>160</v>
      </c>
      <c r="D91" s="37" t="s">
        <v>161</v>
      </c>
      <c r="E91" s="37" t="s">
        <v>118</v>
      </c>
      <c r="F91" s="37">
        <v>2</v>
      </c>
      <c r="G91" s="37">
        <v>2</v>
      </c>
      <c r="H91" s="86">
        <v>46082</v>
      </c>
      <c r="I91" s="86">
        <v>46082</v>
      </c>
      <c r="J91" s="37" t="s">
        <v>75</v>
      </c>
      <c r="K91" s="38">
        <f t="shared" si="5"/>
        <v>0</v>
      </c>
      <c r="L91" s="39">
        <f t="shared" si="6"/>
        <v>1</v>
      </c>
      <c r="M91" s="40">
        <f t="shared" ca="1" si="7"/>
        <v>-31</v>
      </c>
      <c r="N91">
        <f t="shared" si="8"/>
        <v>9</v>
      </c>
      <c r="O91" t="str">
        <f t="shared" si="9"/>
        <v>Switch</v>
      </c>
    </row>
    <row r="92" spans="1:16" ht="14.25" customHeight="1">
      <c r="A92">
        <v>213</v>
      </c>
      <c r="B92" s="35" t="s">
        <v>20</v>
      </c>
      <c r="C92" s="37" t="s">
        <v>100</v>
      </c>
      <c r="D92" s="37" t="s">
        <v>159</v>
      </c>
      <c r="E92" s="37" t="s">
        <v>74</v>
      </c>
      <c r="F92" s="37">
        <v>1</v>
      </c>
      <c r="G92" s="37">
        <v>1</v>
      </c>
      <c r="H92" s="86">
        <v>46097</v>
      </c>
      <c r="I92" s="86">
        <v>46097</v>
      </c>
      <c r="J92" s="37" t="s">
        <v>75</v>
      </c>
      <c r="K92" s="38">
        <f t="shared" si="5"/>
        <v>0</v>
      </c>
      <c r="L92" s="39">
        <f t="shared" si="6"/>
        <v>1</v>
      </c>
      <c r="M92" s="40">
        <f t="shared" ca="1" si="7"/>
        <v>-16</v>
      </c>
      <c r="N92">
        <f t="shared" si="8"/>
        <v>12</v>
      </c>
      <c r="O92" t="str">
        <f t="shared" si="9"/>
        <v>Switch</v>
      </c>
    </row>
    <row r="93" spans="1:16" ht="14.25" customHeight="1">
      <c r="A93">
        <v>220</v>
      </c>
      <c r="B93" s="35" t="s">
        <v>20</v>
      </c>
      <c r="C93" s="37" t="s">
        <v>100</v>
      </c>
      <c r="D93" s="37" t="s">
        <v>162</v>
      </c>
      <c r="E93" s="37" t="s">
        <v>80</v>
      </c>
      <c r="F93" s="37">
        <v>1</v>
      </c>
      <c r="G93" s="37">
        <v>1</v>
      </c>
      <c r="H93" s="86">
        <v>46097</v>
      </c>
      <c r="I93" s="86">
        <v>46097</v>
      </c>
      <c r="J93" s="37" t="s">
        <v>75</v>
      </c>
      <c r="K93" s="38">
        <f t="shared" si="5"/>
        <v>0</v>
      </c>
      <c r="L93" s="39">
        <f t="shared" si="6"/>
        <v>1</v>
      </c>
      <c r="M93" s="40">
        <f t="shared" ca="1" si="7"/>
        <v>-16</v>
      </c>
      <c r="N93">
        <f t="shared" si="8"/>
        <v>12</v>
      </c>
      <c r="O93" t="str">
        <f t="shared" si="9"/>
        <v>Switch</v>
      </c>
    </row>
    <row r="94" spans="1:16" ht="14.25" hidden="1" customHeight="1">
      <c r="A94">
        <v>333</v>
      </c>
      <c r="B94" s="35" t="s">
        <v>21</v>
      </c>
      <c r="C94" s="36" t="s">
        <v>163</v>
      </c>
      <c r="D94" s="37" t="s">
        <v>164</v>
      </c>
      <c r="E94" s="37" t="s">
        <v>118</v>
      </c>
      <c r="F94" s="37">
        <v>2</v>
      </c>
      <c r="G94" s="37">
        <v>2</v>
      </c>
      <c r="H94" s="86">
        <v>46081</v>
      </c>
      <c r="I94" s="86">
        <v>46081</v>
      </c>
      <c r="J94" s="37" t="s">
        <v>75</v>
      </c>
      <c r="K94" s="38">
        <f t="shared" si="5"/>
        <v>0</v>
      </c>
      <c r="L94" s="39">
        <f t="shared" si="6"/>
        <v>1</v>
      </c>
      <c r="M94" s="40">
        <f t="shared" ca="1" si="7"/>
        <v>-32</v>
      </c>
      <c r="N94">
        <f t="shared" si="8"/>
        <v>9</v>
      </c>
      <c r="O94" t="str">
        <f t="shared" si="9"/>
        <v>Switch</v>
      </c>
    </row>
    <row r="95" spans="1:16" ht="14.25" customHeight="1">
      <c r="A95">
        <v>219</v>
      </c>
      <c r="B95" s="35" t="s">
        <v>20</v>
      </c>
      <c r="C95" s="37" t="s">
        <v>100</v>
      </c>
      <c r="D95" s="37" t="s">
        <v>162</v>
      </c>
      <c r="E95" s="37" t="s">
        <v>74</v>
      </c>
      <c r="F95" s="37">
        <v>1</v>
      </c>
      <c r="G95" s="37">
        <v>1</v>
      </c>
      <c r="H95" s="86">
        <v>46097</v>
      </c>
      <c r="I95" s="86">
        <v>46097</v>
      </c>
      <c r="J95" s="37" t="s">
        <v>75</v>
      </c>
      <c r="K95" s="38">
        <f t="shared" si="5"/>
        <v>0</v>
      </c>
      <c r="L95" s="39">
        <f t="shared" si="6"/>
        <v>1</v>
      </c>
      <c r="M95" s="40">
        <f t="shared" ca="1" si="7"/>
        <v>-16</v>
      </c>
      <c r="N95">
        <f t="shared" si="8"/>
        <v>12</v>
      </c>
      <c r="O95" t="str">
        <f t="shared" si="9"/>
        <v>Switch</v>
      </c>
    </row>
    <row r="96" spans="1:16" ht="14.25" customHeight="1">
      <c r="A96">
        <v>223</v>
      </c>
      <c r="B96" s="35" t="s">
        <v>20</v>
      </c>
      <c r="C96" s="37" t="s">
        <v>100</v>
      </c>
      <c r="D96" s="37" t="s">
        <v>165</v>
      </c>
      <c r="E96" s="37" t="s">
        <v>80</v>
      </c>
      <c r="F96" s="37">
        <v>2</v>
      </c>
      <c r="G96" s="37">
        <v>2</v>
      </c>
      <c r="H96" s="86">
        <v>46097</v>
      </c>
      <c r="I96" s="86">
        <v>46097</v>
      </c>
      <c r="J96" s="37" t="s">
        <v>75</v>
      </c>
      <c r="K96" s="38">
        <f t="shared" si="5"/>
        <v>0</v>
      </c>
      <c r="L96" s="39">
        <f t="shared" si="6"/>
        <v>1</v>
      </c>
      <c r="M96" s="40">
        <f t="shared" ca="1" si="7"/>
        <v>-16</v>
      </c>
      <c r="N96">
        <f t="shared" si="8"/>
        <v>12</v>
      </c>
      <c r="O96" t="str">
        <f t="shared" si="9"/>
        <v>Switch</v>
      </c>
    </row>
    <row r="97" spans="1:16" ht="14.25" hidden="1" customHeight="1">
      <c r="A97">
        <v>339</v>
      </c>
      <c r="B97" s="35" t="s">
        <v>21</v>
      </c>
      <c r="C97" s="36" t="s">
        <v>166</v>
      </c>
      <c r="D97" s="37" t="s">
        <v>167</v>
      </c>
      <c r="E97" s="37" t="s">
        <v>118</v>
      </c>
      <c r="F97" s="37">
        <v>2</v>
      </c>
      <c r="G97" s="37">
        <v>2</v>
      </c>
      <c r="H97" s="86">
        <v>46084</v>
      </c>
      <c r="I97" s="86">
        <v>46084</v>
      </c>
      <c r="J97" s="37" t="s">
        <v>75</v>
      </c>
      <c r="K97" s="38">
        <f t="shared" si="5"/>
        <v>0</v>
      </c>
      <c r="L97" s="39">
        <f t="shared" si="6"/>
        <v>1</v>
      </c>
      <c r="M97" s="40">
        <f t="shared" ca="1" si="7"/>
        <v>-29</v>
      </c>
      <c r="N97">
        <f t="shared" si="8"/>
        <v>10</v>
      </c>
      <c r="O97" t="str">
        <f t="shared" si="9"/>
        <v>Switch</v>
      </c>
    </row>
    <row r="98" spans="1:16" ht="14.25" customHeight="1">
      <c r="A98">
        <v>222</v>
      </c>
      <c r="B98" s="35" t="s">
        <v>20</v>
      </c>
      <c r="C98" s="37" t="s">
        <v>100</v>
      </c>
      <c r="D98" s="37" t="s">
        <v>165</v>
      </c>
      <c r="E98" s="37" t="s">
        <v>74</v>
      </c>
      <c r="F98" s="37">
        <v>1</v>
      </c>
      <c r="G98" s="37">
        <v>1</v>
      </c>
      <c r="H98" s="86">
        <v>46097</v>
      </c>
      <c r="I98" s="86">
        <v>46097</v>
      </c>
      <c r="J98" s="37" t="s">
        <v>75</v>
      </c>
      <c r="K98" s="38">
        <f t="shared" si="5"/>
        <v>0</v>
      </c>
      <c r="L98" s="39">
        <f t="shared" si="6"/>
        <v>1</v>
      </c>
      <c r="M98" s="40">
        <f t="shared" ca="1" si="7"/>
        <v>-16</v>
      </c>
      <c r="N98">
        <f t="shared" si="8"/>
        <v>12</v>
      </c>
      <c r="O98" t="str">
        <f t="shared" si="9"/>
        <v>Switch</v>
      </c>
    </row>
    <row r="99" spans="1:16" ht="14.25" customHeight="1">
      <c r="A99">
        <v>362</v>
      </c>
      <c r="B99" s="35" t="s">
        <v>21</v>
      </c>
      <c r="C99" s="36" t="s">
        <v>168</v>
      </c>
      <c r="D99" s="37" t="s">
        <v>169</v>
      </c>
      <c r="E99" s="37" t="s">
        <v>74</v>
      </c>
      <c r="F99" s="37">
        <v>1</v>
      </c>
      <c r="G99" s="37">
        <v>1</v>
      </c>
      <c r="H99" s="86">
        <v>46095</v>
      </c>
      <c r="I99" s="86">
        <v>46095</v>
      </c>
      <c r="J99" s="37" t="s">
        <v>75</v>
      </c>
      <c r="K99" s="38">
        <f t="shared" si="5"/>
        <v>0</v>
      </c>
      <c r="L99" s="39">
        <f t="shared" si="6"/>
        <v>1</v>
      </c>
      <c r="M99" s="40">
        <f t="shared" ca="1" si="7"/>
        <v>-18</v>
      </c>
      <c r="N99">
        <f t="shared" si="8"/>
        <v>11</v>
      </c>
      <c r="O99" t="str">
        <f t="shared" si="9"/>
        <v>Switch</v>
      </c>
      <c r="P99" s="41" t="s">
        <v>170</v>
      </c>
    </row>
    <row r="100" spans="1:16" ht="14.25" customHeight="1">
      <c r="A100">
        <v>300</v>
      </c>
      <c r="B100" s="35" t="s">
        <v>21</v>
      </c>
      <c r="C100" s="36" t="s">
        <v>152</v>
      </c>
      <c r="D100" s="37" t="s">
        <v>171</v>
      </c>
      <c r="E100" s="37" t="s">
        <v>80</v>
      </c>
      <c r="F100" s="37">
        <v>2</v>
      </c>
      <c r="G100" s="37">
        <v>2</v>
      </c>
      <c r="H100" s="86">
        <v>46095</v>
      </c>
      <c r="I100" s="86">
        <v>46095</v>
      </c>
      <c r="J100" s="37" t="s">
        <v>75</v>
      </c>
      <c r="K100" s="38">
        <f t="shared" si="5"/>
        <v>0</v>
      </c>
      <c r="L100" s="39">
        <f t="shared" si="6"/>
        <v>1</v>
      </c>
      <c r="M100" s="40">
        <f t="shared" ca="1" si="7"/>
        <v>-18</v>
      </c>
      <c r="N100">
        <f t="shared" si="8"/>
        <v>11</v>
      </c>
      <c r="O100" t="str">
        <f t="shared" si="9"/>
        <v>Switch</v>
      </c>
    </row>
    <row r="101" spans="1:16" ht="14.25" customHeight="1">
      <c r="A101">
        <v>299</v>
      </c>
      <c r="B101" s="35" t="s">
        <v>21</v>
      </c>
      <c r="C101" s="36" t="s">
        <v>152</v>
      </c>
      <c r="D101" s="37" t="s">
        <v>171</v>
      </c>
      <c r="E101" s="37" t="s">
        <v>74</v>
      </c>
      <c r="F101" s="37">
        <v>4</v>
      </c>
      <c r="G101" s="37">
        <v>4</v>
      </c>
      <c r="H101" s="86">
        <v>46095</v>
      </c>
      <c r="I101" s="86">
        <v>46095</v>
      </c>
      <c r="J101" s="37" t="s">
        <v>75</v>
      </c>
      <c r="K101" s="38">
        <f t="shared" si="5"/>
        <v>0</v>
      </c>
      <c r="L101" s="39">
        <f t="shared" si="6"/>
        <v>1</v>
      </c>
      <c r="M101" s="40">
        <f t="shared" ca="1" si="7"/>
        <v>-18</v>
      </c>
      <c r="N101">
        <f t="shared" si="8"/>
        <v>11</v>
      </c>
      <c r="O101" t="str">
        <f t="shared" si="9"/>
        <v>Switch</v>
      </c>
    </row>
    <row r="102" spans="1:16" ht="14.25" customHeight="1">
      <c r="A102">
        <v>302</v>
      </c>
      <c r="B102" s="35" t="s">
        <v>21</v>
      </c>
      <c r="C102" s="36" t="s">
        <v>152</v>
      </c>
      <c r="D102" s="37" t="s">
        <v>172</v>
      </c>
      <c r="E102" s="37" t="s">
        <v>80</v>
      </c>
      <c r="F102" s="37">
        <v>4</v>
      </c>
      <c r="G102" s="37">
        <v>4</v>
      </c>
      <c r="H102" s="86">
        <v>46095</v>
      </c>
      <c r="I102" s="86">
        <v>46095</v>
      </c>
      <c r="J102" s="37" t="s">
        <v>75</v>
      </c>
      <c r="K102" s="38">
        <f t="shared" si="5"/>
        <v>0</v>
      </c>
      <c r="L102" s="39">
        <f t="shared" si="6"/>
        <v>1</v>
      </c>
      <c r="M102" s="40">
        <f t="shared" ca="1" si="7"/>
        <v>-18</v>
      </c>
      <c r="N102">
        <f t="shared" si="8"/>
        <v>11</v>
      </c>
      <c r="O102" t="str">
        <f t="shared" si="9"/>
        <v>Switch</v>
      </c>
    </row>
    <row r="103" spans="1:16" ht="14.25" customHeight="1">
      <c r="A103">
        <v>301</v>
      </c>
      <c r="B103" s="35" t="s">
        <v>21</v>
      </c>
      <c r="C103" s="36" t="s">
        <v>152</v>
      </c>
      <c r="D103" s="37" t="s">
        <v>172</v>
      </c>
      <c r="E103" s="37" t="s">
        <v>74</v>
      </c>
      <c r="F103" s="37">
        <v>8</v>
      </c>
      <c r="G103" s="37">
        <v>8</v>
      </c>
      <c r="H103" s="86">
        <v>46095</v>
      </c>
      <c r="I103" s="86">
        <v>46095</v>
      </c>
      <c r="J103" s="37" t="s">
        <v>75</v>
      </c>
      <c r="K103" s="38">
        <f t="shared" si="5"/>
        <v>0</v>
      </c>
      <c r="L103" s="39">
        <f t="shared" si="6"/>
        <v>1</v>
      </c>
      <c r="M103" s="40">
        <f t="shared" ca="1" si="7"/>
        <v>-18</v>
      </c>
      <c r="N103">
        <f t="shared" si="8"/>
        <v>11</v>
      </c>
      <c r="O103" t="str">
        <f t="shared" si="9"/>
        <v>Switch</v>
      </c>
    </row>
    <row r="104" spans="1:16" ht="14.25" customHeight="1">
      <c r="A104">
        <v>304</v>
      </c>
      <c r="B104" s="35" t="s">
        <v>21</v>
      </c>
      <c r="C104" s="36" t="s">
        <v>152</v>
      </c>
      <c r="D104" s="37" t="s">
        <v>173</v>
      </c>
      <c r="E104" s="37" t="s">
        <v>80</v>
      </c>
      <c r="F104" s="37">
        <v>2</v>
      </c>
      <c r="G104" s="37">
        <v>2</v>
      </c>
      <c r="H104" s="86">
        <v>46095</v>
      </c>
      <c r="I104" s="86">
        <v>46095</v>
      </c>
      <c r="J104" s="37" t="s">
        <v>75</v>
      </c>
      <c r="K104" s="38">
        <f t="shared" si="5"/>
        <v>0</v>
      </c>
      <c r="L104" s="39">
        <f t="shared" si="6"/>
        <v>1</v>
      </c>
      <c r="M104" s="40">
        <f t="shared" ca="1" si="7"/>
        <v>-18</v>
      </c>
      <c r="N104">
        <f t="shared" si="8"/>
        <v>11</v>
      </c>
      <c r="O104" t="str">
        <f t="shared" si="9"/>
        <v>Switch</v>
      </c>
    </row>
    <row r="105" spans="1:16" ht="14.25" hidden="1" customHeight="1">
      <c r="A105">
        <v>328</v>
      </c>
      <c r="B105" s="35" t="s">
        <v>21</v>
      </c>
      <c r="C105" s="36" t="s">
        <v>174</v>
      </c>
      <c r="D105" s="37" t="s">
        <v>125</v>
      </c>
      <c r="E105" s="37" t="s">
        <v>83</v>
      </c>
      <c r="F105" s="37">
        <v>2</v>
      </c>
      <c r="G105" s="37">
        <v>2</v>
      </c>
      <c r="H105" s="86">
        <v>46063</v>
      </c>
      <c r="I105" s="86">
        <v>46063</v>
      </c>
      <c r="J105" s="37" t="s">
        <v>75</v>
      </c>
      <c r="K105" s="38">
        <f t="shared" si="5"/>
        <v>0</v>
      </c>
      <c r="L105" s="39">
        <f t="shared" si="6"/>
        <v>1</v>
      </c>
      <c r="M105" s="40">
        <f t="shared" ca="1" si="7"/>
        <v>-50</v>
      </c>
      <c r="N105">
        <f t="shared" si="8"/>
        <v>7</v>
      </c>
      <c r="O105" t="str">
        <f t="shared" si="9"/>
        <v>Infra</v>
      </c>
      <c r="P105" s="43" t="s">
        <v>175</v>
      </c>
    </row>
    <row r="106" spans="1:16" ht="14.25" hidden="1" customHeight="1">
      <c r="A106">
        <v>327</v>
      </c>
      <c r="B106" s="35" t="s">
        <v>21</v>
      </c>
      <c r="C106" s="36" t="s">
        <v>174</v>
      </c>
      <c r="D106" s="37" t="s">
        <v>125</v>
      </c>
      <c r="E106" s="37" t="s">
        <v>176</v>
      </c>
      <c r="F106" s="37">
        <v>2</v>
      </c>
      <c r="G106" s="37">
        <v>2</v>
      </c>
      <c r="H106" s="86">
        <v>46063</v>
      </c>
      <c r="I106" s="86">
        <v>46063</v>
      </c>
      <c r="J106" s="37" t="s">
        <v>75</v>
      </c>
      <c r="K106" s="38">
        <f t="shared" si="5"/>
        <v>0</v>
      </c>
      <c r="L106" s="39">
        <f t="shared" si="6"/>
        <v>1</v>
      </c>
      <c r="M106" s="40">
        <f t="shared" ca="1" si="7"/>
        <v>-50</v>
      </c>
      <c r="N106">
        <f t="shared" si="8"/>
        <v>7</v>
      </c>
      <c r="O106" t="str">
        <f t="shared" si="9"/>
        <v>Switch</v>
      </c>
    </row>
    <row r="107" spans="1:16" ht="14.25" hidden="1" customHeight="1">
      <c r="A107">
        <v>326</v>
      </c>
      <c r="B107" s="35" t="s">
        <v>21</v>
      </c>
      <c r="C107" s="36" t="s">
        <v>174</v>
      </c>
      <c r="D107" s="37" t="s">
        <v>125</v>
      </c>
      <c r="E107" s="37" t="s">
        <v>118</v>
      </c>
      <c r="F107" s="37">
        <v>2</v>
      </c>
      <c r="G107" s="37">
        <v>2</v>
      </c>
      <c r="H107" s="86">
        <v>46084</v>
      </c>
      <c r="I107" s="86">
        <v>46084</v>
      </c>
      <c r="J107" s="37" t="s">
        <v>75</v>
      </c>
      <c r="K107" s="38">
        <f t="shared" si="5"/>
        <v>0</v>
      </c>
      <c r="L107" s="39">
        <f t="shared" si="6"/>
        <v>1</v>
      </c>
      <c r="M107" s="40">
        <f t="shared" ca="1" si="7"/>
        <v>-29</v>
      </c>
      <c r="N107">
        <f t="shared" si="8"/>
        <v>10</v>
      </c>
      <c r="O107" t="str">
        <f t="shared" si="9"/>
        <v>Switch</v>
      </c>
    </row>
    <row r="108" spans="1:16" ht="14.25" customHeight="1">
      <c r="A108">
        <v>305</v>
      </c>
      <c r="B108" s="35" t="s">
        <v>21</v>
      </c>
      <c r="C108" s="36" t="s">
        <v>152</v>
      </c>
      <c r="D108" s="37" t="s">
        <v>177</v>
      </c>
      <c r="E108" s="37" t="s">
        <v>74</v>
      </c>
      <c r="F108" s="37">
        <v>4</v>
      </c>
      <c r="G108" s="37">
        <v>4</v>
      </c>
      <c r="H108" s="86">
        <v>46095</v>
      </c>
      <c r="I108" s="86">
        <v>46095</v>
      </c>
      <c r="J108" s="37" t="s">
        <v>75</v>
      </c>
      <c r="K108" s="38">
        <f t="shared" si="5"/>
        <v>0</v>
      </c>
      <c r="L108" s="39">
        <f t="shared" si="6"/>
        <v>1</v>
      </c>
      <c r="M108" s="40">
        <f t="shared" ca="1" si="7"/>
        <v>-18</v>
      </c>
      <c r="N108">
        <f t="shared" si="8"/>
        <v>11</v>
      </c>
      <c r="O108" t="str">
        <f t="shared" si="9"/>
        <v>Switch</v>
      </c>
    </row>
    <row r="109" spans="1:16" ht="14.25" customHeight="1">
      <c r="A109">
        <v>306</v>
      </c>
      <c r="B109" s="35" t="s">
        <v>21</v>
      </c>
      <c r="C109" s="36" t="s">
        <v>152</v>
      </c>
      <c r="D109" s="37" t="s">
        <v>178</v>
      </c>
      <c r="E109" s="37" t="s">
        <v>74</v>
      </c>
      <c r="F109" s="37">
        <v>1</v>
      </c>
      <c r="G109" s="37">
        <v>1</v>
      </c>
      <c r="H109" s="86">
        <v>46095</v>
      </c>
      <c r="I109" s="86">
        <v>46095</v>
      </c>
      <c r="J109" s="37" t="s">
        <v>75</v>
      </c>
      <c r="K109" s="38">
        <f t="shared" si="5"/>
        <v>0</v>
      </c>
      <c r="L109" s="39">
        <f t="shared" si="6"/>
        <v>1</v>
      </c>
      <c r="M109" s="40">
        <f t="shared" ca="1" si="7"/>
        <v>-18</v>
      </c>
      <c r="N109">
        <f t="shared" si="8"/>
        <v>11</v>
      </c>
      <c r="O109" t="str">
        <f t="shared" si="9"/>
        <v>Switch</v>
      </c>
    </row>
    <row r="110" spans="1:16" ht="14.25" customHeight="1">
      <c r="A110">
        <v>308</v>
      </c>
      <c r="B110" s="35" t="s">
        <v>21</v>
      </c>
      <c r="C110" s="36" t="s">
        <v>152</v>
      </c>
      <c r="D110" s="37" t="s">
        <v>153</v>
      </c>
      <c r="E110" s="37" t="s">
        <v>80</v>
      </c>
      <c r="F110" s="37">
        <v>1</v>
      </c>
      <c r="G110" s="37">
        <v>1</v>
      </c>
      <c r="H110" s="86">
        <v>46095</v>
      </c>
      <c r="I110" s="86">
        <v>46095</v>
      </c>
      <c r="J110" s="37" t="s">
        <v>75</v>
      </c>
      <c r="K110" s="38">
        <f t="shared" si="5"/>
        <v>0</v>
      </c>
      <c r="L110" s="39">
        <f t="shared" si="6"/>
        <v>1</v>
      </c>
      <c r="M110" s="40">
        <f t="shared" ca="1" si="7"/>
        <v>-18</v>
      </c>
      <c r="N110">
        <f t="shared" si="8"/>
        <v>11</v>
      </c>
      <c r="O110" t="str">
        <f t="shared" si="9"/>
        <v>Switch</v>
      </c>
    </row>
    <row r="111" spans="1:16" ht="14.25" customHeight="1">
      <c r="A111">
        <v>307</v>
      </c>
      <c r="B111" s="35" t="s">
        <v>21</v>
      </c>
      <c r="C111" s="36" t="s">
        <v>152</v>
      </c>
      <c r="D111" s="37" t="s">
        <v>153</v>
      </c>
      <c r="E111" s="37" t="s">
        <v>74</v>
      </c>
      <c r="F111" s="37">
        <v>7</v>
      </c>
      <c r="G111" s="37">
        <v>7</v>
      </c>
      <c r="H111" s="86">
        <v>46095</v>
      </c>
      <c r="I111" s="86">
        <v>46095</v>
      </c>
      <c r="J111" s="37" t="s">
        <v>75</v>
      </c>
      <c r="K111" s="38">
        <f t="shared" si="5"/>
        <v>0</v>
      </c>
      <c r="L111" s="39">
        <f t="shared" si="6"/>
        <v>1</v>
      </c>
      <c r="M111" s="40">
        <f t="shared" ca="1" si="7"/>
        <v>-18</v>
      </c>
      <c r="N111">
        <f t="shared" si="8"/>
        <v>11</v>
      </c>
      <c r="O111" t="str">
        <f t="shared" si="9"/>
        <v>Switch</v>
      </c>
    </row>
    <row r="112" spans="1:16" ht="14.25" customHeight="1">
      <c r="A112">
        <v>347</v>
      </c>
      <c r="B112" s="35" t="s">
        <v>21</v>
      </c>
      <c r="C112" s="36" t="s">
        <v>156</v>
      </c>
      <c r="D112" s="37" t="s">
        <v>157</v>
      </c>
      <c r="E112" s="37" t="s">
        <v>74</v>
      </c>
      <c r="F112" s="37">
        <v>2</v>
      </c>
      <c r="G112" s="37">
        <v>2</v>
      </c>
      <c r="H112" s="86">
        <v>46095</v>
      </c>
      <c r="I112" s="86">
        <v>46095</v>
      </c>
      <c r="J112" s="37" t="s">
        <v>75</v>
      </c>
      <c r="K112" s="38">
        <f t="shared" si="5"/>
        <v>0</v>
      </c>
      <c r="L112" s="39">
        <f t="shared" si="6"/>
        <v>1</v>
      </c>
      <c r="M112" s="40">
        <f t="shared" ca="1" si="7"/>
        <v>-18</v>
      </c>
      <c r="N112">
        <f t="shared" si="8"/>
        <v>11</v>
      </c>
      <c r="O112" t="str">
        <f t="shared" si="9"/>
        <v>Switch</v>
      </c>
      <c r="P112" s="41" t="s">
        <v>179</v>
      </c>
    </row>
    <row r="113" spans="1:16" ht="14.25" customHeight="1">
      <c r="A113">
        <v>351</v>
      </c>
      <c r="B113" s="35" t="s">
        <v>21</v>
      </c>
      <c r="C113" s="36" t="s">
        <v>180</v>
      </c>
      <c r="D113" s="37" t="s">
        <v>181</v>
      </c>
      <c r="E113" s="37" t="s">
        <v>74</v>
      </c>
      <c r="F113" s="37">
        <v>2</v>
      </c>
      <c r="G113" s="37">
        <v>2</v>
      </c>
      <c r="H113" s="86">
        <v>46095</v>
      </c>
      <c r="I113" s="86">
        <v>46095</v>
      </c>
      <c r="J113" s="37" t="s">
        <v>75</v>
      </c>
      <c r="K113" s="38">
        <f t="shared" si="5"/>
        <v>0</v>
      </c>
      <c r="L113" s="39">
        <f t="shared" si="6"/>
        <v>1</v>
      </c>
      <c r="M113" s="40">
        <f t="shared" ca="1" si="7"/>
        <v>-18</v>
      </c>
      <c r="N113">
        <f t="shared" si="8"/>
        <v>11</v>
      </c>
      <c r="O113" t="str">
        <f t="shared" si="9"/>
        <v>Switch</v>
      </c>
    </row>
    <row r="114" spans="1:16" ht="14.25" customHeight="1">
      <c r="A114">
        <v>370</v>
      </c>
      <c r="B114" s="35" t="s">
        <v>21</v>
      </c>
      <c r="C114" s="36" t="s">
        <v>182</v>
      </c>
      <c r="D114" s="37" t="s">
        <v>183</v>
      </c>
      <c r="E114" s="37" t="s">
        <v>74</v>
      </c>
      <c r="F114" s="37">
        <v>1</v>
      </c>
      <c r="G114" s="37">
        <v>1</v>
      </c>
      <c r="H114" s="86">
        <v>46095</v>
      </c>
      <c r="I114" s="86">
        <v>46095</v>
      </c>
      <c r="J114" s="37" t="s">
        <v>75</v>
      </c>
      <c r="K114" s="38">
        <f t="shared" si="5"/>
        <v>0</v>
      </c>
      <c r="L114" s="39">
        <f t="shared" si="6"/>
        <v>1</v>
      </c>
      <c r="M114" s="40">
        <f t="shared" ca="1" si="7"/>
        <v>-18</v>
      </c>
      <c r="N114">
        <f t="shared" si="8"/>
        <v>11</v>
      </c>
      <c r="O114" t="str">
        <f t="shared" si="9"/>
        <v>Switch</v>
      </c>
    </row>
    <row r="115" spans="1:16" ht="14.25" customHeight="1">
      <c r="A115">
        <v>360</v>
      </c>
      <c r="B115" s="35" t="s">
        <v>21</v>
      </c>
      <c r="C115" s="36" t="s">
        <v>184</v>
      </c>
      <c r="D115" s="37" t="s">
        <v>185</v>
      </c>
      <c r="E115" s="37" t="s">
        <v>74</v>
      </c>
      <c r="F115" s="37">
        <v>1</v>
      </c>
      <c r="G115" s="37">
        <v>1</v>
      </c>
      <c r="H115" s="86">
        <v>46095</v>
      </c>
      <c r="I115" s="86">
        <v>46095</v>
      </c>
      <c r="J115" s="37" t="s">
        <v>75</v>
      </c>
      <c r="K115" s="38">
        <f t="shared" si="5"/>
        <v>0</v>
      </c>
      <c r="L115" s="39">
        <f t="shared" si="6"/>
        <v>1</v>
      </c>
      <c r="M115" s="40">
        <f t="shared" ca="1" si="7"/>
        <v>-18</v>
      </c>
      <c r="N115">
        <f t="shared" si="8"/>
        <v>11</v>
      </c>
      <c r="O115" t="str">
        <f t="shared" si="9"/>
        <v>Switch</v>
      </c>
    </row>
    <row r="116" spans="1:16" ht="14.25" customHeight="1">
      <c r="A116">
        <v>133</v>
      </c>
      <c r="B116" s="35" t="s">
        <v>20</v>
      </c>
      <c r="C116" s="37" t="s">
        <v>93</v>
      </c>
      <c r="D116" s="37" t="s">
        <v>186</v>
      </c>
      <c r="E116" s="37" t="s">
        <v>80</v>
      </c>
      <c r="F116" s="37">
        <v>1</v>
      </c>
      <c r="G116" s="37">
        <v>1</v>
      </c>
      <c r="H116" s="86">
        <v>46093</v>
      </c>
      <c r="I116" s="86">
        <v>46093</v>
      </c>
      <c r="J116" s="37" t="s">
        <v>75</v>
      </c>
      <c r="K116" s="38">
        <f t="shared" si="5"/>
        <v>0</v>
      </c>
      <c r="L116" s="39">
        <f t="shared" si="6"/>
        <v>1</v>
      </c>
      <c r="M116" s="40">
        <f t="shared" ca="1" si="7"/>
        <v>-20</v>
      </c>
      <c r="N116">
        <f t="shared" si="8"/>
        <v>11</v>
      </c>
      <c r="O116" t="str">
        <f t="shared" si="9"/>
        <v>Switch</v>
      </c>
    </row>
    <row r="117" spans="1:16" ht="14.25" customHeight="1">
      <c r="A117">
        <v>132</v>
      </c>
      <c r="B117" s="35" t="s">
        <v>20</v>
      </c>
      <c r="C117" s="37" t="s">
        <v>93</v>
      </c>
      <c r="D117" s="37" t="s">
        <v>186</v>
      </c>
      <c r="E117" s="37" t="s">
        <v>74</v>
      </c>
      <c r="F117" s="37">
        <v>1</v>
      </c>
      <c r="G117" s="37">
        <v>1</v>
      </c>
      <c r="H117" s="86">
        <v>46093</v>
      </c>
      <c r="I117" s="86">
        <v>46093</v>
      </c>
      <c r="J117" s="37" t="s">
        <v>75</v>
      </c>
      <c r="K117" s="38">
        <f t="shared" si="5"/>
        <v>0</v>
      </c>
      <c r="L117" s="39">
        <f t="shared" si="6"/>
        <v>1</v>
      </c>
      <c r="M117" s="40">
        <f t="shared" ca="1" si="7"/>
        <v>-20</v>
      </c>
      <c r="N117">
        <f t="shared" si="8"/>
        <v>11</v>
      </c>
      <c r="O117" t="str">
        <f t="shared" si="9"/>
        <v>Switch</v>
      </c>
    </row>
    <row r="118" spans="1:16" ht="14.25" hidden="1" customHeight="1">
      <c r="A118">
        <v>358</v>
      </c>
      <c r="B118" s="35" t="s">
        <v>21</v>
      </c>
      <c r="C118" s="36" t="s">
        <v>187</v>
      </c>
      <c r="D118" s="37" t="s">
        <v>153</v>
      </c>
      <c r="E118" s="37" t="s">
        <v>154</v>
      </c>
      <c r="F118" s="37">
        <v>2</v>
      </c>
      <c r="G118" s="37"/>
      <c r="H118" s="86"/>
      <c r="I118" s="86">
        <v>46104</v>
      </c>
      <c r="J118" s="37" t="s">
        <v>4</v>
      </c>
      <c r="K118" s="38">
        <f t="shared" si="5"/>
        <v>2</v>
      </c>
      <c r="L118" s="39">
        <f t="shared" si="6"/>
        <v>0</v>
      </c>
      <c r="M118" s="40">
        <f t="shared" ca="1" si="7"/>
        <v>-9</v>
      </c>
      <c r="N118">
        <f t="shared" si="8"/>
        <v>13</v>
      </c>
      <c r="O118" t="str">
        <f t="shared" si="9"/>
        <v>Infra</v>
      </c>
    </row>
    <row r="119" spans="1:16" ht="14.25" hidden="1" customHeight="1">
      <c r="A119">
        <v>189</v>
      </c>
      <c r="B119" s="35" t="s">
        <v>20</v>
      </c>
      <c r="C119" s="37" t="s">
        <v>103</v>
      </c>
      <c r="D119" s="37" t="s">
        <v>77</v>
      </c>
      <c r="E119" s="37" t="s">
        <v>78</v>
      </c>
      <c r="F119" s="37">
        <v>19</v>
      </c>
      <c r="G119" s="37"/>
      <c r="H119" s="86"/>
      <c r="I119" s="86">
        <v>46113</v>
      </c>
      <c r="J119" s="37" t="s">
        <v>4</v>
      </c>
      <c r="K119" s="38">
        <f t="shared" si="5"/>
        <v>19</v>
      </c>
      <c r="L119" s="39">
        <f t="shared" si="6"/>
        <v>0</v>
      </c>
      <c r="M119" s="40">
        <f t="shared" ca="1" si="7"/>
        <v>0</v>
      </c>
      <c r="N119">
        <f t="shared" si="8"/>
        <v>14</v>
      </c>
      <c r="O119" t="str">
        <f t="shared" si="9"/>
        <v>AP</v>
      </c>
    </row>
    <row r="120" spans="1:16" ht="14.25" customHeight="1">
      <c r="A120">
        <v>136</v>
      </c>
      <c r="B120" s="35" t="s">
        <v>20</v>
      </c>
      <c r="C120" s="37" t="s">
        <v>93</v>
      </c>
      <c r="D120" s="37" t="s">
        <v>188</v>
      </c>
      <c r="E120" s="37" t="s">
        <v>80</v>
      </c>
      <c r="F120" s="37">
        <v>1</v>
      </c>
      <c r="G120" s="37">
        <v>1</v>
      </c>
      <c r="H120" s="86">
        <v>46093</v>
      </c>
      <c r="I120" s="86">
        <v>46093</v>
      </c>
      <c r="J120" s="37" t="s">
        <v>75</v>
      </c>
      <c r="K120" s="38">
        <f t="shared" si="5"/>
        <v>0</v>
      </c>
      <c r="L120" s="39">
        <f t="shared" si="6"/>
        <v>1</v>
      </c>
      <c r="M120" s="40">
        <f t="shared" ca="1" si="7"/>
        <v>-20</v>
      </c>
      <c r="N120">
        <f t="shared" si="8"/>
        <v>11</v>
      </c>
      <c r="O120" t="str">
        <f t="shared" si="9"/>
        <v>Switch</v>
      </c>
    </row>
    <row r="121" spans="1:16" ht="14.25" customHeight="1">
      <c r="A121">
        <v>135</v>
      </c>
      <c r="B121" s="35" t="s">
        <v>20</v>
      </c>
      <c r="C121" s="37" t="s">
        <v>93</v>
      </c>
      <c r="D121" s="37" t="s">
        <v>188</v>
      </c>
      <c r="E121" s="37" t="s">
        <v>74</v>
      </c>
      <c r="F121" s="37">
        <v>1</v>
      </c>
      <c r="G121" s="37">
        <v>1</v>
      </c>
      <c r="H121" s="86">
        <v>46093</v>
      </c>
      <c r="I121" s="86">
        <v>46093</v>
      </c>
      <c r="J121" s="37" t="s">
        <v>75</v>
      </c>
      <c r="K121" s="38">
        <f t="shared" si="5"/>
        <v>0</v>
      </c>
      <c r="L121" s="39">
        <f t="shared" si="6"/>
        <v>1</v>
      </c>
      <c r="M121" s="40">
        <f t="shared" ca="1" si="7"/>
        <v>-20</v>
      </c>
      <c r="N121">
        <f t="shared" si="8"/>
        <v>11</v>
      </c>
      <c r="O121" t="str">
        <f t="shared" si="9"/>
        <v>Switch</v>
      </c>
    </row>
    <row r="122" spans="1:16" ht="14.25" customHeight="1">
      <c r="A122">
        <v>141</v>
      </c>
      <c r="B122" s="35" t="s">
        <v>20</v>
      </c>
      <c r="C122" s="37" t="s">
        <v>93</v>
      </c>
      <c r="D122" s="37" t="s">
        <v>189</v>
      </c>
      <c r="E122" s="37" t="s">
        <v>80</v>
      </c>
      <c r="F122" s="37">
        <v>1</v>
      </c>
      <c r="G122" s="37">
        <v>1</v>
      </c>
      <c r="H122" s="86">
        <v>46093</v>
      </c>
      <c r="I122" s="86">
        <v>46093</v>
      </c>
      <c r="J122" s="37" t="s">
        <v>75</v>
      </c>
      <c r="K122" s="38">
        <f t="shared" si="5"/>
        <v>0</v>
      </c>
      <c r="L122" s="39">
        <f t="shared" si="6"/>
        <v>1</v>
      </c>
      <c r="M122" s="40">
        <f t="shared" ca="1" si="7"/>
        <v>-20</v>
      </c>
      <c r="N122">
        <f t="shared" si="8"/>
        <v>11</v>
      </c>
      <c r="O122" t="str">
        <f t="shared" si="9"/>
        <v>Switch</v>
      </c>
    </row>
    <row r="123" spans="1:16" ht="14.25" customHeight="1">
      <c r="A123">
        <v>140</v>
      </c>
      <c r="B123" s="35" t="s">
        <v>20</v>
      </c>
      <c r="C123" s="37" t="s">
        <v>93</v>
      </c>
      <c r="D123" s="37" t="s">
        <v>189</v>
      </c>
      <c r="E123" s="37" t="s">
        <v>74</v>
      </c>
      <c r="F123" s="37">
        <v>1</v>
      </c>
      <c r="G123" s="37">
        <v>1</v>
      </c>
      <c r="H123" s="86">
        <v>46093</v>
      </c>
      <c r="I123" s="86">
        <v>46093</v>
      </c>
      <c r="J123" s="37" t="s">
        <v>75</v>
      </c>
      <c r="K123" s="38">
        <f t="shared" si="5"/>
        <v>0</v>
      </c>
      <c r="L123" s="39">
        <f t="shared" si="6"/>
        <v>1</v>
      </c>
      <c r="M123" s="40">
        <f t="shared" ca="1" si="7"/>
        <v>-20</v>
      </c>
      <c r="N123">
        <f t="shared" si="8"/>
        <v>11</v>
      </c>
      <c r="O123" t="str">
        <f t="shared" si="9"/>
        <v>Switch</v>
      </c>
    </row>
    <row r="124" spans="1:16" ht="14.25" customHeight="1">
      <c r="A124">
        <v>144</v>
      </c>
      <c r="B124" s="35" t="s">
        <v>20</v>
      </c>
      <c r="C124" s="37" t="s">
        <v>93</v>
      </c>
      <c r="D124" s="37" t="s">
        <v>190</v>
      </c>
      <c r="E124" s="37" t="s">
        <v>80</v>
      </c>
      <c r="F124" s="37">
        <v>1</v>
      </c>
      <c r="G124" s="37">
        <v>1</v>
      </c>
      <c r="H124" s="86">
        <v>46093</v>
      </c>
      <c r="I124" s="86">
        <v>46093</v>
      </c>
      <c r="J124" s="37" t="s">
        <v>75</v>
      </c>
      <c r="K124" s="38">
        <f t="shared" si="5"/>
        <v>0</v>
      </c>
      <c r="L124" s="39">
        <f t="shared" si="6"/>
        <v>1</v>
      </c>
      <c r="M124" s="40">
        <f t="shared" ca="1" si="7"/>
        <v>-20</v>
      </c>
      <c r="N124">
        <f t="shared" si="8"/>
        <v>11</v>
      </c>
      <c r="O124" t="str">
        <f t="shared" si="9"/>
        <v>Switch</v>
      </c>
    </row>
    <row r="125" spans="1:16" ht="14.25" hidden="1" customHeight="1">
      <c r="A125">
        <v>201</v>
      </c>
      <c r="B125" s="35" t="s">
        <v>20</v>
      </c>
      <c r="C125" s="37" t="s">
        <v>103</v>
      </c>
      <c r="D125" s="37" t="s">
        <v>153</v>
      </c>
      <c r="E125" s="37" t="s">
        <v>191</v>
      </c>
      <c r="F125" s="37">
        <v>1</v>
      </c>
      <c r="G125" s="37">
        <v>1</v>
      </c>
      <c r="H125" s="86">
        <v>46063</v>
      </c>
      <c r="I125" s="86">
        <v>46063</v>
      </c>
      <c r="J125" s="37" t="s">
        <v>75</v>
      </c>
      <c r="K125" s="38">
        <f t="shared" si="5"/>
        <v>0</v>
      </c>
      <c r="L125" s="39">
        <f t="shared" si="6"/>
        <v>1</v>
      </c>
      <c r="M125" s="40">
        <f t="shared" ca="1" si="7"/>
        <v>-50</v>
      </c>
      <c r="N125">
        <f t="shared" si="8"/>
        <v>7</v>
      </c>
      <c r="O125" t="str">
        <f t="shared" si="9"/>
        <v>Infra</v>
      </c>
      <c r="P125" s="43" t="s">
        <v>192</v>
      </c>
    </row>
    <row r="126" spans="1:16" ht="14.25" hidden="1" customHeight="1">
      <c r="A126">
        <v>200</v>
      </c>
      <c r="B126" s="35" t="s">
        <v>20</v>
      </c>
      <c r="C126" s="37" t="s">
        <v>103</v>
      </c>
      <c r="D126" s="37" t="s">
        <v>153</v>
      </c>
      <c r="E126" s="37" t="s">
        <v>193</v>
      </c>
      <c r="F126" s="37">
        <v>3</v>
      </c>
      <c r="G126" s="37">
        <v>3</v>
      </c>
      <c r="H126" s="86">
        <v>46063</v>
      </c>
      <c r="I126" s="86">
        <v>46063</v>
      </c>
      <c r="J126" s="37" t="s">
        <v>75</v>
      </c>
      <c r="K126" s="38">
        <f t="shared" si="5"/>
        <v>0</v>
      </c>
      <c r="L126" s="39">
        <f t="shared" si="6"/>
        <v>1</v>
      </c>
      <c r="M126" s="40">
        <f t="shared" ca="1" si="7"/>
        <v>-50</v>
      </c>
      <c r="N126">
        <f t="shared" si="8"/>
        <v>7</v>
      </c>
      <c r="O126" t="str">
        <f t="shared" si="9"/>
        <v>Infra</v>
      </c>
    </row>
    <row r="127" spans="1:16" ht="14.25" hidden="1" customHeight="1">
      <c r="A127">
        <v>199</v>
      </c>
      <c r="B127" s="35" t="s">
        <v>20</v>
      </c>
      <c r="C127" s="37" t="s">
        <v>103</v>
      </c>
      <c r="D127" s="37" t="s">
        <v>153</v>
      </c>
      <c r="E127" s="37" t="s">
        <v>194</v>
      </c>
      <c r="F127" s="37">
        <v>2</v>
      </c>
      <c r="G127" s="37">
        <v>2</v>
      </c>
      <c r="H127" s="86">
        <v>46063</v>
      </c>
      <c r="I127" s="86">
        <v>46063</v>
      </c>
      <c r="J127" s="37" t="s">
        <v>75</v>
      </c>
      <c r="K127" s="38">
        <f t="shared" si="5"/>
        <v>0</v>
      </c>
      <c r="L127" s="39">
        <f t="shared" si="6"/>
        <v>1</v>
      </c>
      <c r="M127" s="40">
        <f t="shared" ca="1" si="7"/>
        <v>-50</v>
      </c>
      <c r="N127">
        <f t="shared" si="8"/>
        <v>7</v>
      </c>
      <c r="O127" t="str">
        <f t="shared" si="9"/>
        <v>Infra</v>
      </c>
    </row>
    <row r="128" spans="1:16" ht="14.25" hidden="1" customHeight="1">
      <c r="A128">
        <v>198</v>
      </c>
      <c r="B128" s="35" t="s">
        <v>20</v>
      </c>
      <c r="C128" s="37" t="s">
        <v>103</v>
      </c>
      <c r="D128" s="37" t="s">
        <v>153</v>
      </c>
      <c r="E128" s="37" t="s">
        <v>90</v>
      </c>
      <c r="F128" s="37">
        <v>2</v>
      </c>
      <c r="G128" s="37">
        <v>2</v>
      </c>
      <c r="H128" s="86">
        <v>46059</v>
      </c>
      <c r="I128" s="86">
        <v>46119</v>
      </c>
      <c r="J128" s="37" t="s">
        <v>75</v>
      </c>
      <c r="K128" s="38">
        <f t="shared" si="5"/>
        <v>0</v>
      </c>
      <c r="L128" s="39">
        <f t="shared" si="6"/>
        <v>1</v>
      </c>
      <c r="M128" s="40">
        <f t="shared" ca="1" si="7"/>
        <v>6</v>
      </c>
      <c r="N128">
        <f t="shared" si="8"/>
        <v>15</v>
      </c>
      <c r="O128" t="str">
        <f t="shared" si="9"/>
        <v>Switch</v>
      </c>
    </row>
    <row r="129" spans="1:15" ht="14.25" customHeight="1">
      <c r="A129">
        <v>143</v>
      </c>
      <c r="B129" s="35" t="s">
        <v>20</v>
      </c>
      <c r="C129" s="37" t="s">
        <v>93</v>
      </c>
      <c r="D129" s="37" t="s">
        <v>190</v>
      </c>
      <c r="E129" s="37" t="s">
        <v>74</v>
      </c>
      <c r="F129" s="37">
        <v>1</v>
      </c>
      <c r="G129" s="37">
        <v>1</v>
      </c>
      <c r="H129" s="86">
        <v>46093</v>
      </c>
      <c r="I129" s="86">
        <v>46093</v>
      </c>
      <c r="J129" s="37" t="s">
        <v>75</v>
      </c>
      <c r="K129" s="38">
        <f t="shared" si="5"/>
        <v>0</v>
      </c>
      <c r="L129" s="39">
        <f t="shared" si="6"/>
        <v>1</v>
      </c>
      <c r="M129" s="40">
        <f t="shared" ca="1" si="7"/>
        <v>-20</v>
      </c>
      <c r="N129">
        <f t="shared" si="8"/>
        <v>11</v>
      </c>
      <c r="O129" t="str">
        <f t="shared" si="9"/>
        <v>Switch</v>
      </c>
    </row>
    <row r="130" spans="1:15" ht="14.25" customHeight="1">
      <c r="A130">
        <v>138</v>
      </c>
      <c r="B130" s="35" t="s">
        <v>20</v>
      </c>
      <c r="C130" s="37" t="s">
        <v>93</v>
      </c>
      <c r="D130" s="37" t="s">
        <v>195</v>
      </c>
      <c r="E130" s="37" t="s">
        <v>74</v>
      </c>
      <c r="F130" s="37">
        <v>1</v>
      </c>
      <c r="G130" s="37">
        <v>1</v>
      </c>
      <c r="H130" s="86">
        <v>46092</v>
      </c>
      <c r="I130" s="86">
        <v>46092</v>
      </c>
      <c r="J130" s="37" t="s">
        <v>75</v>
      </c>
      <c r="K130" s="38">
        <f t="shared" ref="K130:K193" si="10">F130-G130</f>
        <v>0</v>
      </c>
      <c r="L130" s="39">
        <f t="shared" ref="L130:L193" si="11">IF(F130=0,"",G130/F130)</f>
        <v>1</v>
      </c>
      <c r="M130" s="40">
        <f t="shared" ref="M130:M193" ca="1" si="12">I130-TODAY()</f>
        <v>-21</v>
      </c>
      <c r="N130">
        <f t="shared" ref="N130:N193" si="13">_xlfn.ISOWEEKNUM(I130)</f>
        <v>11</v>
      </c>
      <c r="O130" t="str">
        <f t="shared" ref="O130:O193" si="14">IF(ISNUMBER(SEARCH("Access Point",E130)),"AP",IF(OR(ISNUMBER(SEARCH("Switch",E130)),ISNUMBER(SEARCH("Control Type",E130))),"Switch","Infra"))</f>
        <v>Switch</v>
      </c>
    </row>
    <row r="131" spans="1:15" ht="14.25" hidden="1" customHeight="1">
      <c r="A131">
        <v>195</v>
      </c>
      <c r="B131" s="35" t="s">
        <v>20</v>
      </c>
      <c r="C131" s="37" t="s">
        <v>103</v>
      </c>
      <c r="D131" s="37" t="s">
        <v>153</v>
      </c>
      <c r="E131" s="37" t="s">
        <v>196</v>
      </c>
      <c r="F131" s="37">
        <v>4</v>
      </c>
      <c r="G131" s="37">
        <v>4</v>
      </c>
      <c r="H131" s="86">
        <v>46063</v>
      </c>
      <c r="I131" s="86">
        <v>46063</v>
      </c>
      <c r="J131" s="37" t="s">
        <v>75</v>
      </c>
      <c r="K131" s="38">
        <f t="shared" si="10"/>
        <v>0</v>
      </c>
      <c r="L131" s="39">
        <f t="shared" si="11"/>
        <v>1</v>
      </c>
      <c r="M131" s="40">
        <f t="shared" ca="1" si="12"/>
        <v>-50</v>
      </c>
      <c r="N131">
        <f t="shared" si="13"/>
        <v>7</v>
      </c>
      <c r="O131" t="str">
        <f t="shared" si="14"/>
        <v>Switch</v>
      </c>
    </row>
    <row r="132" spans="1:15" ht="14.25" customHeight="1">
      <c r="A132">
        <v>139</v>
      </c>
      <c r="B132" s="35" t="s">
        <v>20</v>
      </c>
      <c r="C132" s="37" t="s">
        <v>93</v>
      </c>
      <c r="D132" s="37" t="s">
        <v>197</v>
      </c>
      <c r="E132" s="37" t="s">
        <v>74</v>
      </c>
      <c r="F132" s="37">
        <v>1</v>
      </c>
      <c r="G132" s="37">
        <v>1</v>
      </c>
      <c r="H132" s="86">
        <v>46092</v>
      </c>
      <c r="I132" s="86">
        <v>46092</v>
      </c>
      <c r="J132" s="37" t="s">
        <v>75</v>
      </c>
      <c r="K132" s="38">
        <f t="shared" si="10"/>
        <v>0</v>
      </c>
      <c r="L132" s="39">
        <f t="shared" si="11"/>
        <v>1</v>
      </c>
      <c r="M132" s="40">
        <f t="shared" ca="1" si="12"/>
        <v>-21</v>
      </c>
      <c r="N132">
        <f t="shared" si="13"/>
        <v>11</v>
      </c>
      <c r="O132" t="str">
        <f t="shared" si="14"/>
        <v>Switch</v>
      </c>
    </row>
    <row r="133" spans="1:15" ht="14.25" customHeight="1">
      <c r="A133">
        <v>148</v>
      </c>
      <c r="B133" s="35" t="s">
        <v>20</v>
      </c>
      <c r="C133" s="37" t="s">
        <v>93</v>
      </c>
      <c r="D133" s="37" t="s">
        <v>198</v>
      </c>
      <c r="E133" s="37" t="s">
        <v>80</v>
      </c>
      <c r="F133" s="37">
        <v>1</v>
      </c>
      <c r="G133" s="37">
        <v>1</v>
      </c>
      <c r="H133" s="86">
        <v>46092</v>
      </c>
      <c r="I133" s="86">
        <v>46092</v>
      </c>
      <c r="J133" s="37" t="s">
        <v>75</v>
      </c>
      <c r="K133" s="38">
        <f t="shared" si="10"/>
        <v>0</v>
      </c>
      <c r="L133" s="39">
        <f t="shared" si="11"/>
        <v>1</v>
      </c>
      <c r="M133" s="40">
        <f t="shared" ca="1" si="12"/>
        <v>-21</v>
      </c>
      <c r="N133">
        <f t="shared" si="13"/>
        <v>11</v>
      </c>
      <c r="O133" t="str">
        <f t="shared" si="14"/>
        <v>Switch</v>
      </c>
    </row>
    <row r="134" spans="1:15" ht="14.25" customHeight="1">
      <c r="A134">
        <v>147</v>
      </c>
      <c r="B134" s="35" t="s">
        <v>20</v>
      </c>
      <c r="C134" s="37" t="s">
        <v>93</v>
      </c>
      <c r="D134" s="37" t="s">
        <v>198</v>
      </c>
      <c r="E134" s="37" t="s">
        <v>74</v>
      </c>
      <c r="F134" s="37">
        <v>1</v>
      </c>
      <c r="G134" s="37">
        <v>1</v>
      </c>
      <c r="H134" s="86">
        <v>46092</v>
      </c>
      <c r="I134" s="86">
        <v>46092</v>
      </c>
      <c r="J134" s="37" t="s">
        <v>75</v>
      </c>
      <c r="K134" s="38">
        <f t="shared" si="10"/>
        <v>0</v>
      </c>
      <c r="L134" s="39">
        <f t="shared" si="11"/>
        <v>1</v>
      </c>
      <c r="M134" s="40">
        <f t="shared" ca="1" si="12"/>
        <v>-21</v>
      </c>
      <c r="N134">
        <f t="shared" si="13"/>
        <v>11</v>
      </c>
      <c r="O134" t="str">
        <f t="shared" si="14"/>
        <v>Switch</v>
      </c>
    </row>
    <row r="135" spans="1:15" ht="14.25" customHeight="1">
      <c r="A135">
        <v>150</v>
      </c>
      <c r="B135" s="35" t="s">
        <v>20</v>
      </c>
      <c r="C135" s="37" t="s">
        <v>93</v>
      </c>
      <c r="D135" s="37" t="s">
        <v>199</v>
      </c>
      <c r="E135" s="37" t="s">
        <v>80</v>
      </c>
      <c r="F135" s="37">
        <v>1</v>
      </c>
      <c r="G135" s="37">
        <v>1</v>
      </c>
      <c r="H135" s="86">
        <v>46092</v>
      </c>
      <c r="I135" s="86">
        <v>46092</v>
      </c>
      <c r="J135" s="37" t="s">
        <v>75</v>
      </c>
      <c r="K135" s="38">
        <f t="shared" si="10"/>
        <v>0</v>
      </c>
      <c r="L135" s="39">
        <f t="shared" si="11"/>
        <v>1</v>
      </c>
      <c r="M135" s="40">
        <f t="shared" ca="1" si="12"/>
        <v>-21</v>
      </c>
      <c r="N135">
        <f t="shared" si="13"/>
        <v>11</v>
      </c>
      <c r="O135" t="str">
        <f t="shared" si="14"/>
        <v>Switch</v>
      </c>
    </row>
    <row r="136" spans="1:15" ht="14.25" customHeight="1">
      <c r="A136">
        <v>149</v>
      </c>
      <c r="B136" s="35" t="s">
        <v>20</v>
      </c>
      <c r="C136" s="37" t="s">
        <v>93</v>
      </c>
      <c r="D136" s="37" t="s">
        <v>199</v>
      </c>
      <c r="E136" s="37" t="s">
        <v>74</v>
      </c>
      <c r="F136" s="37">
        <v>1</v>
      </c>
      <c r="G136" s="37">
        <v>1</v>
      </c>
      <c r="H136" s="86">
        <v>46092</v>
      </c>
      <c r="I136" s="86">
        <v>46092</v>
      </c>
      <c r="J136" s="37" t="s">
        <v>75</v>
      </c>
      <c r="K136" s="38">
        <f t="shared" si="10"/>
        <v>0</v>
      </c>
      <c r="L136" s="39">
        <f t="shared" si="11"/>
        <v>1</v>
      </c>
      <c r="M136" s="40">
        <f t="shared" ca="1" si="12"/>
        <v>-21</v>
      </c>
      <c r="N136">
        <f t="shared" si="13"/>
        <v>11</v>
      </c>
      <c r="O136" t="str">
        <f t="shared" si="14"/>
        <v>Switch</v>
      </c>
    </row>
    <row r="137" spans="1:15" ht="14.25" customHeight="1">
      <c r="A137">
        <v>152</v>
      </c>
      <c r="B137" s="35" t="s">
        <v>20</v>
      </c>
      <c r="C137" s="37" t="s">
        <v>93</v>
      </c>
      <c r="D137" s="37" t="s">
        <v>200</v>
      </c>
      <c r="E137" s="37" t="s">
        <v>80</v>
      </c>
      <c r="F137" s="37">
        <v>1</v>
      </c>
      <c r="G137" s="37">
        <v>1</v>
      </c>
      <c r="H137" s="86">
        <v>46092</v>
      </c>
      <c r="I137" s="86">
        <v>46092</v>
      </c>
      <c r="J137" s="37" t="s">
        <v>75</v>
      </c>
      <c r="K137" s="38">
        <f t="shared" si="10"/>
        <v>0</v>
      </c>
      <c r="L137" s="39">
        <f t="shared" si="11"/>
        <v>1</v>
      </c>
      <c r="M137" s="40">
        <f t="shared" ca="1" si="12"/>
        <v>-21</v>
      </c>
      <c r="N137">
        <f t="shared" si="13"/>
        <v>11</v>
      </c>
      <c r="O137" t="str">
        <f t="shared" si="14"/>
        <v>Switch</v>
      </c>
    </row>
    <row r="138" spans="1:15" ht="14.25" customHeight="1">
      <c r="A138">
        <v>151</v>
      </c>
      <c r="B138" s="35" t="s">
        <v>20</v>
      </c>
      <c r="C138" s="37" t="s">
        <v>93</v>
      </c>
      <c r="D138" s="37" t="s">
        <v>200</v>
      </c>
      <c r="E138" s="37" t="s">
        <v>74</v>
      </c>
      <c r="F138" s="37">
        <v>1</v>
      </c>
      <c r="G138" s="37">
        <v>1</v>
      </c>
      <c r="H138" s="86">
        <v>46092</v>
      </c>
      <c r="I138" s="86">
        <v>46092</v>
      </c>
      <c r="J138" s="37" t="s">
        <v>75</v>
      </c>
      <c r="K138" s="38">
        <f t="shared" si="10"/>
        <v>0</v>
      </c>
      <c r="L138" s="39">
        <f t="shared" si="11"/>
        <v>1</v>
      </c>
      <c r="M138" s="40">
        <f t="shared" ca="1" si="12"/>
        <v>-21</v>
      </c>
      <c r="N138">
        <f t="shared" si="13"/>
        <v>11</v>
      </c>
      <c r="O138" t="str">
        <f t="shared" si="14"/>
        <v>Switch</v>
      </c>
    </row>
    <row r="139" spans="1:15" ht="14.25" customHeight="1">
      <c r="A139">
        <v>154</v>
      </c>
      <c r="B139" s="35" t="s">
        <v>20</v>
      </c>
      <c r="C139" s="37" t="s">
        <v>93</v>
      </c>
      <c r="D139" s="37" t="s">
        <v>201</v>
      </c>
      <c r="E139" s="37" t="s">
        <v>80</v>
      </c>
      <c r="F139" s="37">
        <v>1</v>
      </c>
      <c r="G139" s="37">
        <v>1</v>
      </c>
      <c r="H139" s="86">
        <v>46092</v>
      </c>
      <c r="I139" s="86">
        <v>46092</v>
      </c>
      <c r="J139" s="37" t="s">
        <v>75</v>
      </c>
      <c r="K139" s="38">
        <f t="shared" si="10"/>
        <v>0</v>
      </c>
      <c r="L139" s="39">
        <f t="shared" si="11"/>
        <v>1</v>
      </c>
      <c r="M139" s="40">
        <f t="shared" ca="1" si="12"/>
        <v>-21</v>
      </c>
      <c r="N139">
        <f t="shared" si="13"/>
        <v>11</v>
      </c>
      <c r="O139" t="str">
        <f t="shared" si="14"/>
        <v>Switch</v>
      </c>
    </row>
    <row r="140" spans="1:15" ht="14.25" hidden="1" customHeight="1">
      <c r="A140">
        <v>125</v>
      </c>
      <c r="B140" s="35" t="s">
        <v>20</v>
      </c>
      <c r="C140" s="37" t="s">
        <v>93</v>
      </c>
      <c r="D140" s="37" t="s">
        <v>143</v>
      </c>
      <c r="E140" s="37" t="s">
        <v>90</v>
      </c>
      <c r="F140" s="37">
        <v>1</v>
      </c>
      <c r="G140" s="37">
        <v>1</v>
      </c>
      <c r="H140" s="86">
        <v>46087</v>
      </c>
      <c r="I140" s="86">
        <v>46087</v>
      </c>
      <c r="J140" s="37" t="s">
        <v>75</v>
      </c>
      <c r="K140" s="38">
        <f t="shared" si="10"/>
        <v>0</v>
      </c>
      <c r="L140" s="39">
        <f t="shared" si="11"/>
        <v>1</v>
      </c>
      <c r="M140" s="40">
        <f t="shared" ca="1" si="12"/>
        <v>-26</v>
      </c>
      <c r="N140">
        <f t="shared" si="13"/>
        <v>10</v>
      </c>
      <c r="O140" t="str">
        <f t="shared" si="14"/>
        <v>Switch</v>
      </c>
    </row>
    <row r="141" spans="1:15" ht="14.25" customHeight="1">
      <c r="A141">
        <v>153</v>
      </c>
      <c r="B141" s="35" t="s">
        <v>20</v>
      </c>
      <c r="C141" s="37" t="s">
        <v>93</v>
      </c>
      <c r="D141" s="37" t="s">
        <v>201</v>
      </c>
      <c r="E141" s="37" t="s">
        <v>74</v>
      </c>
      <c r="F141" s="37">
        <v>1</v>
      </c>
      <c r="G141" s="37">
        <v>1</v>
      </c>
      <c r="H141" s="86">
        <v>46092</v>
      </c>
      <c r="I141" s="86">
        <v>46092</v>
      </c>
      <c r="J141" s="37" t="s">
        <v>75</v>
      </c>
      <c r="K141" s="38">
        <f t="shared" si="10"/>
        <v>0</v>
      </c>
      <c r="L141" s="39">
        <f t="shared" si="11"/>
        <v>1</v>
      </c>
      <c r="M141" s="40">
        <f t="shared" ca="1" si="12"/>
        <v>-21</v>
      </c>
      <c r="N141">
        <f t="shared" si="13"/>
        <v>11</v>
      </c>
      <c r="O141" t="str">
        <f t="shared" si="14"/>
        <v>Switch</v>
      </c>
    </row>
    <row r="142" spans="1:15" ht="14.25" customHeight="1">
      <c r="A142">
        <v>156</v>
      </c>
      <c r="B142" s="35" t="s">
        <v>20</v>
      </c>
      <c r="C142" s="37" t="s">
        <v>93</v>
      </c>
      <c r="D142" s="37" t="s">
        <v>202</v>
      </c>
      <c r="E142" s="37" t="s">
        <v>80</v>
      </c>
      <c r="F142" s="37">
        <v>1</v>
      </c>
      <c r="G142" s="37">
        <v>1</v>
      </c>
      <c r="H142" s="86">
        <v>46092</v>
      </c>
      <c r="I142" s="86">
        <v>46092</v>
      </c>
      <c r="J142" s="37" t="s">
        <v>75</v>
      </c>
      <c r="K142" s="38">
        <f t="shared" si="10"/>
        <v>0</v>
      </c>
      <c r="L142" s="39">
        <f t="shared" si="11"/>
        <v>1</v>
      </c>
      <c r="M142" s="40">
        <f t="shared" ca="1" si="12"/>
        <v>-21</v>
      </c>
      <c r="N142">
        <f t="shared" si="13"/>
        <v>11</v>
      </c>
      <c r="O142" t="str">
        <f t="shared" si="14"/>
        <v>Switch</v>
      </c>
    </row>
    <row r="143" spans="1:15" ht="14.25" hidden="1" customHeight="1">
      <c r="A143">
        <v>128</v>
      </c>
      <c r="B143" s="35" t="s">
        <v>20</v>
      </c>
      <c r="C143" s="37" t="s">
        <v>93</v>
      </c>
      <c r="D143" s="37" t="s">
        <v>144</v>
      </c>
      <c r="E143" s="37" t="s">
        <v>90</v>
      </c>
      <c r="F143" s="37">
        <v>1</v>
      </c>
      <c r="G143" s="37">
        <v>1</v>
      </c>
      <c r="H143" s="86">
        <v>46087</v>
      </c>
      <c r="I143" s="86">
        <v>46087</v>
      </c>
      <c r="J143" s="37" t="s">
        <v>75</v>
      </c>
      <c r="K143" s="38">
        <f t="shared" si="10"/>
        <v>0</v>
      </c>
      <c r="L143" s="39">
        <f t="shared" si="11"/>
        <v>1</v>
      </c>
      <c r="M143" s="40">
        <f t="shared" ca="1" si="12"/>
        <v>-26</v>
      </c>
      <c r="N143">
        <f t="shared" si="13"/>
        <v>10</v>
      </c>
      <c r="O143" t="str">
        <f t="shared" si="14"/>
        <v>Switch</v>
      </c>
    </row>
    <row r="144" spans="1:15" ht="14.25" customHeight="1">
      <c r="A144">
        <v>155</v>
      </c>
      <c r="B144" s="35" t="s">
        <v>20</v>
      </c>
      <c r="C144" s="37" t="s">
        <v>93</v>
      </c>
      <c r="D144" s="37" t="s">
        <v>202</v>
      </c>
      <c r="E144" s="37" t="s">
        <v>74</v>
      </c>
      <c r="F144" s="37">
        <v>1</v>
      </c>
      <c r="G144" s="37">
        <v>1</v>
      </c>
      <c r="H144" s="86">
        <v>46092</v>
      </c>
      <c r="I144" s="86">
        <v>46092</v>
      </c>
      <c r="J144" s="37" t="s">
        <v>75</v>
      </c>
      <c r="K144" s="38">
        <f t="shared" si="10"/>
        <v>0</v>
      </c>
      <c r="L144" s="39">
        <f t="shared" si="11"/>
        <v>1</v>
      </c>
      <c r="M144" s="40">
        <f t="shared" ca="1" si="12"/>
        <v>-21</v>
      </c>
      <c r="N144">
        <f t="shared" si="13"/>
        <v>11</v>
      </c>
      <c r="O144" t="str">
        <f t="shared" si="14"/>
        <v>Switch</v>
      </c>
    </row>
    <row r="145" spans="1:15" ht="14.25" customHeight="1">
      <c r="A145">
        <v>158</v>
      </c>
      <c r="B145" s="35" t="s">
        <v>20</v>
      </c>
      <c r="C145" s="37" t="s">
        <v>93</v>
      </c>
      <c r="D145" s="37" t="s">
        <v>203</v>
      </c>
      <c r="E145" s="37" t="s">
        <v>80</v>
      </c>
      <c r="F145" s="37">
        <v>1</v>
      </c>
      <c r="G145" s="37">
        <v>1</v>
      </c>
      <c r="H145" s="86">
        <v>46092</v>
      </c>
      <c r="I145" s="86">
        <v>46092</v>
      </c>
      <c r="J145" s="37" t="s">
        <v>75</v>
      </c>
      <c r="K145" s="38">
        <f t="shared" si="10"/>
        <v>0</v>
      </c>
      <c r="L145" s="39">
        <f t="shared" si="11"/>
        <v>1</v>
      </c>
      <c r="M145" s="40">
        <f t="shared" ca="1" si="12"/>
        <v>-21</v>
      </c>
      <c r="N145">
        <f t="shared" si="13"/>
        <v>11</v>
      </c>
      <c r="O145" t="str">
        <f t="shared" si="14"/>
        <v>Switch</v>
      </c>
    </row>
    <row r="146" spans="1:15" ht="14.25" customHeight="1">
      <c r="A146">
        <v>157</v>
      </c>
      <c r="B146" s="35" t="s">
        <v>20</v>
      </c>
      <c r="C146" s="37" t="s">
        <v>93</v>
      </c>
      <c r="D146" s="37" t="s">
        <v>203</v>
      </c>
      <c r="E146" s="37" t="s">
        <v>74</v>
      </c>
      <c r="F146" s="37">
        <v>1</v>
      </c>
      <c r="G146" s="37">
        <v>1</v>
      </c>
      <c r="H146" s="86">
        <v>46092</v>
      </c>
      <c r="I146" s="86">
        <v>46092</v>
      </c>
      <c r="J146" s="37" t="s">
        <v>75</v>
      </c>
      <c r="K146" s="38">
        <f t="shared" si="10"/>
        <v>0</v>
      </c>
      <c r="L146" s="39">
        <f t="shared" si="11"/>
        <v>1</v>
      </c>
      <c r="M146" s="40">
        <f t="shared" ca="1" si="12"/>
        <v>-21</v>
      </c>
      <c r="N146">
        <f t="shared" si="13"/>
        <v>11</v>
      </c>
      <c r="O146" t="str">
        <f t="shared" si="14"/>
        <v>Switch</v>
      </c>
    </row>
    <row r="147" spans="1:15" ht="14.25" customHeight="1">
      <c r="A147">
        <v>129</v>
      </c>
      <c r="B147" s="35" t="s">
        <v>20</v>
      </c>
      <c r="C147" s="37" t="s">
        <v>93</v>
      </c>
      <c r="D147" s="37" t="s">
        <v>204</v>
      </c>
      <c r="E147" s="37" t="s">
        <v>74</v>
      </c>
      <c r="F147" s="37">
        <v>1</v>
      </c>
      <c r="G147" s="37">
        <v>1</v>
      </c>
      <c r="H147" s="86">
        <v>46091</v>
      </c>
      <c r="I147" s="86">
        <v>46091</v>
      </c>
      <c r="J147" s="37" t="s">
        <v>75</v>
      </c>
      <c r="K147" s="38">
        <f t="shared" si="10"/>
        <v>0</v>
      </c>
      <c r="L147" s="39">
        <f t="shared" si="11"/>
        <v>1</v>
      </c>
      <c r="M147" s="40">
        <f t="shared" ca="1" si="12"/>
        <v>-22</v>
      </c>
      <c r="N147">
        <f t="shared" si="13"/>
        <v>11</v>
      </c>
      <c r="O147" t="str">
        <f t="shared" si="14"/>
        <v>Switch</v>
      </c>
    </row>
    <row r="148" spans="1:15" ht="14.25" customHeight="1">
      <c r="A148">
        <v>131</v>
      </c>
      <c r="B148" s="35" t="s">
        <v>20</v>
      </c>
      <c r="C148" s="37" t="s">
        <v>93</v>
      </c>
      <c r="D148" s="37" t="s">
        <v>205</v>
      </c>
      <c r="E148" s="37" t="s">
        <v>80</v>
      </c>
      <c r="F148" s="37">
        <v>1</v>
      </c>
      <c r="G148" s="37">
        <v>1</v>
      </c>
      <c r="H148" s="86">
        <v>46091</v>
      </c>
      <c r="I148" s="86">
        <v>46091</v>
      </c>
      <c r="J148" s="37" t="s">
        <v>75</v>
      </c>
      <c r="K148" s="38">
        <f t="shared" si="10"/>
        <v>0</v>
      </c>
      <c r="L148" s="39">
        <f t="shared" si="11"/>
        <v>1</v>
      </c>
      <c r="M148" s="40">
        <f t="shared" ca="1" si="12"/>
        <v>-22</v>
      </c>
      <c r="N148">
        <f t="shared" si="13"/>
        <v>11</v>
      </c>
      <c r="O148" t="str">
        <f t="shared" si="14"/>
        <v>Switch</v>
      </c>
    </row>
    <row r="149" spans="1:15" ht="14.25" hidden="1" customHeight="1">
      <c r="A149">
        <v>134</v>
      </c>
      <c r="B149" s="35" t="s">
        <v>20</v>
      </c>
      <c r="C149" s="37" t="s">
        <v>93</v>
      </c>
      <c r="D149" s="37" t="s">
        <v>186</v>
      </c>
      <c r="E149" s="37" t="s">
        <v>118</v>
      </c>
      <c r="F149" s="37">
        <v>1</v>
      </c>
      <c r="G149" s="37">
        <v>1</v>
      </c>
      <c r="H149" s="86">
        <v>46087</v>
      </c>
      <c r="I149" s="86">
        <v>46087</v>
      </c>
      <c r="J149" s="37" t="s">
        <v>75</v>
      </c>
      <c r="K149" s="38">
        <f t="shared" si="10"/>
        <v>0</v>
      </c>
      <c r="L149" s="39">
        <f t="shared" si="11"/>
        <v>1</v>
      </c>
      <c r="M149" s="40">
        <f t="shared" ca="1" si="12"/>
        <v>-26</v>
      </c>
      <c r="N149">
        <f t="shared" si="13"/>
        <v>10</v>
      </c>
      <c r="O149" t="str">
        <f t="shared" si="14"/>
        <v>Switch</v>
      </c>
    </row>
    <row r="150" spans="1:15" ht="14.25" customHeight="1">
      <c r="A150">
        <v>130</v>
      </c>
      <c r="B150" s="35" t="s">
        <v>20</v>
      </c>
      <c r="C150" s="37" t="s">
        <v>93</v>
      </c>
      <c r="D150" s="37" t="s">
        <v>205</v>
      </c>
      <c r="E150" s="37" t="s">
        <v>74</v>
      </c>
      <c r="F150" s="37">
        <v>1</v>
      </c>
      <c r="G150" s="37">
        <v>1</v>
      </c>
      <c r="H150" s="86">
        <v>46091</v>
      </c>
      <c r="I150" s="86">
        <v>46091</v>
      </c>
      <c r="J150" s="37" t="s">
        <v>75</v>
      </c>
      <c r="K150" s="38">
        <f t="shared" si="10"/>
        <v>0</v>
      </c>
      <c r="L150" s="39">
        <f t="shared" si="11"/>
        <v>1</v>
      </c>
      <c r="M150" s="40">
        <f t="shared" ca="1" si="12"/>
        <v>-22</v>
      </c>
      <c r="N150">
        <f t="shared" si="13"/>
        <v>11</v>
      </c>
      <c r="O150" t="str">
        <f t="shared" si="14"/>
        <v>Switch</v>
      </c>
    </row>
    <row r="151" spans="1:15" ht="14.25" customHeight="1">
      <c r="A151">
        <v>18</v>
      </c>
      <c r="B151" s="35" t="s">
        <v>20</v>
      </c>
      <c r="C151" s="36" t="s">
        <v>138</v>
      </c>
      <c r="D151" s="37" t="s">
        <v>206</v>
      </c>
      <c r="E151" s="37" t="s">
        <v>80</v>
      </c>
      <c r="F151" s="37">
        <v>1</v>
      </c>
      <c r="G151" s="37">
        <v>1</v>
      </c>
      <c r="H151" s="86">
        <v>46091</v>
      </c>
      <c r="I151" s="86">
        <v>46091</v>
      </c>
      <c r="J151" s="37" t="s">
        <v>75</v>
      </c>
      <c r="K151" s="38">
        <f t="shared" si="10"/>
        <v>0</v>
      </c>
      <c r="L151" s="39">
        <f t="shared" si="11"/>
        <v>1</v>
      </c>
      <c r="M151" s="40">
        <f t="shared" ca="1" si="12"/>
        <v>-22</v>
      </c>
      <c r="N151">
        <f t="shared" si="13"/>
        <v>11</v>
      </c>
      <c r="O151" t="str">
        <f t="shared" si="14"/>
        <v>Switch</v>
      </c>
    </row>
    <row r="152" spans="1:15" ht="14.25" hidden="1" customHeight="1">
      <c r="A152">
        <v>137</v>
      </c>
      <c r="B152" s="35" t="s">
        <v>20</v>
      </c>
      <c r="C152" s="37" t="s">
        <v>93</v>
      </c>
      <c r="D152" s="37" t="s">
        <v>188</v>
      </c>
      <c r="E152" s="37" t="s">
        <v>90</v>
      </c>
      <c r="F152" s="37">
        <v>1</v>
      </c>
      <c r="G152" s="37">
        <v>1</v>
      </c>
      <c r="H152" s="86">
        <v>46087</v>
      </c>
      <c r="I152" s="86">
        <v>46087</v>
      </c>
      <c r="J152" s="37" t="s">
        <v>75</v>
      </c>
      <c r="K152" s="38">
        <f t="shared" si="10"/>
        <v>0</v>
      </c>
      <c r="L152" s="39">
        <f t="shared" si="11"/>
        <v>1</v>
      </c>
      <c r="M152" s="40">
        <f t="shared" ca="1" si="12"/>
        <v>-26</v>
      </c>
      <c r="N152">
        <f t="shared" si="13"/>
        <v>10</v>
      </c>
      <c r="O152" t="str">
        <f t="shared" si="14"/>
        <v>Switch</v>
      </c>
    </row>
    <row r="153" spans="1:15" ht="14.25" customHeight="1">
      <c r="A153">
        <v>17</v>
      </c>
      <c r="B153" s="35" t="s">
        <v>20</v>
      </c>
      <c r="C153" s="36" t="s">
        <v>138</v>
      </c>
      <c r="D153" s="37" t="s">
        <v>206</v>
      </c>
      <c r="E153" s="37" t="s">
        <v>140</v>
      </c>
      <c r="F153" s="37">
        <v>4</v>
      </c>
      <c r="G153" s="37">
        <v>4</v>
      </c>
      <c r="H153" s="86">
        <v>46091</v>
      </c>
      <c r="I153" s="86">
        <v>46091</v>
      </c>
      <c r="J153" s="37" t="s">
        <v>75</v>
      </c>
      <c r="K153" s="38">
        <f t="shared" si="10"/>
        <v>0</v>
      </c>
      <c r="L153" s="39">
        <f t="shared" si="11"/>
        <v>1</v>
      </c>
      <c r="M153" s="40">
        <f t="shared" ca="1" si="12"/>
        <v>-22</v>
      </c>
      <c r="N153">
        <f t="shared" si="13"/>
        <v>11</v>
      </c>
      <c r="O153" t="str">
        <f t="shared" si="14"/>
        <v>Switch</v>
      </c>
    </row>
    <row r="154" spans="1:15" ht="14.25" customHeight="1">
      <c r="A154">
        <v>23</v>
      </c>
      <c r="B154" s="35" t="s">
        <v>20</v>
      </c>
      <c r="C154" s="36" t="s">
        <v>138</v>
      </c>
      <c r="D154" s="37" t="s">
        <v>207</v>
      </c>
      <c r="E154" s="37" t="s">
        <v>80</v>
      </c>
      <c r="F154" s="37">
        <v>1</v>
      </c>
      <c r="G154" s="37">
        <v>1</v>
      </c>
      <c r="H154" s="86">
        <v>46091</v>
      </c>
      <c r="I154" s="86">
        <v>46091</v>
      </c>
      <c r="J154" s="37" t="s">
        <v>75</v>
      </c>
      <c r="K154" s="38">
        <f t="shared" si="10"/>
        <v>0</v>
      </c>
      <c r="L154" s="39">
        <f t="shared" si="11"/>
        <v>1</v>
      </c>
      <c r="M154" s="40">
        <f t="shared" ca="1" si="12"/>
        <v>-22</v>
      </c>
      <c r="N154">
        <f t="shared" si="13"/>
        <v>11</v>
      </c>
      <c r="O154" t="str">
        <f t="shared" si="14"/>
        <v>Switch</v>
      </c>
    </row>
    <row r="155" spans="1:15" ht="14.25" customHeight="1">
      <c r="A155">
        <v>22</v>
      </c>
      <c r="B155" s="35" t="s">
        <v>20</v>
      </c>
      <c r="C155" s="36" t="s">
        <v>138</v>
      </c>
      <c r="D155" s="37" t="s">
        <v>207</v>
      </c>
      <c r="E155" s="37" t="s">
        <v>140</v>
      </c>
      <c r="F155" s="37">
        <v>2</v>
      </c>
      <c r="G155" s="37">
        <v>2</v>
      </c>
      <c r="H155" s="86">
        <v>46091</v>
      </c>
      <c r="I155" s="86">
        <v>46091</v>
      </c>
      <c r="J155" s="37" t="s">
        <v>75</v>
      </c>
      <c r="K155" s="38">
        <f t="shared" si="10"/>
        <v>0</v>
      </c>
      <c r="L155" s="39">
        <f t="shared" si="11"/>
        <v>1</v>
      </c>
      <c r="M155" s="40">
        <f t="shared" ca="1" si="12"/>
        <v>-22</v>
      </c>
      <c r="N155">
        <f t="shared" si="13"/>
        <v>11</v>
      </c>
      <c r="O155" t="str">
        <f t="shared" si="14"/>
        <v>Switch</v>
      </c>
    </row>
    <row r="156" spans="1:15" ht="14.25" customHeight="1">
      <c r="A156">
        <v>9</v>
      </c>
      <c r="B156" s="35" t="s">
        <v>20</v>
      </c>
      <c r="C156" s="36" t="s">
        <v>138</v>
      </c>
      <c r="D156" s="37" t="s">
        <v>208</v>
      </c>
      <c r="E156" s="37" t="s">
        <v>80</v>
      </c>
      <c r="F156" s="37">
        <v>7</v>
      </c>
      <c r="G156" s="37">
        <v>7</v>
      </c>
      <c r="H156" s="86">
        <v>46090</v>
      </c>
      <c r="I156" s="86">
        <v>46090</v>
      </c>
      <c r="J156" s="37" t="s">
        <v>75</v>
      </c>
      <c r="K156" s="38">
        <f t="shared" si="10"/>
        <v>0</v>
      </c>
      <c r="L156" s="39">
        <f t="shared" si="11"/>
        <v>1</v>
      </c>
      <c r="M156" s="40">
        <f t="shared" ca="1" si="12"/>
        <v>-23</v>
      </c>
      <c r="N156">
        <f t="shared" si="13"/>
        <v>11</v>
      </c>
      <c r="O156" t="str">
        <f t="shared" si="14"/>
        <v>Switch</v>
      </c>
    </row>
    <row r="157" spans="1:15" ht="14.25" hidden="1" customHeight="1">
      <c r="A157">
        <v>142</v>
      </c>
      <c r="B157" s="35" t="s">
        <v>20</v>
      </c>
      <c r="C157" s="37" t="s">
        <v>93</v>
      </c>
      <c r="D157" s="37" t="s">
        <v>189</v>
      </c>
      <c r="E157" s="37" t="s">
        <v>90</v>
      </c>
      <c r="F157" s="37">
        <v>1</v>
      </c>
      <c r="G157" s="37">
        <v>1</v>
      </c>
      <c r="H157" s="86">
        <v>46087</v>
      </c>
      <c r="I157" s="86">
        <v>46087</v>
      </c>
      <c r="J157" s="37" t="s">
        <v>75</v>
      </c>
      <c r="K157" s="38">
        <f t="shared" si="10"/>
        <v>0</v>
      </c>
      <c r="L157" s="39">
        <f t="shared" si="11"/>
        <v>1</v>
      </c>
      <c r="M157" s="40">
        <f t="shared" ca="1" si="12"/>
        <v>-26</v>
      </c>
      <c r="N157">
        <f t="shared" si="13"/>
        <v>10</v>
      </c>
      <c r="O157" t="str">
        <f t="shared" si="14"/>
        <v>Switch</v>
      </c>
    </row>
    <row r="158" spans="1:15" ht="14.25" customHeight="1">
      <c r="A158">
        <v>8</v>
      </c>
      <c r="B158" s="35" t="s">
        <v>20</v>
      </c>
      <c r="C158" s="36" t="s">
        <v>138</v>
      </c>
      <c r="D158" s="37" t="s">
        <v>208</v>
      </c>
      <c r="E158" s="37" t="s">
        <v>140</v>
      </c>
      <c r="F158" s="37">
        <v>3</v>
      </c>
      <c r="G158" s="37">
        <v>3</v>
      </c>
      <c r="H158" s="86">
        <v>46090</v>
      </c>
      <c r="I158" s="86">
        <v>46090</v>
      </c>
      <c r="J158" s="37" t="s">
        <v>75</v>
      </c>
      <c r="K158" s="38">
        <f t="shared" si="10"/>
        <v>0</v>
      </c>
      <c r="L158" s="39">
        <f t="shared" si="11"/>
        <v>1</v>
      </c>
      <c r="M158" s="40">
        <f t="shared" ca="1" si="12"/>
        <v>-23</v>
      </c>
      <c r="N158">
        <f t="shared" si="13"/>
        <v>11</v>
      </c>
      <c r="O158" t="str">
        <f t="shared" si="14"/>
        <v>Switch</v>
      </c>
    </row>
    <row r="159" spans="1:15" ht="14.25" customHeight="1">
      <c r="A159">
        <v>32</v>
      </c>
      <c r="B159" s="35" t="s">
        <v>20</v>
      </c>
      <c r="C159" s="36" t="s">
        <v>138</v>
      </c>
      <c r="D159" s="37" t="s">
        <v>209</v>
      </c>
      <c r="E159" s="37" t="s">
        <v>80</v>
      </c>
      <c r="F159" s="37">
        <v>2</v>
      </c>
      <c r="G159" s="37">
        <v>1</v>
      </c>
      <c r="H159" s="86">
        <v>46090</v>
      </c>
      <c r="I159" s="86">
        <v>46090</v>
      </c>
      <c r="J159" s="37" t="s">
        <v>75</v>
      </c>
      <c r="K159" s="38">
        <f t="shared" si="10"/>
        <v>1</v>
      </c>
      <c r="L159" s="39">
        <f t="shared" si="11"/>
        <v>0.5</v>
      </c>
      <c r="M159" s="40">
        <f t="shared" ca="1" si="12"/>
        <v>-23</v>
      </c>
      <c r="N159">
        <f t="shared" si="13"/>
        <v>11</v>
      </c>
      <c r="O159" t="str">
        <f t="shared" si="14"/>
        <v>Switch</v>
      </c>
    </row>
    <row r="160" spans="1:15" ht="14.25" customHeight="1">
      <c r="A160">
        <v>31</v>
      </c>
      <c r="B160" s="35" t="s">
        <v>20</v>
      </c>
      <c r="C160" s="36" t="s">
        <v>138</v>
      </c>
      <c r="D160" s="37" t="s">
        <v>209</v>
      </c>
      <c r="E160" s="37" t="s">
        <v>74</v>
      </c>
      <c r="F160" s="37">
        <v>2</v>
      </c>
      <c r="G160" s="37">
        <v>1</v>
      </c>
      <c r="H160" s="86">
        <v>46090</v>
      </c>
      <c r="I160" s="86">
        <v>46090</v>
      </c>
      <c r="J160" s="37" t="s">
        <v>75</v>
      </c>
      <c r="K160" s="38">
        <f t="shared" si="10"/>
        <v>1</v>
      </c>
      <c r="L160" s="39">
        <f t="shared" si="11"/>
        <v>0.5</v>
      </c>
      <c r="M160" s="40">
        <f t="shared" ca="1" si="12"/>
        <v>-23</v>
      </c>
      <c r="N160">
        <f t="shared" si="13"/>
        <v>11</v>
      </c>
      <c r="O160" t="str">
        <f t="shared" si="14"/>
        <v>Switch</v>
      </c>
    </row>
    <row r="161" spans="1:16" ht="14.25" customHeight="1">
      <c r="A161">
        <v>37</v>
      </c>
      <c r="B161" s="35" t="s">
        <v>20</v>
      </c>
      <c r="C161" s="36" t="s">
        <v>138</v>
      </c>
      <c r="D161" s="36" t="s">
        <v>210</v>
      </c>
      <c r="E161" s="37" t="s">
        <v>80</v>
      </c>
      <c r="F161" s="37">
        <v>1</v>
      </c>
      <c r="G161" s="37">
        <v>1</v>
      </c>
      <c r="H161" s="86">
        <v>46090</v>
      </c>
      <c r="I161" s="86">
        <v>46090</v>
      </c>
      <c r="J161" s="37" t="s">
        <v>75</v>
      </c>
      <c r="K161" s="38">
        <f t="shared" si="10"/>
        <v>0</v>
      </c>
      <c r="L161" s="39">
        <f t="shared" si="11"/>
        <v>1</v>
      </c>
      <c r="M161" s="40">
        <f t="shared" ca="1" si="12"/>
        <v>-23</v>
      </c>
      <c r="N161">
        <f t="shared" si="13"/>
        <v>11</v>
      </c>
      <c r="O161" t="str">
        <f t="shared" si="14"/>
        <v>Switch</v>
      </c>
    </row>
    <row r="162" spans="1:16" ht="15" customHeight="1">
      <c r="A162">
        <v>344</v>
      </c>
      <c r="B162" s="35" t="s">
        <v>21</v>
      </c>
      <c r="C162" s="36" t="s">
        <v>211</v>
      </c>
      <c r="D162" s="37" t="s">
        <v>212</v>
      </c>
      <c r="E162" s="37" t="s">
        <v>74</v>
      </c>
      <c r="F162" s="37">
        <v>3</v>
      </c>
      <c r="G162" s="37">
        <v>3</v>
      </c>
      <c r="H162" s="86">
        <v>46086</v>
      </c>
      <c r="I162" s="86">
        <v>46086</v>
      </c>
      <c r="J162" s="37" t="s">
        <v>75</v>
      </c>
      <c r="K162" s="38">
        <f t="shared" si="10"/>
        <v>0</v>
      </c>
      <c r="L162" s="39">
        <f t="shared" si="11"/>
        <v>1</v>
      </c>
      <c r="M162" s="40">
        <f t="shared" ca="1" si="12"/>
        <v>-27</v>
      </c>
      <c r="N162">
        <f t="shared" si="13"/>
        <v>10</v>
      </c>
      <c r="O162" t="str">
        <f t="shared" si="14"/>
        <v>Switch</v>
      </c>
    </row>
    <row r="163" spans="1:16" ht="14.25" customHeight="1">
      <c r="A163">
        <v>340</v>
      </c>
      <c r="B163" s="35" t="s">
        <v>21</v>
      </c>
      <c r="C163" s="36" t="s">
        <v>166</v>
      </c>
      <c r="D163" s="37" t="s">
        <v>213</v>
      </c>
      <c r="E163" s="37" t="s">
        <v>74</v>
      </c>
      <c r="F163" s="37">
        <v>4</v>
      </c>
      <c r="G163" s="37">
        <v>4</v>
      </c>
      <c r="H163" s="86">
        <v>46084</v>
      </c>
      <c r="I163" s="86">
        <v>46084</v>
      </c>
      <c r="J163" s="37" t="s">
        <v>75</v>
      </c>
      <c r="K163" s="38">
        <f t="shared" si="10"/>
        <v>0</v>
      </c>
      <c r="L163" s="39">
        <f t="shared" si="11"/>
        <v>1</v>
      </c>
      <c r="M163" s="40">
        <f t="shared" ca="1" si="12"/>
        <v>-29</v>
      </c>
      <c r="N163">
        <f t="shared" si="13"/>
        <v>10</v>
      </c>
      <c r="O163" t="str">
        <f t="shared" si="14"/>
        <v>Switch</v>
      </c>
    </row>
    <row r="164" spans="1:16" ht="14.25" customHeight="1">
      <c r="A164">
        <v>341</v>
      </c>
      <c r="B164" s="35" t="s">
        <v>21</v>
      </c>
      <c r="C164" s="36" t="s">
        <v>166</v>
      </c>
      <c r="D164" s="36" t="s">
        <v>214</v>
      </c>
      <c r="E164" s="37" t="s">
        <v>74</v>
      </c>
      <c r="F164" s="37">
        <v>1</v>
      </c>
      <c r="G164" s="37">
        <v>1</v>
      </c>
      <c r="H164" s="86">
        <v>46084</v>
      </c>
      <c r="I164" s="86">
        <v>46084</v>
      </c>
      <c r="J164" s="37" t="s">
        <v>75</v>
      </c>
      <c r="K164" s="38">
        <f t="shared" si="10"/>
        <v>0</v>
      </c>
      <c r="L164" s="39">
        <f t="shared" si="11"/>
        <v>1</v>
      </c>
      <c r="M164" s="40">
        <f t="shared" ca="1" si="12"/>
        <v>-29</v>
      </c>
      <c r="N164">
        <f t="shared" si="13"/>
        <v>10</v>
      </c>
      <c r="O164" t="str">
        <f t="shared" si="14"/>
        <v>Switch</v>
      </c>
      <c r="P164" s="41" t="s">
        <v>215</v>
      </c>
    </row>
    <row r="165" spans="1:16" ht="14.25" customHeight="1">
      <c r="A165">
        <v>342</v>
      </c>
      <c r="B165" s="35" t="s">
        <v>21</v>
      </c>
      <c r="C165" s="36" t="s">
        <v>216</v>
      </c>
      <c r="D165" s="37" t="s">
        <v>217</v>
      </c>
      <c r="E165" s="37" t="s">
        <v>74</v>
      </c>
      <c r="F165" s="37">
        <v>2</v>
      </c>
      <c r="G165" s="37">
        <v>2</v>
      </c>
      <c r="H165" s="86">
        <v>46084</v>
      </c>
      <c r="I165" s="86">
        <v>46084</v>
      </c>
      <c r="J165" s="37" t="s">
        <v>75</v>
      </c>
      <c r="K165" s="38">
        <f t="shared" si="10"/>
        <v>0</v>
      </c>
      <c r="L165" s="39">
        <f t="shared" si="11"/>
        <v>1</v>
      </c>
      <c r="M165" s="40">
        <f t="shared" ca="1" si="12"/>
        <v>-29</v>
      </c>
      <c r="N165">
        <f t="shared" si="13"/>
        <v>10</v>
      </c>
      <c r="O165" t="str">
        <f t="shared" si="14"/>
        <v>Switch</v>
      </c>
    </row>
    <row r="166" spans="1:16" ht="14.25" customHeight="1">
      <c r="A166">
        <v>343</v>
      </c>
      <c r="B166" s="35" t="s">
        <v>21</v>
      </c>
      <c r="C166" s="36" t="s">
        <v>216</v>
      </c>
      <c r="D166" s="36" t="s">
        <v>218</v>
      </c>
      <c r="E166" s="37" t="s">
        <v>74</v>
      </c>
      <c r="F166" s="37">
        <v>2</v>
      </c>
      <c r="G166" s="37">
        <v>2</v>
      </c>
      <c r="H166" s="86">
        <v>46084</v>
      </c>
      <c r="I166" s="86">
        <v>46084</v>
      </c>
      <c r="J166" s="37" t="s">
        <v>75</v>
      </c>
      <c r="K166" s="38">
        <f t="shared" si="10"/>
        <v>0</v>
      </c>
      <c r="L166" s="39">
        <f t="shared" si="11"/>
        <v>1</v>
      </c>
      <c r="M166" s="40">
        <f t="shared" ca="1" si="12"/>
        <v>-29</v>
      </c>
      <c r="N166">
        <f t="shared" si="13"/>
        <v>10</v>
      </c>
      <c r="O166" t="str">
        <f t="shared" si="14"/>
        <v>Switch</v>
      </c>
      <c r="P166" s="41" t="s">
        <v>215</v>
      </c>
    </row>
    <row r="167" spans="1:16" ht="14.25" customHeight="1">
      <c r="A167">
        <v>325</v>
      </c>
      <c r="B167" s="35" t="s">
        <v>21</v>
      </c>
      <c r="C167" s="36" t="s">
        <v>174</v>
      </c>
      <c r="D167" s="37" t="s">
        <v>125</v>
      </c>
      <c r="E167" s="37" t="s">
        <v>74</v>
      </c>
      <c r="F167" s="37">
        <v>3</v>
      </c>
      <c r="G167" s="37">
        <v>3</v>
      </c>
      <c r="H167" s="86">
        <v>46084</v>
      </c>
      <c r="I167" s="86">
        <v>46084</v>
      </c>
      <c r="J167" s="37" t="s">
        <v>75</v>
      </c>
      <c r="K167" s="38">
        <f t="shared" si="10"/>
        <v>0</v>
      </c>
      <c r="L167" s="39">
        <f t="shared" si="11"/>
        <v>1</v>
      </c>
      <c r="M167" s="40">
        <f t="shared" ca="1" si="12"/>
        <v>-29</v>
      </c>
      <c r="N167">
        <f t="shared" si="13"/>
        <v>10</v>
      </c>
      <c r="O167" t="str">
        <f t="shared" si="14"/>
        <v>Switch</v>
      </c>
    </row>
    <row r="168" spans="1:16" ht="14.25" customHeight="1">
      <c r="A168">
        <v>330</v>
      </c>
      <c r="B168" s="35" t="s">
        <v>21</v>
      </c>
      <c r="C168" s="36" t="s">
        <v>174</v>
      </c>
      <c r="D168" s="37" t="s">
        <v>219</v>
      </c>
      <c r="E168" s="37" t="s">
        <v>80</v>
      </c>
      <c r="F168" s="37">
        <v>3</v>
      </c>
      <c r="G168" s="37">
        <v>3</v>
      </c>
      <c r="H168" s="86">
        <v>46084</v>
      </c>
      <c r="I168" s="86">
        <v>46084</v>
      </c>
      <c r="J168" s="37" t="s">
        <v>75</v>
      </c>
      <c r="K168" s="38">
        <f t="shared" si="10"/>
        <v>0</v>
      </c>
      <c r="L168" s="39">
        <f t="shared" si="11"/>
        <v>1</v>
      </c>
      <c r="M168" s="40">
        <f t="shared" ca="1" si="12"/>
        <v>-29</v>
      </c>
      <c r="N168">
        <f t="shared" si="13"/>
        <v>10</v>
      </c>
      <c r="O168" t="str">
        <f t="shared" si="14"/>
        <v>Switch</v>
      </c>
    </row>
    <row r="169" spans="1:16" ht="14.25" customHeight="1">
      <c r="A169">
        <v>329</v>
      </c>
      <c r="B169" s="35" t="s">
        <v>21</v>
      </c>
      <c r="C169" s="36" t="s">
        <v>174</v>
      </c>
      <c r="D169" s="37" t="s">
        <v>219</v>
      </c>
      <c r="E169" s="37" t="s">
        <v>74</v>
      </c>
      <c r="F169" s="37">
        <v>4</v>
      </c>
      <c r="G169" s="37">
        <v>4</v>
      </c>
      <c r="H169" s="86">
        <v>46084</v>
      </c>
      <c r="I169" s="86">
        <v>46084</v>
      </c>
      <c r="J169" s="37" t="s">
        <v>75</v>
      </c>
      <c r="K169" s="38">
        <f t="shared" si="10"/>
        <v>0</v>
      </c>
      <c r="L169" s="39">
        <f t="shared" si="11"/>
        <v>1</v>
      </c>
      <c r="M169" s="40">
        <f t="shared" ca="1" si="12"/>
        <v>-29</v>
      </c>
      <c r="N169">
        <f t="shared" si="13"/>
        <v>10</v>
      </c>
      <c r="O169" t="str">
        <f t="shared" si="14"/>
        <v>Switch</v>
      </c>
    </row>
    <row r="170" spans="1:16" ht="14.25" customHeight="1">
      <c r="A170">
        <v>331</v>
      </c>
      <c r="B170" s="35" t="s">
        <v>21</v>
      </c>
      <c r="C170" s="36" t="s">
        <v>174</v>
      </c>
      <c r="D170" s="37" t="s">
        <v>220</v>
      </c>
      <c r="E170" s="37" t="s">
        <v>74</v>
      </c>
      <c r="F170" s="37">
        <v>1</v>
      </c>
      <c r="G170" s="37">
        <v>1</v>
      </c>
      <c r="H170" s="86">
        <v>46084</v>
      </c>
      <c r="I170" s="86">
        <v>46084</v>
      </c>
      <c r="J170" s="37" t="s">
        <v>75</v>
      </c>
      <c r="K170" s="38">
        <f t="shared" si="10"/>
        <v>0</v>
      </c>
      <c r="L170" s="39">
        <f t="shared" si="11"/>
        <v>1</v>
      </c>
      <c r="M170" s="40">
        <f t="shared" ca="1" si="12"/>
        <v>-29</v>
      </c>
      <c r="N170">
        <f t="shared" si="13"/>
        <v>10</v>
      </c>
      <c r="O170" t="str">
        <f t="shared" si="14"/>
        <v>Switch</v>
      </c>
    </row>
    <row r="171" spans="1:16" ht="14.25" customHeight="1">
      <c r="A171">
        <v>336</v>
      </c>
      <c r="B171" s="35" t="s">
        <v>21</v>
      </c>
      <c r="C171" s="36" t="s">
        <v>160</v>
      </c>
      <c r="D171" s="37" t="s">
        <v>221</v>
      </c>
      <c r="E171" s="37" t="s">
        <v>74</v>
      </c>
      <c r="F171" s="37">
        <v>8</v>
      </c>
      <c r="G171" s="37">
        <v>8</v>
      </c>
      <c r="H171" s="86">
        <v>46082</v>
      </c>
      <c r="I171" s="86">
        <v>46082</v>
      </c>
      <c r="J171" s="37" t="s">
        <v>75</v>
      </c>
      <c r="K171" s="38">
        <f t="shared" si="10"/>
        <v>0</v>
      </c>
      <c r="L171" s="39">
        <f t="shared" si="11"/>
        <v>1</v>
      </c>
      <c r="M171" s="40">
        <f t="shared" ca="1" si="12"/>
        <v>-31</v>
      </c>
      <c r="N171">
        <f t="shared" si="13"/>
        <v>9</v>
      </c>
      <c r="O171" t="str">
        <f t="shared" si="14"/>
        <v>Switch</v>
      </c>
    </row>
    <row r="172" spans="1:16" ht="14.25" customHeight="1">
      <c r="A172">
        <v>338</v>
      </c>
      <c r="B172" s="35" t="s">
        <v>21</v>
      </c>
      <c r="C172" s="36" t="s">
        <v>160</v>
      </c>
      <c r="D172" s="37" t="s">
        <v>222</v>
      </c>
      <c r="E172" s="37" t="s">
        <v>74</v>
      </c>
      <c r="F172" s="37">
        <v>1</v>
      </c>
      <c r="G172" s="37">
        <v>1</v>
      </c>
      <c r="H172" s="86">
        <v>46082</v>
      </c>
      <c r="I172" s="86">
        <v>46082</v>
      </c>
      <c r="J172" s="37" t="s">
        <v>75</v>
      </c>
      <c r="K172" s="38">
        <f t="shared" si="10"/>
        <v>0</v>
      </c>
      <c r="L172" s="39">
        <f t="shared" si="11"/>
        <v>1</v>
      </c>
      <c r="M172" s="40">
        <f t="shared" ca="1" si="12"/>
        <v>-31</v>
      </c>
      <c r="N172">
        <f t="shared" si="13"/>
        <v>9</v>
      </c>
      <c r="O172" t="str">
        <f t="shared" si="14"/>
        <v>Switch</v>
      </c>
    </row>
    <row r="173" spans="1:16" ht="14.25" customHeight="1">
      <c r="A173">
        <v>332</v>
      </c>
      <c r="B173" s="35" t="s">
        <v>21</v>
      </c>
      <c r="C173" s="36" t="s">
        <v>163</v>
      </c>
      <c r="D173" s="37" t="s">
        <v>221</v>
      </c>
      <c r="E173" s="37" t="s">
        <v>74</v>
      </c>
      <c r="F173" s="37">
        <v>1</v>
      </c>
      <c r="G173" s="37">
        <v>1</v>
      </c>
      <c r="H173" s="86">
        <v>46082</v>
      </c>
      <c r="I173" s="86">
        <v>46082</v>
      </c>
      <c r="J173" s="37" t="s">
        <v>75</v>
      </c>
      <c r="K173" s="38">
        <f t="shared" si="10"/>
        <v>0</v>
      </c>
      <c r="L173" s="39">
        <f t="shared" si="11"/>
        <v>1</v>
      </c>
      <c r="M173" s="40">
        <f t="shared" ca="1" si="12"/>
        <v>-31</v>
      </c>
      <c r="N173">
        <f t="shared" si="13"/>
        <v>9</v>
      </c>
      <c r="O173" t="str">
        <f t="shared" si="14"/>
        <v>Switch</v>
      </c>
    </row>
    <row r="174" spans="1:16" ht="14.25" customHeight="1">
      <c r="A174">
        <v>334</v>
      </c>
      <c r="B174" s="35" t="s">
        <v>21</v>
      </c>
      <c r="C174" s="36" t="s">
        <v>163</v>
      </c>
      <c r="D174" s="37" t="s">
        <v>223</v>
      </c>
      <c r="E174" s="37" t="s">
        <v>74</v>
      </c>
      <c r="F174" s="37">
        <v>7</v>
      </c>
      <c r="G174" s="37">
        <v>7</v>
      </c>
      <c r="H174" s="86">
        <v>46081</v>
      </c>
      <c r="I174" s="86">
        <v>46081</v>
      </c>
      <c r="J174" s="37" t="s">
        <v>75</v>
      </c>
      <c r="K174" s="38">
        <f t="shared" si="10"/>
        <v>0</v>
      </c>
      <c r="L174" s="39">
        <f t="shared" si="11"/>
        <v>1</v>
      </c>
      <c r="M174" s="40">
        <f t="shared" ca="1" si="12"/>
        <v>-32</v>
      </c>
      <c r="N174">
        <f t="shared" si="13"/>
        <v>9</v>
      </c>
      <c r="O174" t="str">
        <f t="shared" si="14"/>
        <v>Switch</v>
      </c>
    </row>
    <row r="175" spans="1:16" ht="14.25" customHeight="1">
      <c r="A175">
        <v>335</v>
      </c>
      <c r="B175" s="35" t="s">
        <v>21</v>
      </c>
      <c r="C175" s="36" t="s">
        <v>163</v>
      </c>
      <c r="D175" s="37" t="s">
        <v>224</v>
      </c>
      <c r="E175" s="37" t="s">
        <v>74</v>
      </c>
      <c r="F175" s="37">
        <v>4</v>
      </c>
      <c r="G175" s="37">
        <v>4</v>
      </c>
      <c r="H175" s="86">
        <v>46081</v>
      </c>
      <c r="I175" s="86">
        <v>46081</v>
      </c>
      <c r="J175" s="37" t="s">
        <v>75</v>
      </c>
      <c r="K175" s="38">
        <f t="shared" si="10"/>
        <v>0</v>
      </c>
      <c r="L175" s="39">
        <f t="shared" si="11"/>
        <v>1</v>
      </c>
      <c r="M175" s="40">
        <f t="shared" ca="1" si="12"/>
        <v>-32</v>
      </c>
      <c r="N175">
        <f t="shared" si="13"/>
        <v>9</v>
      </c>
      <c r="O175" t="str">
        <f t="shared" si="14"/>
        <v>Switch</v>
      </c>
    </row>
    <row r="176" spans="1:16" ht="14.25" customHeight="1">
      <c r="A176">
        <v>312</v>
      </c>
      <c r="B176" s="35" t="s">
        <v>21</v>
      </c>
      <c r="C176" s="36" t="s">
        <v>225</v>
      </c>
      <c r="D176" s="37" t="s">
        <v>226</v>
      </c>
      <c r="E176" s="37" t="s">
        <v>74</v>
      </c>
      <c r="F176" s="37">
        <v>2</v>
      </c>
      <c r="G176" s="37">
        <v>2</v>
      </c>
      <c r="H176" s="86">
        <v>46080</v>
      </c>
      <c r="I176" s="86">
        <v>46080</v>
      </c>
      <c r="J176" s="37" t="s">
        <v>75</v>
      </c>
      <c r="K176" s="38">
        <f t="shared" si="10"/>
        <v>0</v>
      </c>
      <c r="L176" s="39">
        <f t="shared" si="11"/>
        <v>1</v>
      </c>
      <c r="M176" s="40">
        <f t="shared" ca="1" si="12"/>
        <v>-33</v>
      </c>
      <c r="N176">
        <f t="shared" si="13"/>
        <v>9</v>
      </c>
      <c r="O176" t="str">
        <f t="shared" si="14"/>
        <v>Switch</v>
      </c>
    </row>
    <row r="177" spans="1:15" ht="14.25" customHeight="1">
      <c r="A177">
        <v>315</v>
      </c>
      <c r="B177" s="35" t="s">
        <v>21</v>
      </c>
      <c r="C177" s="36" t="s">
        <v>225</v>
      </c>
      <c r="D177" s="36" t="s">
        <v>227</v>
      </c>
      <c r="E177" s="37" t="s">
        <v>74</v>
      </c>
      <c r="F177" s="37">
        <v>2</v>
      </c>
      <c r="G177" s="37">
        <v>2</v>
      </c>
      <c r="H177" s="86">
        <v>46080</v>
      </c>
      <c r="I177" s="86">
        <v>46080</v>
      </c>
      <c r="J177" s="37" t="s">
        <v>75</v>
      </c>
      <c r="K177" s="38">
        <f t="shared" si="10"/>
        <v>0</v>
      </c>
      <c r="L177" s="39">
        <f t="shared" si="11"/>
        <v>1</v>
      </c>
      <c r="M177" s="40">
        <f t="shared" ca="1" si="12"/>
        <v>-33</v>
      </c>
      <c r="N177">
        <f t="shared" si="13"/>
        <v>9</v>
      </c>
      <c r="O177" t="str">
        <f t="shared" si="14"/>
        <v>Switch</v>
      </c>
    </row>
    <row r="178" spans="1:15" ht="14.25" customHeight="1">
      <c r="A178">
        <v>316</v>
      </c>
      <c r="B178" s="35" t="s">
        <v>21</v>
      </c>
      <c r="C178" s="36" t="s">
        <v>225</v>
      </c>
      <c r="D178" s="36" t="s">
        <v>228</v>
      </c>
      <c r="E178" s="37" t="s">
        <v>74</v>
      </c>
      <c r="F178" s="37">
        <v>2</v>
      </c>
      <c r="G178" s="37">
        <v>2</v>
      </c>
      <c r="H178" s="86">
        <v>46080</v>
      </c>
      <c r="I178" s="86">
        <v>46080</v>
      </c>
      <c r="J178" s="37" t="s">
        <v>75</v>
      </c>
      <c r="K178" s="38">
        <f t="shared" si="10"/>
        <v>0</v>
      </c>
      <c r="L178" s="39">
        <f t="shared" si="11"/>
        <v>1</v>
      </c>
      <c r="M178" s="40">
        <f t="shared" ca="1" si="12"/>
        <v>-33</v>
      </c>
      <c r="N178">
        <f t="shared" si="13"/>
        <v>9</v>
      </c>
      <c r="O178" t="str">
        <f t="shared" si="14"/>
        <v>Switch</v>
      </c>
    </row>
    <row r="179" spans="1:15" ht="14.25" customHeight="1">
      <c r="A179">
        <v>317</v>
      </c>
      <c r="B179" s="35" t="s">
        <v>21</v>
      </c>
      <c r="C179" s="36" t="s">
        <v>225</v>
      </c>
      <c r="D179" s="36" t="s">
        <v>229</v>
      </c>
      <c r="E179" s="37" t="s">
        <v>74</v>
      </c>
      <c r="F179" s="37">
        <v>1</v>
      </c>
      <c r="G179" s="37">
        <v>1</v>
      </c>
      <c r="H179" s="86">
        <v>46080</v>
      </c>
      <c r="I179" s="86">
        <v>46080</v>
      </c>
      <c r="J179" s="37" t="s">
        <v>75</v>
      </c>
      <c r="K179" s="38">
        <f t="shared" si="10"/>
        <v>0</v>
      </c>
      <c r="L179" s="39">
        <f t="shared" si="11"/>
        <v>1</v>
      </c>
      <c r="M179" s="40">
        <f t="shared" ca="1" si="12"/>
        <v>-33</v>
      </c>
      <c r="N179">
        <f t="shared" si="13"/>
        <v>9</v>
      </c>
      <c r="O179" t="str">
        <f t="shared" si="14"/>
        <v>Switch</v>
      </c>
    </row>
    <row r="180" spans="1:15" ht="14.25" customHeight="1">
      <c r="A180">
        <v>318</v>
      </c>
      <c r="B180" s="35" t="s">
        <v>21</v>
      </c>
      <c r="C180" s="36" t="s">
        <v>225</v>
      </c>
      <c r="D180" s="36" t="s">
        <v>230</v>
      </c>
      <c r="E180" s="37" t="s">
        <v>74</v>
      </c>
      <c r="F180" s="37">
        <v>1</v>
      </c>
      <c r="G180" s="37">
        <v>1</v>
      </c>
      <c r="H180" s="86">
        <v>46080</v>
      </c>
      <c r="I180" s="86">
        <v>46080</v>
      </c>
      <c r="J180" s="37" t="s">
        <v>75</v>
      </c>
      <c r="K180" s="38">
        <f t="shared" si="10"/>
        <v>0</v>
      </c>
      <c r="L180" s="39">
        <f t="shared" si="11"/>
        <v>1</v>
      </c>
      <c r="M180" s="40">
        <f t="shared" ca="1" si="12"/>
        <v>-33</v>
      </c>
      <c r="N180">
        <f t="shared" si="13"/>
        <v>9</v>
      </c>
      <c r="O180" t="str">
        <f t="shared" si="14"/>
        <v>Switch</v>
      </c>
    </row>
    <row r="181" spans="1:15" ht="14.25" hidden="1" customHeight="1">
      <c r="A181">
        <v>166</v>
      </c>
      <c r="B181" s="35" t="s">
        <v>20</v>
      </c>
      <c r="C181" s="37" t="s">
        <v>93</v>
      </c>
      <c r="D181" s="37" t="s">
        <v>119</v>
      </c>
      <c r="E181" s="37" t="s">
        <v>90</v>
      </c>
      <c r="F181" s="37">
        <v>1</v>
      </c>
      <c r="G181" s="37">
        <v>1</v>
      </c>
      <c r="H181" s="86">
        <v>46094</v>
      </c>
      <c r="I181" s="86">
        <v>46094</v>
      </c>
      <c r="J181" s="37" t="s">
        <v>75</v>
      </c>
      <c r="K181" s="38">
        <f t="shared" si="10"/>
        <v>0</v>
      </c>
      <c r="L181" s="39">
        <f t="shared" si="11"/>
        <v>1</v>
      </c>
      <c r="M181" s="40">
        <f t="shared" ca="1" si="12"/>
        <v>-19</v>
      </c>
      <c r="N181">
        <f t="shared" si="13"/>
        <v>11</v>
      </c>
      <c r="O181" t="str">
        <f t="shared" si="14"/>
        <v>Switch</v>
      </c>
    </row>
    <row r="182" spans="1:15" ht="14.25" customHeight="1">
      <c r="A182">
        <v>319</v>
      </c>
      <c r="B182" s="35" t="s">
        <v>21</v>
      </c>
      <c r="C182" s="36" t="s">
        <v>225</v>
      </c>
      <c r="D182" s="36" t="s">
        <v>231</v>
      </c>
      <c r="E182" s="37" t="s">
        <v>74</v>
      </c>
      <c r="F182" s="37">
        <v>1</v>
      </c>
      <c r="G182" s="37">
        <v>1</v>
      </c>
      <c r="H182" s="86">
        <v>46080</v>
      </c>
      <c r="I182" s="86">
        <v>46080</v>
      </c>
      <c r="J182" s="37" t="s">
        <v>75</v>
      </c>
      <c r="K182" s="38">
        <f t="shared" si="10"/>
        <v>0</v>
      </c>
      <c r="L182" s="39">
        <f t="shared" si="11"/>
        <v>1</v>
      </c>
      <c r="M182" s="40">
        <f t="shared" ca="1" si="12"/>
        <v>-33</v>
      </c>
      <c r="N182">
        <f t="shared" si="13"/>
        <v>9</v>
      </c>
      <c r="O182" t="str">
        <f t="shared" si="14"/>
        <v>Switch</v>
      </c>
    </row>
    <row r="183" spans="1:15" ht="14.25" customHeight="1">
      <c r="A183">
        <v>349</v>
      </c>
      <c r="B183" s="35" t="s">
        <v>21</v>
      </c>
      <c r="C183" s="36" t="s">
        <v>232</v>
      </c>
      <c r="D183" s="37" t="s">
        <v>233</v>
      </c>
      <c r="E183" s="37" t="s">
        <v>74</v>
      </c>
      <c r="F183" s="37">
        <v>1</v>
      </c>
      <c r="G183" s="37">
        <v>1</v>
      </c>
      <c r="H183" s="86">
        <v>46080</v>
      </c>
      <c r="I183" s="86">
        <v>46080</v>
      </c>
      <c r="J183" s="37" t="s">
        <v>75</v>
      </c>
      <c r="K183" s="38">
        <f t="shared" si="10"/>
        <v>0</v>
      </c>
      <c r="L183" s="39">
        <f t="shared" si="11"/>
        <v>1</v>
      </c>
      <c r="M183" s="40">
        <f t="shared" ca="1" si="12"/>
        <v>-33</v>
      </c>
      <c r="N183">
        <f t="shared" si="13"/>
        <v>9</v>
      </c>
      <c r="O183" t="str">
        <f t="shared" si="14"/>
        <v>Switch</v>
      </c>
    </row>
    <row r="184" spans="1:15" ht="15" hidden="1" customHeight="1">
      <c r="A184">
        <v>168</v>
      </c>
      <c r="B184" s="35" t="s">
        <v>20</v>
      </c>
      <c r="C184" s="37" t="s">
        <v>93</v>
      </c>
      <c r="D184" s="37" t="s">
        <v>148</v>
      </c>
      <c r="E184" s="37" t="s">
        <v>90</v>
      </c>
      <c r="F184" s="37">
        <v>1</v>
      </c>
      <c r="G184" s="37">
        <v>1</v>
      </c>
      <c r="H184" s="86">
        <v>46094</v>
      </c>
      <c r="I184" s="86">
        <v>46094</v>
      </c>
      <c r="J184" s="37" t="s">
        <v>75</v>
      </c>
      <c r="K184" s="38">
        <f t="shared" si="10"/>
        <v>0</v>
      </c>
      <c r="L184" s="39">
        <f t="shared" si="11"/>
        <v>1</v>
      </c>
      <c r="M184" s="40">
        <f t="shared" ca="1" si="12"/>
        <v>-19</v>
      </c>
      <c r="N184">
        <f t="shared" si="13"/>
        <v>11</v>
      </c>
      <c r="O184" t="str">
        <f t="shared" si="14"/>
        <v>Switch</v>
      </c>
    </row>
    <row r="185" spans="1:15" ht="15" customHeight="1">
      <c r="A185">
        <v>350</v>
      </c>
      <c r="B185" s="35" t="s">
        <v>21</v>
      </c>
      <c r="C185" s="36" t="s">
        <v>232</v>
      </c>
      <c r="D185" s="37" t="s">
        <v>234</v>
      </c>
      <c r="E185" s="37" t="s">
        <v>74</v>
      </c>
      <c r="F185" s="37">
        <v>2</v>
      </c>
      <c r="G185" s="37">
        <v>2</v>
      </c>
      <c r="H185" s="86">
        <v>46080</v>
      </c>
      <c r="I185" s="86">
        <v>46080</v>
      </c>
      <c r="J185" s="37" t="s">
        <v>75</v>
      </c>
      <c r="K185" s="38">
        <f t="shared" si="10"/>
        <v>0</v>
      </c>
      <c r="L185" s="39">
        <f t="shared" si="11"/>
        <v>1</v>
      </c>
      <c r="M185" s="40">
        <f t="shared" ca="1" si="12"/>
        <v>-33</v>
      </c>
      <c r="N185">
        <f t="shared" si="13"/>
        <v>9</v>
      </c>
      <c r="O185" t="str">
        <f t="shared" si="14"/>
        <v>Switch</v>
      </c>
    </row>
    <row r="186" spans="1:15" ht="15" hidden="1" customHeight="1">
      <c r="A186">
        <v>170</v>
      </c>
      <c r="B186" s="35" t="s">
        <v>20</v>
      </c>
      <c r="C186" s="37" t="s">
        <v>93</v>
      </c>
      <c r="D186" s="37" t="s">
        <v>149</v>
      </c>
      <c r="E186" s="37" t="s">
        <v>90</v>
      </c>
      <c r="F186" s="37">
        <v>1</v>
      </c>
      <c r="G186" s="37">
        <v>1</v>
      </c>
      <c r="H186" s="86">
        <v>46094</v>
      </c>
      <c r="I186" s="86">
        <v>46094</v>
      </c>
      <c r="J186" s="37" t="s">
        <v>75</v>
      </c>
      <c r="K186" s="38">
        <f t="shared" si="10"/>
        <v>0</v>
      </c>
      <c r="L186" s="39">
        <f t="shared" si="11"/>
        <v>1</v>
      </c>
      <c r="M186" s="40">
        <f t="shared" ca="1" si="12"/>
        <v>-19</v>
      </c>
      <c r="N186">
        <f t="shared" si="13"/>
        <v>11</v>
      </c>
      <c r="O186" t="str">
        <f t="shared" si="14"/>
        <v>Switch</v>
      </c>
    </row>
    <row r="187" spans="1:15" ht="15" customHeight="1">
      <c r="A187">
        <v>364</v>
      </c>
      <c r="B187" s="35" t="s">
        <v>21</v>
      </c>
      <c r="C187" s="36" t="s">
        <v>235</v>
      </c>
      <c r="D187" s="37" t="s">
        <v>236</v>
      </c>
      <c r="E187" s="37" t="s">
        <v>74</v>
      </c>
      <c r="F187" s="37">
        <v>1</v>
      </c>
      <c r="G187" s="37">
        <v>1</v>
      </c>
      <c r="H187" s="86">
        <v>46080</v>
      </c>
      <c r="I187" s="86">
        <v>46080</v>
      </c>
      <c r="J187" s="37" t="s">
        <v>75</v>
      </c>
      <c r="K187" s="38">
        <f t="shared" si="10"/>
        <v>0</v>
      </c>
      <c r="L187" s="39">
        <f t="shared" si="11"/>
        <v>1</v>
      </c>
      <c r="M187" s="40">
        <f t="shared" ca="1" si="12"/>
        <v>-33</v>
      </c>
      <c r="N187">
        <f t="shared" si="13"/>
        <v>9</v>
      </c>
      <c r="O187" t="str">
        <f t="shared" si="14"/>
        <v>Switch</v>
      </c>
    </row>
    <row r="188" spans="1:15" ht="15" customHeight="1">
      <c r="A188">
        <v>365</v>
      </c>
      <c r="B188" s="35" t="s">
        <v>21</v>
      </c>
      <c r="C188" s="36" t="s">
        <v>237</v>
      </c>
      <c r="D188" s="37" t="s">
        <v>238</v>
      </c>
      <c r="E188" s="37" t="s">
        <v>74</v>
      </c>
      <c r="F188" s="37">
        <v>1</v>
      </c>
      <c r="G188" s="37">
        <v>1</v>
      </c>
      <c r="H188" s="86">
        <v>46080</v>
      </c>
      <c r="I188" s="86">
        <v>46080</v>
      </c>
      <c r="J188" s="37" t="s">
        <v>75</v>
      </c>
      <c r="K188" s="38">
        <f t="shared" si="10"/>
        <v>0</v>
      </c>
      <c r="L188" s="39">
        <f t="shared" si="11"/>
        <v>1</v>
      </c>
      <c r="M188" s="40">
        <f t="shared" ca="1" si="12"/>
        <v>-33</v>
      </c>
      <c r="N188">
        <f t="shared" si="13"/>
        <v>9</v>
      </c>
      <c r="O188" t="str">
        <f t="shared" si="14"/>
        <v>Switch</v>
      </c>
    </row>
    <row r="189" spans="1:15" ht="15" customHeight="1">
      <c r="A189">
        <v>366</v>
      </c>
      <c r="B189" s="35" t="s">
        <v>21</v>
      </c>
      <c r="C189" s="36" t="s">
        <v>239</v>
      </c>
      <c r="D189" s="37" t="s">
        <v>240</v>
      </c>
      <c r="E189" s="37" t="s">
        <v>74</v>
      </c>
      <c r="F189" s="37">
        <v>1</v>
      </c>
      <c r="G189" s="37">
        <v>1</v>
      </c>
      <c r="H189" s="86">
        <v>46080</v>
      </c>
      <c r="I189" s="86">
        <v>46080</v>
      </c>
      <c r="J189" s="37" t="s">
        <v>75</v>
      </c>
      <c r="K189" s="38">
        <f t="shared" si="10"/>
        <v>0</v>
      </c>
      <c r="L189" s="39">
        <f t="shared" si="11"/>
        <v>1</v>
      </c>
      <c r="M189" s="40">
        <f t="shared" ca="1" si="12"/>
        <v>-33</v>
      </c>
      <c r="N189">
        <f t="shared" si="13"/>
        <v>9</v>
      </c>
      <c r="O189" t="str">
        <f t="shared" si="14"/>
        <v>Switch</v>
      </c>
    </row>
    <row r="190" spans="1:15" ht="15" customHeight="1">
      <c r="A190">
        <v>367</v>
      </c>
      <c r="B190" s="35" t="s">
        <v>21</v>
      </c>
      <c r="C190" s="36" t="s">
        <v>241</v>
      </c>
      <c r="D190" s="37" t="s">
        <v>242</v>
      </c>
      <c r="E190" s="37" t="s">
        <v>74</v>
      </c>
      <c r="F190" s="37">
        <v>1</v>
      </c>
      <c r="G190" s="37">
        <v>1</v>
      </c>
      <c r="H190" s="86">
        <v>46080</v>
      </c>
      <c r="I190" s="86">
        <v>46080</v>
      </c>
      <c r="J190" s="37" t="s">
        <v>75</v>
      </c>
      <c r="K190" s="38">
        <f t="shared" si="10"/>
        <v>0</v>
      </c>
      <c r="L190" s="39">
        <f t="shared" si="11"/>
        <v>1</v>
      </c>
      <c r="M190" s="40">
        <f t="shared" ca="1" si="12"/>
        <v>-33</v>
      </c>
      <c r="N190">
        <f t="shared" si="13"/>
        <v>9</v>
      </c>
      <c r="O190" t="str">
        <f t="shared" si="14"/>
        <v>Switch</v>
      </c>
    </row>
    <row r="191" spans="1:15" ht="15" customHeight="1">
      <c r="A191">
        <v>368</v>
      </c>
      <c r="B191" s="35" t="s">
        <v>21</v>
      </c>
      <c r="C191" s="36" t="s">
        <v>243</v>
      </c>
      <c r="D191" s="37" t="s">
        <v>244</v>
      </c>
      <c r="E191" s="37" t="s">
        <v>74</v>
      </c>
      <c r="F191" s="37">
        <v>1</v>
      </c>
      <c r="G191" s="37">
        <v>1</v>
      </c>
      <c r="H191" s="86">
        <v>46080</v>
      </c>
      <c r="I191" s="86">
        <v>46080</v>
      </c>
      <c r="J191" s="37" t="s">
        <v>75</v>
      </c>
      <c r="K191" s="38">
        <f t="shared" si="10"/>
        <v>0</v>
      </c>
      <c r="L191" s="39">
        <f t="shared" si="11"/>
        <v>1</v>
      </c>
      <c r="M191" s="40">
        <f t="shared" ca="1" si="12"/>
        <v>-33</v>
      </c>
      <c r="N191">
        <f t="shared" si="13"/>
        <v>9</v>
      </c>
      <c r="O191" t="str">
        <f t="shared" si="14"/>
        <v>Switch</v>
      </c>
    </row>
    <row r="192" spans="1:15" ht="15" hidden="1" customHeight="1">
      <c r="A192">
        <v>177</v>
      </c>
      <c r="B192" s="35" t="s">
        <v>20</v>
      </c>
      <c r="C192" s="37" t="s">
        <v>93</v>
      </c>
      <c r="D192" s="37" t="s">
        <v>245</v>
      </c>
      <c r="E192" s="37" t="s">
        <v>90</v>
      </c>
      <c r="F192" s="37">
        <v>1</v>
      </c>
      <c r="G192" s="37">
        <v>1</v>
      </c>
      <c r="H192" s="86">
        <v>46094</v>
      </c>
      <c r="I192" s="86">
        <v>46094</v>
      </c>
      <c r="J192" s="37" t="s">
        <v>75</v>
      </c>
      <c r="K192" s="38">
        <f t="shared" si="10"/>
        <v>0</v>
      </c>
      <c r="L192" s="39">
        <f t="shared" si="11"/>
        <v>1</v>
      </c>
      <c r="M192" s="40">
        <f t="shared" ca="1" si="12"/>
        <v>-19</v>
      </c>
      <c r="N192">
        <f t="shared" si="13"/>
        <v>11</v>
      </c>
      <c r="O192" t="str">
        <f t="shared" si="14"/>
        <v>Switch</v>
      </c>
    </row>
    <row r="193" spans="1:16" ht="15" customHeight="1">
      <c r="A193">
        <v>359</v>
      </c>
      <c r="B193" s="35" t="s">
        <v>21</v>
      </c>
      <c r="C193" s="36" t="s">
        <v>246</v>
      </c>
      <c r="D193" s="37" t="s">
        <v>247</v>
      </c>
      <c r="E193" s="37" t="s">
        <v>74</v>
      </c>
      <c r="F193" s="37">
        <v>1</v>
      </c>
      <c r="G193" s="37">
        <v>1</v>
      </c>
      <c r="H193" s="86">
        <v>46079</v>
      </c>
      <c r="I193" s="86">
        <v>46079</v>
      </c>
      <c r="J193" s="37" t="s">
        <v>75</v>
      </c>
      <c r="K193" s="38">
        <f t="shared" si="10"/>
        <v>0</v>
      </c>
      <c r="L193" s="39">
        <f t="shared" si="11"/>
        <v>1</v>
      </c>
      <c r="M193" s="40">
        <f t="shared" ca="1" si="12"/>
        <v>-34</v>
      </c>
      <c r="N193">
        <f t="shared" si="13"/>
        <v>9</v>
      </c>
      <c r="O193" t="str">
        <f t="shared" si="14"/>
        <v>Switch</v>
      </c>
    </row>
    <row r="194" spans="1:16" ht="15" customHeight="1">
      <c r="A194">
        <v>361</v>
      </c>
      <c r="B194" s="35" t="s">
        <v>21</v>
      </c>
      <c r="C194" s="36" t="s">
        <v>248</v>
      </c>
      <c r="D194" s="37" t="s">
        <v>249</v>
      </c>
      <c r="E194" s="37" t="s">
        <v>74</v>
      </c>
      <c r="F194" s="37">
        <v>1</v>
      </c>
      <c r="G194" s="37">
        <v>1</v>
      </c>
      <c r="H194" s="86">
        <v>46079</v>
      </c>
      <c r="I194" s="86">
        <v>46079</v>
      </c>
      <c r="J194" s="37" t="s">
        <v>75</v>
      </c>
      <c r="K194" s="38">
        <f t="shared" ref="K194:K257" si="15">F194-G194</f>
        <v>0</v>
      </c>
      <c r="L194" s="39">
        <f t="shared" ref="L194:L257" si="16">IF(F194=0,"",G194/F194)</f>
        <v>1</v>
      </c>
      <c r="M194" s="40">
        <f t="shared" ref="M194:M257" ca="1" si="17">I194-TODAY()</f>
        <v>-34</v>
      </c>
      <c r="N194">
        <f t="shared" ref="N194:N257" si="18">_xlfn.ISOWEEKNUM(I194)</f>
        <v>9</v>
      </c>
      <c r="O194" t="str">
        <f t="shared" ref="O194:O257" si="19">IF(ISNUMBER(SEARCH("Access Point",E194)),"AP",IF(OR(ISNUMBER(SEARCH("Switch",E194)),ISNUMBER(SEARCH("Control Type",E194))),"Switch","Infra"))</f>
        <v>Switch</v>
      </c>
    </row>
    <row r="195" spans="1:16" ht="15" hidden="1" customHeight="1">
      <c r="A195">
        <v>180</v>
      </c>
      <c r="B195" s="35" t="s">
        <v>20</v>
      </c>
      <c r="C195" s="37" t="s">
        <v>93</v>
      </c>
      <c r="D195" s="37" t="s">
        <v>250</v>
      </c>
      <c r="E195" s="37" t="s">
        <v>90</v>
      </c>
      <c r="F195" s="37">
        <v>1</v>
      </c>
      <c r="G195" s="37">
        <v>1</v>
      </c>
      <c r="H195" s="86">
        <v>46094</v>
      </c>
      <c r="I195" s="86">
        <v>46094</v>
      </c>
      <c r="J195" s="37" t="s">
        <v>75</v>
      </c>
      <c r="K195" s="38">
        <f t="shared" si="15"/>
        <v>0</v>
      </c>
      <c r="L195" s="39">
        <f t="shared" si="16"/>
        <v>1</v>
      </c>
      <c r="M195" s="40">
        <f t="shared" ca="1" si="17"/>
        <v>-19</v>
      </c>
      <c r="N195">
        <f t="shared" si="18"/>
        <v>11</v>
      </c>
      <c r="O195" t="str">
        <f t="shared" si="19"/>
        <v>Switch</v>
      </c>
    </row>
    <row r="196" spans="1:16" ht="15" customHeight="1">
      <c r="A196">
        <v>363</v>
      </c>
      <c r="B196" s="35" t="s">
        <v>21</v>
      </c>
      <c r="C196" s="36" t="s">
        <v>251</v>
      </c>
      <c r="D196" s="37" t="s">
        <v>252</v>
      </c>
      <c r="E196" s="37" t="s">
        <v>74</v>
      </c>
      <c r="F196" s="37">
        <v>1</v>
      </c>
      <c r="G196" s="37">
        <v>1</v>
      </c>
      <c r="H196" s="86">
        <v>46079</v>
      </c>
      <c r="I196" s="86">
        <v>46079</v>
      </c>
      <c r="J196" s="37" t="s">
        <v>75</v>
      </c>
      <c r="K196" s="38">
        <f t="shared" si="15"/>
        <v>0</v>
      </c>
      <c r="L196" s="39">
        <f t="shared" si="16"/>
        <v>1</v>
      </c>
      <c r="M196" s="40">
        <f t="shared" ca="1" si="17"/>
        <v>-34</v>
      </c>
      <c r="N196">
        <f t="shared" si="18"/>
        <v>9</v>
      </c>
      <c r="O196" t="str">
        <f t="shared" si="19"/>
        <v>Switch</v>
      </c>
    </row>
    <row r="197" spans="1:16" ht="15" customHeight="1">
      <c r="A197">
        <v>369</v>
      </c>
      <c r="B197" s="35" t="s">
        <v>21</v>
      </c>
      <c r="C197" s="36" t="s">
        <v>253</v>
      </c>
      <c r="D197" s="37" t="s">
        <v>254</v>
      </c>
      <c r="E197" s="37" t="s">
        <v>74</v>
      </c>
      <c r="F197" s="37">
        <v>1</v>
      </c>
      <c r="G197" s="37">
        <v>1</v>
      </c>
      <c r="H197" s="86">
        <v>46079</v>
      </c>
      <c r="I197" s="86">
        <v>46079</v>
      </c>
      <c r="J197" s="37" t="s">
        <v>75</v>
      </c>
      <c r="K197" s="38">
        <f t="shared" si="15"/>
        <v>0</v>
      </c>
      <c r="L197" s="39">
        <f t="shared" si="16"/>
        <v>1</v>
      </c>
      <c r="M197" s="40">
        <f t="shared" ca="1" si="17"/>
        <v>-34</v>
      </c>
      <c r="N197">
        <f t="shared" si="18"/>
        <v>9</v>
      </c>
      <c r="O197" t="str">
        <f t="shared" si="19"/>
        <v>Switch</v>
      </c>
    </row>
    <row r="198" spans="1:16" ht="15" customHeight="1">
      <c r="A198">
        <v>321</v>
      </c>
      <c r="B198" s="35" t="s">
        <v>21</v>
      </c>
      <c r="C198" s="36" t="s">
        <v>225</v>
      </c>
      <c r="D198" s="36" t="s">
        <v>255</v>
      </c>
      <c r="E198" s="37" t="s">
        <v>80</v>
      </c>
      <c r="F198" s="37">
        <v>1</v>
      </c>
      <c r="G198" s="37">
        <v>1</v>
      </c>
      <c r="H198" s="86">
        <v>46079</v>
      </c>
      <c r="I198" s="86">
        <v>46079</v>
      </c>
      <c r="J198" s="37" t="s">
        <v>75</v>
      </c>
      <c r="K198" s="38">
        <f t="shared" si="15"/>
        <v>0</v>
      </c>
      <c r="L198" s="39">
        <f t="shared" si="16"/>
        <v>1</v>
      </c>
      <c r="M198" s="40">
        <f t="shared" ca="1" si="17"/>
        <v>-34</v>
      </c>
      <c r="N198">
        <f t="shared" si="18"/>
        <v>9</v>
      </c>
      <c r="O198" t="str">
        <f t="shared" si="19"/>
        <v>Switch</v>
      </c>
    </row>
    <row r="199" spans="1:16" ht="15" customHeight="1">
      <c r="A199">
        <v>320</v>
      </c>
      <c r="B199" s="35" t="s">
        <v>21</v>
      </c>
      <c r="C199" s="36" t="s">
        <v>225</v>
      </c>
      <c r="D199" s="36" t="s">
        <v>255</v>
      </c>
      <c r="E199" s="37" t="s">
        <v>74</v>
      </c>
      <c r="F199" s="37">
        <v>4</v>
      </c>
      <c r="G199" s="37">
        <v>4</v>
      </c>
      <c r="H199" s="86">
        <v>46079</v>
      </c>
      <c r="I199" s="86">
        <v>46079</v>
      </c>
      <c r="J199" s="37" t="s">
        <v>75</v>
      </c>
      <c r="K199" s="38">
        <f t="shared" si="15"/>
        <v>0</v>
      </c>
      <c r="L199" s="39">
        <f t="shared" si="16"/>
        <v>1</v>
      </c>
      <c r="M199" s="40">
        <f t="shared" ca="1" si="17"/>
        <v>-34</v>
      </c>
      <c r="N199">
        <f t="shared" si="18"/>
        <v>9</v>
      </c>
      <c r="O199" t="str">
        <f t="shared" si="19"/>
        <v>Switch</v>
      </c>
    </row>
    <row r="200" spans="1:16" ht="14.25" customHeight="1">
      <c r="A200">
        <v>323</v>
      </c>
      <c r="B200" s="35" t="s">
        <v>21</v>
      </c>
      <c r="C200" s="36" t="s">
        <v>225</v>
      </c>
      <c r="D200" s="36" t="s">
        <v>256</v>
      </c>
      <c r="E200" s="37" t="s">
        <v>74</v>
      </c>
      <c r="F200" s="37">
        <v>5</v>
      </c>
      <c r="G200" s="37">
        <v>5</v>
      </c>
      <c r="H200" s="86">
        <v>46079</v>
      </c>
      <c r="I200" s="86">
        <v>46079</v>
      </c>
      <c r="J200" s="37" t="s">
        <v>75</v>
      </c>
      <c r="K200" s="38">
        <f t="shared" si="15"/>
        <v>0</v>
      </c>
      <c r="L200" s="39">
        <f t="shared" si="16"/>
        <v>1</v>
      </c>
      <c r="M200" s="40">
        <f t="shared" ca="1" si="17"/>
        <v>-34</v>
      </c>
      <c r="N200">
        <f t="shared" si="18"/>
        <v>9</v>
      </c>
      <c r="O200" t="str">
        <f t="shared" si="19"/>
        <v>Switch</v>
      </c>
    </row>
    <row r="201" spans="1:16" ht="14.25" customHeight="1">
      <c r="A201">
        <v>310</v>
      </c>
      <c r="B201" s="35" t="s">
        <v>21</v>
      </c>
      <c r="C201" s="44" t="s">
        <v>257</v>
      </c>
      <c r="D201" s="37" t="s">
        <v>258</v>
      </c>
      <c r="E201" s="37" t="s">
        <v>74</v>
      </c>
      <c r="F201" s="37">
        <v>4</v>
      </c>
      <c r="G201" s="37">
        <v>4</v>
      </c>
      <c r="H201" s="86">
        <v>46078</v>
      </c>
      <c r="I201" s="86">
        <v>46078</v>
      </c>
      <c r="J201" s="37" t="s">
        <v>75</v>
      </c>
      <c r="K201" s="38">
        <f t="shared" si="15"/>
        <v>0</v>
      </c>
      <c r="L201" s="39">
        <f t="shared" si="16"/>
        <v>1</v>
      </c>
      <c r="M201" s="40">
        <f t="shared" ca="1" si="17"/>
        <v>-35</v>
      </c>
      <c r="N201">
        <f t="shared" si="18"/>
        <v>9</v>
      </c>
      <c r="O201" t="str">
        <f t="shared" si="19"/>
        <v>Switch</v>
      </c>
    </row>
    <row r="202" spans="1:16" ht="14.25" customHeight="1">
      <c r="A202">
        <v>314</v>
      </c>
      <c r="B202" s="35" t="s">
        <v>21</v>
      </c>
      <c r="C202" s="36" t="s">
        <v>225</v>
      </c>
      <c r="D202" s="37" t="s">
        <v>259</v>
      </c>
      <c r="E202" s="37" t="s">
        <v>74</v>
      </c>
      <c r="F202" s="37">
        <v>2</v>
      </c>
      <c r="G202" s="37">
        <v>2</v>
      </c>
      <c r="H202" s="86">
        <v>46078</v>
      </c>
      <c r="I202" s="86">
        <v>46078</v>
      </c>
      <c r="J202" s="37" t="s">
        <v>75</v>
      </c>
      <c r="K202" s="38">
        <f t="shared" si="15"/>
        <v>0</v>
      </c>
      <c r="L202" s="39">
        <f t="shared" si="16"/>
        <v>1</v>
      </c>
      <c r="M202" s="40">
        <f t="shared" ca="1" si="17"/>
        <v>-35</v>
      </c>
      <c r="N202">
        <f t="shared" si="18"/>
        <v>9</v>
      </c>
      <c r="O202" t="str">
        <f t="shared" si="19"/>
        <v>Switch</v>
      </c>
    </row>
    <row r="203" spans="1:16" ht="14.25" customHeight="1">
      <c r="A203">
        <v>313</v>
      </c>
      <c r="B203" s="35" t="s">
        <v>21</v>
      </c>
      <c r="C203" s="36" t="s">
        <v>225</v>
      </c>
      <c r="D203" s="37" t="s">
        <v>260</v>
      </c>
      <c r="E203" s="37" t="s">
        <v>74</v>
      </c>
      <c r="F203" s="37">
        <v>4</v>
      </c>
      <c r="G203" s="37">
        <v>4</v>
      </c>
      <c r="H203" s="86">
        <v>46078</v>
      </c>
      <c r="I203" s="86">
        <v>46078</v>
      </c>
      <c r="J203" s="37" t="s">
        <v>75</v>
      </c>
      <c r="K203" s="38">
        <f t="shared" si="15"/>
        <v>0</v>
      </c>
      <c r="L203" s="39">
        <f t="shared" si="16"/>
        <v>1</v>
      </c>
      <c r="M203" s="40">
        <f t="shared" ca="1" si="17"/>
        <v>-35</v>
      </c>
      <c r="N203">
        <f t="shared" si="18"/>
        <v>9</v>
      </c>
      <c r="O203" t="str">
        <f t="shared" si="19"/>
        <v>Switch</v>
      </c>
    </row>
    <row r="204" spans="1:16" ht="14.25" customHeight="1">
      <c r="A204">
        <v>322</v>
      </c>
      <c r="B204" s="35" t="s">
        <v>21</v>
      </c>
      <c r="C204" s="36" t="s">
        <v>225</v>
      </c>
      <c r="D204" s="36" t="s">
        <v>261</v>
      </c>
      <c r="E204" s="37" t="s">
        <v>74</v>
      </c>
      <c r="F204" s="37">
        <v>4</v>
      </c>
      <c r="G204" s="37">
        <v>4</v>
      </c>
      <c r="H204" s="86">
        <v>46078</v>
      </c>
      <c r="I204" s="86">
        <v>46078</v>
      </c>
      <c r="J204" s="37" t="s">
        <v>75</v>
      </c>
      <c r="K204" s="38">
        <f t="shared" si="15"/>
        <v>0</v>
      </c>
      <c r="L204" s="39">
        <f t="shared" si="16"/>
        <v>1</v>
      </c>
      <c r="M204" s="40">
        <f t="shared" ca="1" si="17"/>
        <v>-35</v>
      </c>
      <c r="N204">
        <f t="shared" si="18"/>
        <v>9</v>
      </c>
      <c r="O204" t="str">
        <f t="shared" si="19"/>
        <v>Switch</v>
      </c>
    </row>
    <row r="205" spans="1:16" ht="14.25" customHeight="1">
      <c r="A205">
        <v>2</v>
      </c>
      <c r="B205" s="35" t="s">
        <v>20</v>
      </c>
      <c r="C205" s="36" t="s">
        <v>138</v>
      </c>
      <c r="D205" s="37" t="s">
        <v>262</v>
      </c>
      <c r="E205" s="37" t="s">
        <v>142</v>
      </c>
      <c r="F205" s="37">
        <v>4</v>
      </c>
      <c r="G205" s="37">
        <v>4</v>
      </c>
      <c r="H205" s="86">
        <v>46073</v>
      </c>
      <c r="I205" s="86">
        <v>46073</v>
      </c>
      <c r="J205" s="37" t="s">
        <v>75</v>
      </c>
      <c r="K205" s="38">
        <f t="shared" si="15"/>
        <v>0</v>
      </c>
      <c r="L205" s="39">
        <f t="shared" si="16"/>
        <v>1</v>
      </c>
      <c r="M205" s="40">
        <f t="shared" ca="1" si="17"/>
        <v>-40</v>
      </c>
      <c r="N205">
        <f t="shared" si="18"/>
        <v>8</v>
      </c>
      <c r="O205" t="str">
        <f t="shared" si="19"/>
        <v>Switch</v>
      </c>
    </row>
    <row r="206" spans="1:16" ht="14.25" hidden="1" customHeight="1">
      <c r="A206">
        <v>244</v>
      </c>
      <c r="B206" s="35" t="s">
        <v>20</v>
      </c>
      <c r="C206" s="37" t="s">
        <v>96</v>
      </c>
      <c r="D206" s="37" t="s">
        <v>263</v>
      </c>
      <c r="E206" s="37" t="s">
        <v>90</v>
      </c>
      <c r="F206" s="37">
        <v>2</v>
      </c>
      <c r="G206" s="37">
        <v>1</v>
      </c>
      <c r="H206" s="86">
        <v>46062</v>
      </c>
      <c r="I206" s="86">
        <v>46174</v>
      </c>
      <c r="J206" s="37" t="s">
        <v>5</v>
      </c>
      <c r="K206" s="38">
        <f t="shared" si="15"/>
        <v>1</v>
      </c>
      <c r="L206" s="39">
        <f t="shared" si="16"/>
        <v>0.5</v>
      </c>
      <c r="M206" s="40">
        <f t="shared" ca="1" si="17"/>
        <v>61</v>
      </c>
      <c r="N206">
        <f t="shared" si="18"/>
        <v>23</v>
      </c>
      <c r="O206" t="str">
        <f t="shared" si="19"/>
        <v>Switch</v>
      </c>
      <c r="P206" s="41" t="s">
        <v>264</v>
      </c>
    </row>
    <row r="207" spans="1:16" ht="14.25" customHeight="1">
      <c r="A207">
        <v>27</v>
      </c>
      <c r="B207" s="35" t="s">
        <v>20</v>
      </c>
      <c r="C207" s="36" t="s">
        <v>138</v>
      </c>
      <c r="D207" s="37" t="s">
        <v>265</v>
      </c>
      <c r="E207" s="37" t="s">
        <v>142</v>
      </c>
      <c r="F207" s="37">
        <v>2</v>
      </c>
      <c r="G207" s="37">
        <v>2</v>
      </c>
      <c r="H207" s="86">
        <v>46073</v>
      </c>
      <c r="I207" s="86">
        <v>46073</v>
      </c>
      <c r="J207" s="37" t="s">
        <v>75</v>
      </c>
      <c r="K207" s="38">
        <f t="shared" si="15"/>
        <v>0</v>
      </c>
      <c r="L207" s="39">
        <f t="shared" si="16"/>
        <v>1</v>
      </c>
      <c r="M207" s="40">
        <f t="shared" ca="1" si="17"/>
        <v>-40</v>
      </c>
      <c r="N207">
        <f t="shared" si="18"/>
        <v>8</v>
      </c>
      <c r="O207" t="str">
        <f t="shared" si="19"/>
        <v>Switch</v>
      </c>
    </row>
    <row r="208" spans="1:16" ht="14.25" customHeight="1">
      <c r="A208">
        <v>7</v>
      </c>
      <c r="B208" s="35" t="s">
        <v>20</v>
      </c>
      <c r="C208" s="36" t="s">
        <v>138</v>
      </c>
      <c r="D208" s="37" t="s">
        <v>266</v>
      </c>
      <c r="E208" s="37" t="s">
        <v>142</v>
      </c>
      <c r="F208" s="37">
        <v>4</v>
      </c>
      <c r="G208" s="37">
        <v>4</v>
      </c>
      <c r="H208" s="86">
        <v>46072</v>
      </c>
      <c r="I208" s="86">
        <v>46072</v>
      </c>
      <c r="J208" s="37" t="s">
        <v>75</v>
      </c>
      <c r="K208" s="38">
        <f t="shared" si="15"/>
        <v>0</v>
      </c>
      <c r="L208" s="39">
        <f t="shared" si="16"/>
        <v>1</v>
      </c>
      <c r="M208" s="40">
        <f t="shared" ca="1" si="17"/>
        <v>-41</v>
      </c>
      <c r="N208">
        <f t="shared" si="18"/>
        <v>8</v>
      </c>
      <c r="O208" t="str">
        <f t="shared" si="19"/>
        <v>Switch</v>
      </c>
    </row>
    <row r="209" spans="1:16" ht="14.25" hidden="1" customHeight="1">
      <c r="A209">
        <v>247</v>
      </c>
      <c r="B209" s="35" t="s">
        <v>20</v>
      </c>
      <c r="C209" s="37" t="s">
        <v>96</v>
      </c>
      <c r="D209" s="37" t="s">
        <v>135</v>
      </c>
      <c r="E209" s="37" t="s">
        <v>118</v>
      </c>
      <c r="F209" s="37">
        <v>1</v>
      </c>
      <c r="G209" s="37">
        <v>1</v>
      </c>
      <c r="H209" s="86">
        <v>46087</v>
      </c>
      <c r="I209" s="86">
        <v>46087</v>
      </c>
      <c r="J209" s="37" t="s">
        <v>75</v>
      </c>
      <c r="K209" s="38">
        <f t="shared" si="15"/>
        <v>0</v>
      </c>
      <c r="L209" s="39">
        <f t="shared" si="16"/>
        <v>1</v>
      </c>
      <c r="M209" s="40">
        <f t="shared" ca="1" si="17"/>
        <v>-26</v>
      </c>
      <c r="N209">
        <f t="shared" si="18"/>
        <v>10</v>
      </c>
      <c r="O209" t="str">
        <f t="shared" si="19"/>
        <v>Switch</v>
      </c>
    </row>
    <row r="210" spans="1:16" ht="14.25" customHeight="1">
      <c r="A210">
        <v>12</v>
      </c>
      <c r="B210" s="35" t="s">
        <v>20</v>
      </c>
      <c r="C210" s="36" t="s">
        <v>138</v>
      </c>
      <c r="D210" s="37" t="s">
        <v>267</v>
      </c>
      <c r="E210" s="37" t="s">
        <v>80</v>
      </c>
      <c r="F210" s="37">
        <v>1</v>
      </c>
      <c r="G210" s="37">
        <v>1</v>
      </c>
      <c r="H210" s="86">
        <v>46072</v>
      </c>
      <c r="I210" s="86">
        <v>46072</v>
      </c>
      <c r="J210" s="37" t="s">
        <v>75</v>
      </c>
      <c r="K210" s="38">
        <f t="shared" si="15"/>
        <v>0</v>
      </c>
      <c r="L210" s="39">
        <f t="shared" si="16"/>
        <v>1</v>
      </c>
      <c r="M210" s="40">
        <f t="shared" ca="1" si="17"/>
        <v>-41</v>
      </c>
      <c r="N210">
        <f t="shared" si="18"/>
        <v>8</v>
      </c>
      <c r="O210" t="str">
        <f t="shared" si="19"/>
        <v>Switch</v>
      </c>
    </row>
    <row r="211" spans="1:16" ht="14.25" customHeight="1">
      <c r="A211">
        <v>11</v>
      </c>
      <c r="B211" s="35" t="s">
        <v>20</v>
      </c>
      <c r="C211" s="36" t="s">
        <v>138</v>
      </c>
      <c r="D211" s="37" t="s">
        <v>267</v>
      </c>
      <c r="E211" s="37" t="s">
        <v>74</v>
      </c>
      <c r="F211" s="37">
        <v>2</v>
      </c>
      <c r="G211" s="37">
        <v>2</v>
      </c>
      <c r="H211" s="86">
        <v>46072</v>
      </c>
      <c r="I211" s="86">
        <v>46072</v>
      </c>
      <c r="J211" s="37" t="s">
        <v>75</v>
      </c>
      <c r="K211" s="38">
        <f t="shared" si="15"/>
        <v>0</v>
      </c>
      <c r="L211" s="39">
        <f t="shared" si="16"/>
        <v>1</v>
      </c>
      <c r="M211" s="40">
        <f t="shared" ca="1" si="17"/>
        <v>-41</v>
      </c>
      <c r="N211">
        <f t="shared" si="18"/>
        <v>8</v>
      </c>
      <c r="O211" t="str">
        <f t="shared" si="19"/>
        <v>Switch</v>
      </c>
    </row>
    <row r="212" spans="1:16" ht="14.25" hidden="1" customHeight="1">
      <c r="A212">
        <v>250</v>
      </c>
      <c r="B212" s="35" t="s">
        <v>20</v>
      </c>
      <c r="C212" s="37" t="s">
        <v>96</v>
      </c>
      <c r="D212" s="37" t="s">
        <v>136</v>
      </c>
      <c r="E212" s="37" t="s">
        <v>118</v>
      </c>
      <c r="F212" s="37">
        <v>1</v>
      </c>
      <c r="G212" s="37">
        <v>1</v>
      </c>
      <c r="H212" s="86">
        <v>46087</v>
      </c>
      <c r="I212" s="86">
        <v>46087</v>
      </c>
      <c r="J212" s="37" t="s">
        <v>75</v>
      </c>
      <c r="K212" s="38">
        <f t="shared" si="15"/>
        <v>0</v>
      </c>
      <c r="L212" s="39">
        <f t="shared" si="16"/>
        <v>1</v>
      </c>
      <c r="M212" s="40">
        <f t="shared" ca="1" si="17"/>
        <v>-26</v>
      </c>
      <c r="N212">
        <f t="shared" si="18"/>
        <v>10</v>
      </c>
      <c r="O212" t="str">
        <f t="shared" si="19"/>
        <v>Switch</v>
      </c>
    </row>
    <row r="213" spans="1:16" ht="14.25" customHeight="1">
      <c r="A213">
        <v>10</v>
      </c>
      <c r="B213" s="35" t="s">
        <v>20</v>
      </c>
      <c r="C213" s="36" t="s">
        <v>138</v>
      </c>
      <c r="D213" s="37" t="s">
        <v>267</v>
      </c>
      <c r="E213" s="37" t="s">
        <v>140</v>
      </c>
      <c r="F213" s="37">
        <v>5</v>
      </c>
      <c r="G213" s="37">
        <v>5</v>
      </c>
      <c r="H213" s="86">
        <v>46072</v>
      </c>
      <c r="I213" s="86">
        <v>46072</v>
      </c>
      <c r="J213" s="37" t="s">
        <v>75</v>
      </c>
      <c r="K213" s="38">
        <f t="shared" si="15"/>
        <v>0</v>
      </c>
      <c r="L213" s="39">
        <f t="shared" si="16"/>
        <v>1</v>
      </c>
      <c r="M213" s="40">
        <f t="shared" ca="1" si="17"/>
        <v>-41</v>
      </c>
      <c r="N213">
        <f t="shared" si="18"/>
        <v>8</v>
      </c>
      <c r="O213" t="str">
        <f t="shared" si="19"/>
        <v>Switch</v>
      </c>
    </row>
    <row r="214" spans="1:16" ht="14.25" customHeight="1">
      <c r="A214">
        <v>15</v>
      </c>
      <c r="B214" s="35" t="s">
        <v>20</v>
      </c>
      <c r="C214" s="36" t="s">
        <v>138</v>
      </c>
      <c r="D214" s="37" t="s">
        <v>268</v>
      </c>
      <c r="E214" s="37" t="s">
        <v>80</v>
      </c>
      <c r="F214" s="37">
        <v>2</v>
      </c>
      <c r="G214" s="37">
        <v>2</v>
      </c>
      <c r="H214" s="86">
        <v>46071</v>
      </c>
      <c r="I214" s="86">
        <v>46071</v>
      </c>
      <c r="J214" s="37" t="s">
        <v>75</v>
      </c>
      <c r="K214" s="38">
        <f t="shared" si="15"/>
        <v>0</v>
      </c>
      <c r="L214" s="39">
        <f t="shared" si="16"/>
        <v>1</v>
      </c>
      <c r="M214" s="40">
        <f t="shared" ca="1" si="17"/>
        <v>-42</v>
      </c>
      <c r="N214">
        <f t="shared" si="18"/>
        <v>8</v>
      </c>
      <c r="O214" t="str">
        <f t="shared" si="19"/>
        <v>Switch</v>
      </c>
    </row>
    <row r="215" spans="1:16" ht="14.25" customHeight="1">
      <c r="A215">
        <v>14</v>
      </c>
      <c r="B215" s="35" t="s">
        <v>20</v>
      </c>
      <c r="C215" s="36" t="s">
        <v>138</v>
      </c>
      <c r="D215" s="37" t="s">
        <v>268</v>
      </c>
      <c r="E215" s="37" t="s">
        <v>140</v>
      </c>
      <c r="F215" s="37">
        <v>1</v>
      </c>
      <c r="G215" s="37">
        <v>1</v>
      </c>
      <c r="H215" s="86">
        <v>46071</v>
      </c>
      <c r="I215" s="86">
        <v>46071</v>
      </c>
      <c r="J215" s="37" t="s">
        <v>75</v>
      </c>
      <c r="K215" s="38">
        <f t="shared" si="15"/>
        <v>0</v>
      </c>
      <c r="L215" s="39">
        <f t="shared" si="16"/>
        <v>1</v>
      </c>
      <c r="M215" s="40">
        <f t="shared" ca="1" si="17"/>
        <v>-42</v>
      </c>
      <c r="N215">
        <f t="shared" si="18"/>
        <v>8</v>
      </c>
      <c r="O215" t="str">
        <f t="shared" si="19"/>
        <v>Switch</v>
      </c>
    </row>
    <row r="216" spans="1:16" ht="14.25" customHeight="1">
      <c r="A216">
        <v>28</v>
      </c>
      <c r="B216" s="35" t="s">
        <v>20</v>
      </c>
      <c r="C216" s="36" t="s">
        <v>138</v>
      </c>
      <c r="D216" s="37" t="s">
        <v>269</v>
      </c>
      <c r="E216" s="37" t="s">
        <v>80</v>
      </c>
      <c r="F216" s="37">
        <v>1</v>
      </c>
      <c r="G216" s="37">
        <v>1</v>
      </c>
      <c r="H216" s="86">
        <v>46071</v>
      </c>
      <c r="I216" s="86">
        <v>46071</v>
      </c>
      <c r="J216" s="37" t="s">
        <v>75</v>
      </c>
      <c r="K216" s="38">
        <f t="shared" si="15"/>
        <v>0</v>
      </c>
      <c r="L216" s="39">
        <f t="shared" si="16"/>
        <v>1</v>
      </c>
      <c r="M216" s="40">
        <f t="shared" ca="1" si="17"/>
        <v>-42</v>
      </c>
      <c r="N216">
        <f t="shared" si="18"/>
        <v>8</v>
      </c>
      <c r="O216" t="str">
        <f t="shared" si="19"/>
        <v>Switch</v>
      </c>
    </row>
    <row r="217" spans="1:16" ht="14.25" customHeight="1">
      <c r="A217">
        <v>30</v>
      </c>
      <c r="B217" s="35" t="s">
        <v>20</v>
      </c>
      <c r="C217" s="36" t="s">
        <v>138</v>
      </c>
      <c r="D217" s="37" t="s">
        <v>270</v>
      </c>
      <c r="E217" s="37" t="s">
        <v>142</v>
      </c>
      <c r="F217" s="37">
        <v>2</v>
      </c>
      <c r="G217" s="37">
        <v>2</v>
      </c>
      <c r="H217" s="86">
        <v>46071</v>
      </c>
      <c r="I217" s="86">
        <v>46071</v>
      </c>
      <c r="J217" s="37" t="s">
        <v>75</v>
      </c>
      <c r="K217" s="38">
        <f t="shared" si="15"/>
        <v>0</v>
      </c>
      <c r="L217" s="39">
        <f t="shared" si="16"/>
        <v>1</v>
      </c>
      <c r="M217" s="40">
        <f t="shared" ca="1" si="17"/>
        <v>-42</v>
      </c>
      <c r="N217">
        <f t="shared" si="18"/>
        <v>8</v>
      </c>
      <c r="O217" t="str">
        <f t="shared" si="19"/>
        <v>Switch</v>
      </c>
    </row>
    <row r="218" spans="1:16" ht="14.25" customHeight="1">
      <c r="A218">
        <v>29</v>
      </c>
      <c r="B218" s="35" t="s">
        <v>20</v>
      </c>
      <c r="C218" s="36" t="s">
        <v>138</v>
      </c>
      <c r="D218" s="37" t="s">
        <v>270</v>
      </c>
      <c r="E218" s="37" t="s">
        <v>140</v>
      </c>
      <c r="F218" s="37">
        <v>2</v>
      </c>
      <c r="G218" s="37">
        <v>2</v>
      </c>
      <c r="H218" s="86">
        <v>46071</v>
      </c>
      <c r="I218" s="86">
        <v>46071</v>
      </c>
      <c r="J218" s="37" t="s">
        <v>75</v>
      </c>
      <c r="K218" s="38">
        <f t="shared" si="15"/>
        <v>0</v>
      </c>
      <c r="L218" s="39">
        <f t="shared" si="16"/>
        <v>1</v>
      </c>
      <c r="M218" s="40">
        <f t="shared" ca="1" si="17"/>
        <v>-42</v>
      </c>
      <c r="N218">
        <f t="shared" si="18"/>
        <v>8</v>
      </c>
      <c r="O218" t="str">
        <f t="shared" si="19"/>
        <v>Switch</v>
      </c>
    </row>
    <row r="219" spans="1:16" ht="14.25" customHeight="1">
      <c r="A219">
        <v>33</v>
      </c>
      <c r="B219" s="35" t="s">
        <v>20</v>
      </c>
      <c r="C219" s="36" t="s">
        <v>138</v>
      </c>
      <c r="D219" s="37" t="s">
        <v>271</v>
      </c>
      <c r="E219" s="37" t="s">
        <v>74</v>
      </c>
      <c r="F219" s="37">
        <v>1</v>
      </c>
      <c r="G219" s="37">
        <v>1</v>
      </c>
      <c r="H219" s="86">
        <v>46071</v>
      </c>
      <c r="I219" s="86">
        <v>46071</v>
      </c>
      <c r="J219" s="37" t="s">
        <v>75</v>
      </c>
      <c r="K219" s="38">
        <f t="shared" si="15"/>
        <v>0</v>
      </c>
      <c r="L219" s="39">
        <f t="shared" si="16"/>
        <v>1</v>
      </c>
      <c r="M219" s="40">
        <f t="shared" ca="1" si="17"/>
        <v>-42</v>
      </c>
      <c r="N219">
        <f t="shared" si="18"/>
        <v>8</v>
      </c>
      <c r="O219" t="str">
        <f t="shared" si="19"/>
        <v>Switch</v>
      </c>
      <c r="P219" t="s">
        <v>272</v>
      </c>
    </row>
    <row r="220" spans="1:16" ht="14.25" customHeight="1">
      <c r="A220">
        <v>39</v>
      </c>
      <c r="B220" s="35" t="s">
        <v>20</v>
      </c>
      <c r="C220" s="36" t="s">
        <v>138</v>
      </c>
      <c r="D220" s="36" t="s">
        <v>273</v>
      </c>
      <c r="E220" s="37" t="s">
        <v>80</v>
      </c>
      <c r="F220" s="37">
        <v>1</v>
      </c>
      <c r="G220" s="37">
        <v>1</v>
      </c>
      <c r="H220" s="86">
        <v>46071</v>
      </c>
      <c r="I220" s="86">
        <v>46071</v>
      </c>
      <c r="J220" s="37" t="s">
        <v>75</v>
      </c>
      <c r="K220" s="38">
        <f t="shared" si="15"/>
        <v>0</v>
      </c>
      <c r="L220" s="39">
        <f t="shared" si="16"/>
        <v>1</v>
      </c>
      <c r="M220" s="40">
        <f t="shared" ca="1" si="17"/>
        <v>-42</v>
      </c>
      <c r="N220">
        <f t="shared" si="18"/>
        <v>8</v>
      </c>
      <c r="O220" t="str">
        <f t="shared" si="19"/>
        <v>Switch</v>
      </c>
      <c r="P220" t="s">
        <v>274</v>
      </c>
    </row>
    <row r="221" spans="1:16" ht="14.25" customHeight="1">
      <c r="A221">
        <v>38</v>
      </c>
      <c r="B221" s="35" t="s">
        <v>20</v>
      </c>
      <c r="C221" s="36" t="s">
        <v>138</v>
      </c>
      <c r="D221" s="36" t="s">
        <v>273</v>
      </c>
      <c r="E221" s="37" t="s">
        <v>74</v>
      </c>
      <c r="F221" s="37">
        <v>1</v>
      </c>
      <c r="G221" s="37">
        <v>1</v>
      </c>
      <c r="H221" s="86">
        <v>46071</v>
      </c>
      <c r="I221" s="86">
        <v>46071</v>
      </c>
      <c r="J221" s="37" t="s">
        <v>75</v>
      </c>
      <c r="K221" s="38">
        <f t="shared" si="15"/>
        <v>0</v>
      </c>
      <c r="L221" s="39">
        <f t="shared" si="16"/>
        <v>1</v>
      </c>
      <c r="M221" s="40">
        <f t="shared" ca="1" si="17"/>
        <v>-42</v>
      </c>
      <c r="N221">
        <f t="shared" si="18"/>
        <v>8</v>
      </c>
      <c r="O221" t="str">
        <f t="shared" si="19"/>
        <v>Switch</v>
      </c>
      <c r="P221" t="s">
        <v>274</v>
      </c>
    </row>
    <row r="222" spans="1:16" ht="14.25" customHeight="1">
      <c r="A222">
        <v>243</v>
      </c>
      <c r="B222" s="35" t="s">
        <v>20</v>
      </c>
      <c r="C222" s="37" t="s">
        <v>96</v>
      </c>
      <c r="D222" s="37" t="s">
        <v>263</v>
      </c>
      <c r="E222" s="37" t="s">
        <v>80</v>
      </c>
      <c r="F222" s="37">
        <v>1</v>
      </c>
      <c r="G222" s="37">
        <v>1</v>
      </c>
      <c r="H222" s="86">
        <v>46070</v>
      </c>
      <c r="I222" s="86">
        <v>46069</v>
      </c>
      <c r="J222" s="37" t="s">
        <v>75</v>
      </c>
      <c r="K222" s="38">
        <f t="shared" si="15"/>
        <v>0</v>
      </c>
      <c r="L222" s="39">
        <f t="shared" si="16"/>
        <v>1</v>
      </c>
      <c r="M222" s="40">
        <f t="shared" ca="1" si="17"/>
        <v>-44</v>
      </c>
      <c r="N222">
        <f t="shared" si="18"/>
        <v>8</v>
      </c>
      <c r="O222" t="str">
        <f t="shared" si="19"/>
        <v>Switch</v>
      </c>
    </row>
    <row r="223" spans="1:16" ht="14.25" hidden="1" customHeight="1">
      <c r="A223">
        <v>261</v>
      </c>
      <c r="B223" s="35" t="s">
        <v>20</v>
      </c>
      <c r="C223" s="37" t="s">
        <v>96</v>
      </c>
      <c r="D223" s="37" t="s">
        <v>107</v>
      </c>
      <c r="E223" s="37" t="s">
        <v>118</v>
      </c>
      <c r="F223" s="37">
        <v>1</v>
      </c>
      <c r="G223" s="37">
        <v>1</v>
      </c>
      <c r="H223" s="86">
        <v>46101</v>
      </c>
      <c r="I223" s="86">
        <v>46135</v>
      </c>
      <c r="J223" s="37" t="s">
        <v>75</v>
      </c>
      <c r="K223" s="38">
        <f t="shared" si="15"/>
        <v>0</v>
      </c>
      <c r="L223" s="39">
        <f t="shared" si="16"/>
        <v>1</v>
      </c>
      <c r="M223" s="40">
        <f t="shared" ca="1" si="17"/>
        <v>22</v>
      </c>
      <c r="N223">
        <f t="shared" si="18"/>
        <v>17</v>
      </c>
      <c r="O223" t="str">
        <f t="shared" si="19"/>
        <v>Switch</v>
      </c>
    </row>
    <row r="224" spans="1:16" ht="14.25" customHeight="1">
      <c r="A224">
        <v>242</v>
      </c>
      <c r="B224" s="35" t="s">
        <v>20</v>
      </c>
      <c r="C224" s="37" t="s">
        <v>96</v>
      </c>
      <c r="D224" s="37" t="s">
        <v>263</v>
      </c>
      <c r="E224" s="37" t="s">
        <v>74</v>
      </c>
      <c r="F224" s="37">
        <v>1</v>
      </c>
      <c r="G224" s="37">
        <v>1</v>
      </c>
      <c r="H224" s="86">
        <v>46070</v>
      </c>
      <c r="I224" s="86">
        <v>46069</v>
      </c>
      <c r="J224" s="37" t="s">
        <v>75</v>
      </c>
      <c r="K224" s="38">
        <f t="shared" si="15"/>
        <v>0</v>
      </c>
      <c r="L224" s="39">
        <f t="shared" si="16"/>
        <v>1</v>
      </c>
      <c r="M224" s="40">
        <f t="shared" ca="1" si="17"/>
        <v>-44</v>
      </c>
      <c r="N224">
        <f t="shared" si="18"/>
        <v>8</v>
      </c>
      <c r="O224" t="str">
        <f t="shared" si="19"/>
        <v>Switch</v>
      </c>
    </row>
    <row r="225" spans="1:16" ht="14.25" customHeight="1">
      <c r="A225">
        <v>252</v>
      </c>
      <c r="B225" s="35" t="s">
        <v>20</v>
      </c>
      <c r="C225" s="37" t="s">
        <v>96</v>
      </c>
      <c r="D225" s="37" t="s">
        <v>275</v>
      </c>
      <c r="E225" s="37" t="s">
        <v>80</v>
      </c>
      <c r="F225" s="37">
        <v>1</v>
      </c>
      <c r="G225" s="37">
        <v>1</v>
      </c>
      <c r="H225" s="86">
        <v>46070</v>
      </c>
      <c r="I225" s="86">
        <v>46069</v>
      </c>
      <c r="J225" s="37" t="s">
        <v>75</v>
      </c>
      <c r="K225" s="38">
        <f t="shared" si="15"/>
        <v>0</v>
      </c>
      <c r="L225" s="39">
        <f t="shared" si="16"/>
        <v>1</v>
      </c>
      <c r="M225" s="40">
        <f t="shared" ca="1" si="17"/>
        <v>-44</v>
      </c>
      <c r="N225">
        <f t="shared" si="18"/>
        <v>8</v>
      </c>
      <c r="O225" t="str">
        <f t="shared" si="19"/>
        <v>Switch</v>
      </c>
    </row>
    <row r="226" spans="1:16" ht="14.25" customHeight="1">
      <c r="A226">
        <v>251</v>
      </c>
      <c r="B226" s="35" t="s">
        <v>20</v>
      </c>
      <c r="C226" s="37" t="s">
        <v>96</v>
      </c>
      <c r="D226" s="37" t="s">
        <v>275</v>
      </c>
      <c r="E226" s="37" t="s">
        <v>74</v>
      </c>
      <c r="F226" s="37">
        <v>2</v>
      </c>
      <c r="G226" s="37">
        <v>2</v>
      </c>
      <c r="H226" s="86">
        <v>46070</v>
      </c>
      <c r="I226" s="86">
        <v>46069</v>
      </c>
      <c r="J226" s="37" t="s">
        <v>75</v>
      </c>
      <c r="K226" s="38">
        <f t="shared" si="15"/>
        <v>0</v>
      </c>
      <c r="L226" s="39">
        <f t="shared" si="16"/>
        <v>1</v>
      </c>
      <c r="M226" s="40">
        <f t="shared" ca="1" si="17"/>
        <v>-44</v>
      </c>
      <c r="N226">
        <f t="shared" si="18"/>
        <v>8</v>
      </c>
      <c r="O226" t="str">
        <f t="shared" si="19"/>
        <v>Switch</v>
      </c>
    </row>
    <row r="227" spans="1:16" ht="14.25" customHeight="1">
      <c r="A227">
        <v>226</v>
      </c>
      <c r="B227" s="35" t="s">
        <v>20</v>
      </c>
      <c r="C227" s="37" t="s">
        <v>100</v>
      </c>
      <c r="D227" s="37" t="s">
        <v>276</v>
      </c>
      <c r="E227" s="37" t="s">
        <v>80</v>
      </c>
      <c r="F227" s="37">
        <v>1</v>
      </c>
      <c r="G227" s="37">
        <v>1</v>
      </c>
      <c r="H227" s="86">
        <v>46070</v>
      </c>
      <c r="I227" s="86">
        <v>46070</v>
      </c>
      <c r="J227" s="37" t="s">
        <v>75</v>
      </c>
      <c r="K227" s="38">
        <f t="shared" si="15"/>
        <v>0</v>
      </c>
      <c r="L227" s="39">
        <f t="shared" si="16"/>
        <v>1</v>
      </c>
      <c r="M227" s="40">
        <f t="shared" ca="1" si="17"/>
        <v>-43</v>
      </c>
      <c r="N227">
        <f t="shared" si="18"/>
        <v>8</v>
      </c>
      <c r="O227" t="str">
        <f t="shared" si="19"/>
        <v>Switch</v>
      </c>
    </row>
    <row r="228" spans="1:16" ht="14.25" hidden="1" customHeight="1">
      <c r="A228">
        <v>212</v>
      </c>
      <c r="B228" s="35" t="s">
        <v>20</v>
      </c>
      <c r="C228" s="37" t="s">
        <v>100</v>
      </c>
      <c r="D228" s="37" t="s">
        <v>155</v>
      </c>
      <c r="E228" s="37" t="s">
        <v>118</v>
      </c>
      <c r="F228" s="37">
        <v>1</v>
      </c>
      <c r="G228" s="37">
        <v>1</v>
      </c>
      <c r="H228" s="86">
        <v>46087</v>
      </c>
      <c r="I228" s="86">
        <v>46087</v>
      </c>
      <c r="J228" s="37" t="s">
        <v>75</v>
      </c>
      <c r="K228" s="38">
        <f t="shared" si="15"/>
        <v>0</v>
      </c>
      <c r="L228" s="39">
        <f t="shared" si="16"/>
        <v>1</v>
      </c>
      <c r="M228" s="40">
        <f t="shared" ca="1" si="17"/>
        <v>-26</v>
      </c>
      <c r="N228">
        <f t="shared" si="18"/>
        <v>10</v>
      </c>
      <c r="O228" t="str">
        <f t="shared" si="19"/>
        <v>Switch</v>
      </c>
    </row>
    <row r="229" spans="1:16" ht="14.25" customHeight="1">
      <c r="A229">
        <v>225</v>
      </c>
      <c r="B229" s="35" t="s">
        <v>20</v>
      </c>
      <c r="C229" s="37" t="s">
        <v>100</v>
      </c>
      <c r="D229" s="37" t="s">
        <v>276</v>
      </c>
      <c r="E229" s="37" t="s">
        <v>74</v>
      </c>
      <c r="F229" s="37">
        <v>1</v>
      </c>
      <c r="G229" s="37">
        <v>1</v>
      </c>
      <c r="H229" s="86">
        <v>46070</v>
      </c>
      <c r="I229" s="86">
        <v>46070</v>
      </c>
      <c r="J229" s="37" t="s">
        <v>75</v>
      </c>
      <c r="K229" s="38">
        <f t="shared" si="15"/>
        <v>0</v>
      </c>
      <c r="L229" s="39">
        <f t="shared" si="16"/>
        <v>1</v>
      </c>
      <c r="M229" s="40">
        <f t="shared" ca="1" si="17"/>
        <v>-43</v>
      </c>
      <c r="N229">
        <f t="shared" si="18"/>
        <v>8</v>
      </c>
      <c r="O229" t="str">
        <f t="shared" si="19"/>
        <v>Switch</v>
      </c>
    </row>
    <row r="230" spans="1:16" ht="14.25" customHeight="1">
      <c r="A230">
        <v>89</v>
      </c>
      <c r="B230" s="35" t="s">
        <v>20</v>
      </c>
      <c r="C230" s="37" t="s">
        <v>87</v>
      </c>
      <c r="D230" s="37" t="s">
        <v>277</v>
      </c>
      <c r="E230" s="37" t="s">
        <v>80</v>
      </c>
      <c r="F230" s="37">
        <v>1</v>
      </c>
      <c r="G230" s="37">
        <v>1</v>
      </c>
      <c r="H230" s="86">
        <v>46070</v>
      </c>
      <c r="I230" s="86">
        <v>46070</v>
      </c>
      <c r="J230" s="37" t="s">
        <v>75</v>
      </c>
      <c r="K230" s="38">
        <f t="shared" si="15"/>
        <v>0</v>
      </c>
      <c r="L230" s="39">
        <f t="shared" si="16"/>
        <v>1</v>
      </c>
      <c r="M230" s="40">
        <f t="shared" ca="1" si="17"/>
        <v>-43</v>
      </c>
      <c r="N230">
        <f t="shared" si="18"/>
        <v>8</v>
      </c>
      <c r="O230" t="str">
        <f t="shared" si="19"/>
        <v>Switch</v>
      </c>
    </row>
    <row r="231" spans="1:16" ht="14.25" hidden="1" customHeight="1">
      <c r="A231">
        <v>215</v>
      </c>
      <c r="B231" s="35" t="s">
        <v>20</v>
      </c>
      <c r="C231" s="37" t="s">
        <v>100</v>
      </c>
      <c r="D231" s="37" t="s">
        <v>159</v>
      </c>
      <c r="E231" s="37" t="s">
        <v>118</v>
      </c>
      <c r="F231" s="37">
        <v>1</v>
      </c>
      <c r="G231" s="37">
        <v>1</v>
      </c>
      <c r="H231" s="86">
        <v>46087</v>
      </c>
      <c r="I231" s="86">
        <v>46087</v>
      </c>
      <c r="J231" s="37" t="s">
        <v>75</v>
      </c>
      <c r="K231" s="38">
        <f t="shared" si="15"/>
        <v>0</v>
      </c>
      <c r="L231" s="39">
        <f t="shared" si="16"/>
        <v>1</v>
      </c>
      <c r="M231" s="40">
        <f t="shared" ca="1" si="17"/>
        <v>-26</v>
      </c>
      <c r="N231">
        <f t="shared" si="18"/>
        <v>10</v>
      </c>
      <c r="O231" t="str">
        <f t="shared" si="19"/>
        <v>Switch</v>
      </c>
    </row>
    <row r="232" spans="1:16" ht="14.25" customHeight="1">
      <c r="A232">
        <v>88</v>
      </c>
      <c r="B232" s="35" t="s">
        <v>20</v>
      </c>
      <c r="C232" s="37" t="s">
        <v>87</v>
      </c>
      <c r="D232" s="37" t="s">
        <v>277</v>
      </c>
      <c r="E232" s="37" t="s">
        <v>74</v>
      </c>
      <c r="F232" s="37">
        <v>2</v>
      </c>
      <c r="G232" s="37">
        <v>2</v>
      </c>
      <c r="H232" s="86">
        <v>46070</v>
      </c>
      <c r="I232" s="86">
        <v>46070</v>
      </c>
      <c r="J232" s="37" t="s">
        <v>75</v>
      </c>
      <c r="K232" s="38">
        <f t="shared" si="15"/>
        <v>0</v>
      </c>
      <c r="L232" s="39">
        <f t="shared" si="16"/>
        <v>1</v>
      </c>
      <c r="M232" s="40">
        <f t="shared" ca="1" si="17"/>
        <v>-43</v>
      </c>
      <c r="N232">
        <f t="shared" si="18"/>
        <v>8</v>
      </c>
      <c r="O232" t="str">
        <f t="shared" si="19"/>
        <v>Switch</v>
      </c>
    </row>
    <row r="233" spans="1:16" ht="14.25" customHeight="1">
      <c r="A233">
        <v>21</v>
      </c>
      <c r="B233" s="35" t="s">
        <v>20</v>
      </c>
      <c r="C233" s="36" t="s">
        <v>138</v>
      </c>
      <c r="D233" s="37" t="s">
        <v>278</v>
      </c>
      <c r="E233" s="37" t="s">
        <v>80</v>
      </c>
      <c r="F233" s="37">
        <v>4</v>
      </c>
      <c r="G233" s="37">
        <v>4</v>
      </c>
      <c r="H233" s="86">
        <v>46070</v>
      </c>
      <c r="I233" s="86">
        <v>46070</v>
      </c>
      <c r="J233" s="37" t="s">
        <v>75</v>
      </c>
      <c r="K233" s="38">
        <f t="shared" si="15"/>
        <v>0</v>
      </c>
      <c r="L233" s="39">
        <f t="shared" si="16"/>
        <v>1</v>
      </c>
      <c r="M233" s="40">
        <f t="shared" ca="1" si="17"/>
        <v>-43</v>
      </c>
      <c r="N233">
        <f t="shared" si="18"/>
        <v>8</v>
      </c>
      <c r="O233" t="str">
        <f t="shared" si="19"/>
        <v>Switch</v>
      </c>
    </row>
    <row r="234" spans="1:16" ht="14.25" hidden="1" customHeight="1">
      <c r="A234">
        <v>218</v>
      </c>
      <c r="B234" s="35" t="s">
        <v>20</v>
      </c>
      <c r="C234" s="37" t="s">
        <v>100</v>
      </c>
      <c r="D234" s="37" t="s">
        <v>137</v>
      </c>
      <c r="E234" s="37" t="s">
        <v>118</v>
      </c>
      <c r="F234" s="37">
        <v>1</v>
      </c>
      <c r="G234" s="37">
        <v>1</v>
      </c>
      <c r="H234" s="86">
        <v>46087</v>
      </c>
      <c r="I234" s="86">
        <v>46087</v>
      </c>
      <c r="J234" s="37" t="s">
        <v>75</v>
      </c>
      <c r="K234" s="38">
        <f t="shared" si="15"/>
        <v>0</v>
      </c>
      <c r="L234" s="39">
        <f t="shared" si="16"/>
        <v>1</v>
      </c>
      <c r="M234" s="40">
        <f t="shared" ca="1" si="17"/>
        <v>-26</v>
      </c>
      <c r="N234">
        <f t="shared" si="18"/>
        <v>10</v>
      </c>
      <c r="O234" t="str">
        <f t="shared" si="19"/>
        <v>Switch</v>
      </c>
    </row>
    <row r="235" spans="1:16" ht="14.25" customHeight="1">
      <c r="A235">
        <v>20</v>
      </c>
      <c r="B235" s="35" t="s">
        <v>20</v>
      </c>
      <c r="C235" s="36" t="s">
        <v>138</v>
      </c>
      <c r="D235" s="37" t="s">
        <v>278</v>
      </c>
      <c r="E235" s="37" t="s">
        <v>140</v>
      </c>
      <c r="F235" s="37">
        <v>2</v>
      </c>
      <c r="G235" s="37">
        <v>2</v>
      </c>
      <c r="H235" s="86">
        <v>46070</v>
      </c>
      <c r="I235" s="86">
        <v>46070</v>
      </c>
      <c r="J235" s="37" t="s">
        <v>75</v>
      </c>
      <c r="K235" s="38">
        <f t="shared" si="15"/>
        <v>0</v>
      </c>
      <c r="L235" s="39">
        <f t="shared" si="16"/>
        <v>1</v>
      </c>
      <c r="M235" s="40">
        <f t="shared" ca="1" si="17"/>
        <v>-43</v>
      </c>
      <c r="N235">
        <f t="shared" si="18"/>
        <v>8</v>
      </c>
      <c r="O235" t="str">
        <f t="shared" si="19"/>
        <v>Switch</v>
      </c>
    </row>
    <row r="236" spans="1:16" ht="14.25" customHeight="1">
      <c r="A236">
        <v>35</v>
      </c>
      <c r="B236" s="35" t="s">
        <v>20</v>
      </c>
      <c r="C236" s="36" t="s">
        <v>138</v>
      </c>
      <c r="D236" s="37" t="s">
        <v>279</v>
      </c>
      <c r="E236" s="37" t="s">
        <v>80</v>
      </c>
      <c r="F236" s="37">
        <v>1</v>
      </c>
      <c r="G236" s="37">
        <v>1</v>
      </c>
      <c r="H236" s="86">
        <v>46070</v>
      </c>
      <c r="I236" s="86">
        <v>46070</v>
      </c>
      <c r="J236" s="37" t="s">
        <v>75</v>
      </c>
      <c r="K236" s="38">
        <f t="shared" si="15"/>
        <v>0</v>
      </c>
      <c r="L236" s="39">
        <f t="shared" si="16"/>
        <v>1</v>
      </c>
      <c r="M236" s="40">
        <f t="shared" ca="1" si="17"/>
        <v>-43</v>
      </c>
      <c r="N236">
        <f t="shared" si="18"/>
        <v>8</v>
      </c>
      <c r="O236" t="str">
        <f t="shared" si="19"/>
        <v>Switch</v>
      </c>
      <c r="P236" t="s">
        <v>280</v>
      </c>
    </row>
    <row r="237" spans="1:16" ht="14.25" hidden="1" customHeight="1">
      <c r="A237">
        <v>221</v>
      </c>
      <c r="B237" s="35" t="s">
        <v>20</v>
      </c>
      <c r="C237" s="37" t="s">
        <v>100</v>
      </c>
      <c r="D237" s="37" t="s">
        <v>162</v>
      </c>
      <c r="E237" s="37" t="s">
        <v>118</v>
      </c>
      <c r="F237" s="37">
        <v>1</v>
      </c>
      <c r="G237" s="37">
        <v>1</v>
      </c>
      <c r="H237" s="86">
        <v>46087</v>
      </c>
      <c r="I237" s="86">
        <v>46087</v>
      </c>
      <c r="J237" s="37" t="s">
        <v>75</v>
      </c>
      <c r="K237" s="38">
        <f t="shared" si="15"/>
        <v>0</v>
      </c>
      <c r="L237" s="39">
        <f t="shared" si="16"/>
        <v>1</v>
      </c>
      <c r="M237" s="40">
        <f t="shared" ca="1" si="17"/>
        <v>-26</v>
      </c>
      <c r="N237">
        <f t="shared" si="18"/>
        <v>10</v>
      </c>
      <c r="O237" t="str">
        <f t="shared" si="19"/>
        <v>Switch</v>
      </c>
    </row>
    <row r="238" spans="1:16" ht="14.25" customHeight="1">
      <c r="A238">
        <v>34</v>
      </c>
      <c r="B238" s="35" t="s">
        <v>20</v>
      </c>
      <c r="C238" s="36" t="s">
        <v>138</v>
      </c>
      <c r="D238" s="37" t="s">
        <v>279</v>
      </c>
      <c r="E238" s="37" t="s">
        <v>74</v>
      </c>
      <c r="F238" s="37">
        <v>1</v>
      </c>
      <c r="G238" s="37">
        <v>1</v>
      </c>
      <c r="H238" s="86">
        <v>46070</v>
      </c>
      <c r="I238" s="86">
        <v>46070</v>
      </c>
      <c r="J238" s="37" t="s">
        <v>75</v>
      </c>
      <c r="K238" s="42">
        <f t="shared" si="15"/>
        <v>0</v>
      </c>
      <c r="L238" s="39">
        <f t="shared" si="16"/>
        <v>1</v>
      </c>
      <c r="M238" s="40">
        <f t="shared" ca="1" si="17"/>
        <v>-43</v>
      </c>
      <c r="N238">
        <f t="shared" si="18"/>
        <v>8</v>
      </c>
      <c r="O238" t="str">
        <f t="shared" si="19"/>
        <v>Switch</v>
      </c>
      <c r="P238" s="41" t="s">
        <v>170</v>
      </c>
    </row>
    <row r="239" spans="1:16" ht="14.25" customHeight="1">
      <c r="A239">
        <v>41</v>
      </c>
      <c r="B239" s="35" t="s">
        <v>20</v>
      </c>
      <c r="C239" s="36" t="s">
        <v>138</v>
      </c>
      <c r="D239" s="36" t="s">
        <v>281</v>
      </c>
      <c r="E239" s="37" t="s">
        <v>80</v>
      </c>
      <c r="F239" s="37">
        <v>1</v>
      </c>
      <c r="G239" s="37">
        <v>1</v>
      </c>
      <c r="H239" s="86">
        <v>46070</v>
      </c>
      <c r="I239" s="86">
        <v>46070</v>
      </c>
      <c r="J239" s="37" t="s">
        <v>75</v>
      </c>
      <c r="K239" s="38">
        <f t="shared" si="15"/>
        <v>0</v>
      </c>
      <c r="L239" s="39">
        <f t="shared" si="16"/>
        <v>1</v>
      </c>
      <c r="M239" s="40">
        <f t="shared" ca="1" si="17"/>
        <v>-43</v>
      </c>
      <c r="N239">
        <f t="shared" si="18"/>
        <v>8</v>
      </c>
      <c r="O239" t="str">
        <f t="shared" si="19"/>
        <v>Switch</v>
      </c>
      <c r="P239" t="s">
        <v>282</v>
      </c>
    </row>
    <row r="240" spans="1:16" ht="14.25" hidden="1" customHeight="1">
      <c r="A240">
        <v>224</v>
      </c>
      <c r="B240" s="35" t="s">
        <v>20</v>
      </c>
      <c r="C240" s="37" t="s">
        <v>100</v>
      </c>
      <c r="D240" s="37" t="s">
        <v>165</v>
      </c>
      <c r="E240" s="37" t="s">
        <v>118</v>
      </c>
      <c r="F240" s="37">
        <v>1</v>
      </c>
      <c r="G240" s="37">
        <v>1</v>
      </c>
      <c r="H240" s="86">
        <v>46087</v>
      </c>
      <c r="I240" s="86">
        <v>46087</v>
      </c>
      <c r="J240" s="37" t="s">
        <v>75</v>
      </c>
      <c r="K240" s="38">
        <f t="shared" si="15"/>
        <v>0</v>
      </c>
      <c r="L240" s="39">
        <f t="shared" si="16"/>
        <v>1</v>
      </c>
      <c r="M240" s="40">
        <f t="shared" ca="1" si="17"/>
        <v>-26</v>
      </c>
      <c r="N240">
        <f t="shared" si="18"/>
        <v>10</v>
      </c>
      <c r="O240" t="str">
        <f t="shared" si="19"/>
        <v>Switch</v>
      </c>
    </row>
    <row r="241" spans="1:16" ht="14.25" customHeight="1">
      <c r="A241">
        <v>40</v>
      </c>
      <c r="B241" s="35" t="s">
        <v>20</v>
      </c>
      <c r="C241" s="36" t="s">
        <v>138</v>
      </c>
      <c r="D241" s="36" t="s">
        <v>281</v>
      </c>
      <c r="E241" s="37" t="s">
        <v>74</v>
      </c>
      <c r="F241" s="37">
        <v>1</v>
      </c>
      <c r="G241" s="37">
        <v>0</v>
      </c>
      <c r="H241" s="86">
        <v>46070</v>
      </c>
      <c r="I241" s="86">
        <v>46070</v>
      </c>
      <c r="J241" s="37" t="s">
        <v>75</v>
      </c>
      <c r="K241" s="42">
        <f t="shared" si="15"/>
        <v>1</v>
      </c>
      <c r="L241" s="39">
        <f t="shared" si="16"/>
        <v>0</v>
      </c>
      <c r="M241" s="40">
        <f t="shared" ca="1" si="17"/>
        <v>-43</v>
      </c>
      <c r="N241">
        <f t="shared" si="18"/>
        <v>8</v>
      </c>
      <c r="O241" t="str">
        <f t="shared" si="19"/>
        <v>Switch</v>
      </c>
      <c r="P241" s="41" t="s">
        <v>283</v>
      </c>
    </row>
    <row r="242" spans="1:16" ht="14.25" customHeight="1">
      <c r="A242">
        <v>43</v>
      </c>
      <c r="B242" s="35" t="s">
        <v>20</v>
      </c>
      <c r="C242" s="36" t="s">
        <v>138</v>
      </c>
      <c r="D242" s="36" t="s">
        <v>284</v>
      </c>
      <c r="E242" s="37" t="s">
        <v>80</v>
      </c>
      <c r="F242" s="37">
        <v>1</v>
      </c>
      <c r="G242" s="37">
        <v>1</v>
      </c>
      <c r="H242" s="86">
        <v>46070</v>
      </c>
      <c r="I242" s="86">
        <v>46070</v>
      </c>
      <c r="J242" s="37" t="s">
        <v>75</v>
      </c>
      <c r="K242" s="38">
        <f t="shared" si="15"/>
        <v>0</v>
      </c>
      <c r="L242" s="39">
        <f t="shared" si="16"/>
        <v>1</v>
      </c>
      <c r="M242" s="40">
        <f t="shared" ca="1" si="17"/>
        <v>-43</v>
      </c>
      <c r="N242">
        <f t="shared" si="18"/>
        <v>8</v>
      </c>
      <c r="O242" t="str">
        <f t="shared" si="19"/>
        <v>Switch</v>
      </c>
      <c r="P242" t="s">
        <v>282</v>
      </c>
    </row>
    <row r="243" spans="1:16" ht="14.25" customHeight="1">
      <c r="A243">
        <v>42</v>
      </c>
      <c r="B243" s="35" t="s">
        <v>20</v>
      </c>
      <c r="C243" s="36" t="s">
        <v>138</v>
      </c>
      <c r="D243" s="36" t="s">
        <v>284</v>
      </c>
      <c r="E243" s="37" t="s">
        <v>74</v>
      </c>
      <c r="F243" s="37">
        <v>2</v>
      </c>
      <c r="G243" s="37">
        <v>1</v>
      </c>
      <c r="H243" s="86">
        <v>46070</v>
      </c>
      <c r="I243" s="86">
        <v>46070</v>
      </c>
      <c r="J243" s="37" t="s">
        <v>75</v>
      </c>
      <c r="K243" s="42">
        <f t="shared" si="15"/>
        <v>1</v>
      </c>
      <c r="L243" s="39">
        <f t="shared" si="16"/>
        <v>0.5</v>
      </c>
      <c r="M243" s="40">
        <f t="shared" ca="1" si="17"/>
        <v>-43</v>
      </c>
      <c r="N243">
        <f t="shared" si="18"/>
        <v>8</v>
      </c>
      <c r="O243" t="str">
        <f t="shared" si="19"/>
        <v>Switch</v>
      </c>
      <c r="P243" s="41" t="s">
        <v>285</v>
      </c>
    </row>
    <row r="244" spans="1:16" ht="14.25" customHeight="1">
      <c r="A244">
        <v>13</v>
      </c>
      <c r="B244" s="35" t="s">
        <v>20</v>
      </c>
      <c r="C244" s="36" t="s">
        <v>138</v>
      </c>
      <c r="D244" s="37" t="s">
        <v>286</v>
      </c>
      <c r="E244" s="37" t="s">
        <v>142</v>
      </c>
      <c r="F244" s="37">
        <v>4</v>
      </c>
      <c r="G244" s="37">
        <v>4</v>
      </c>
      <c r="H244" s="86">
        <v>46069</v>
      </c>
      <c r="I244" s="86">
        <v>46069</v>
      </c>
      <c r="J244" s="37" t="s">
        <v>75</v>
      </c>
      <c r="K244" s="38">
        <f t="shared" si="15"/>
        <v>0</v>
      </c>
      <c r="L244" s="39">
        <f t="shared" si="16"/>
        <v>1</v>
      </c>
      <c r="M244" s="40">
        <f t="shared" ca="1" si="17"/>
        <v>-44</v>
      </c>
      <c r="N244">
        <f t="shared" si="18"/>
        <v>8</v>
      </c>
      <c r="O244" t="str">
        <f t="shared" si="19"/>
        <v>Switch</v>
      </c>
    </row>
    <row r="245" spans="1:16" ht="14.25" customHeight="1">
      <c r="A245">
        <v>19</v>
      </c>
      <c r="B245" s="35" t="s">
        <v>20</v>
      </c>
      <c r="C245" s="36" t="s">
        <v>138</v>
      </c>
      <c r="D245" s="37" t="s">
        <v>287</v>
      </c>
      <c r="E245" s="37" t="s">
        <v>142</v>
      </c>
      <c r="F245" s="37">
        <v>2</v>
      </c>
      <c r="G245" s="37">
        <v>2</v>
      </c>
      <c r="H245" s="86">
        <v>46069</v>
      </c>
      <c r="I245" s="86">
        <v>46069</v>
      </c>
      <c r="J245" s="37" t="s">
        <v>75</v>
      </c>
      <c r="K245" s="38">
        <f t="shared" si="15"/>
        <v>0</v>
      </c>
      <c r="L245" s="39">
        <f t="shared" si="16"/>
        <v>1</v>
      </c>
      <c r="M245" s="40">
        <f t="shared" ca="1" si="17"/>
        <v>-44</v>
      </c>
      <c r="N245">
        <f t="shared" si="18"/>
        <v>8</v>
      </c>
      <c r="O245" t="str">
        <f t="shared" si="19"/>
        <v>Switch</v>
      </c>
    </row>
    <row r="246" spans="1:16" ht="14.25" customHeight="1">
      <c r="A246">
        <v>190</v>
      </c>
      <c r="B246" s="35" t="s">
        <v>20</v>
      </c>
      <c r="C246" s="37" t="s">
        <v>103</v>
      </c>
      <c r="D246" s="37" t="s">
        <v>288</v>
      </c>
      <c r="E246" s="37" t="s">
        <v>74</v>
      </c>
      <c r="F246" s="37">
        <v>2</v>
      </c>
      <c r="G246" s="37">
        <v>1</v>
      </c>
      <c r="H246" s="86">
        <v>46063</v>
      </c>
      <c r="I246" s="86">
        <v>46114</v>
      </c>
      <c r="J246" s="37" t="s">
        <v>75</v>
      </c>
      <c r="K246" s="38">
        <f t="shared" si="15"/>
        <v>1</v>
      </c>
      <c r="L246" s="39">
        <f t="shared" si="16"/>
        <v>0.5</v>
      </c>
      <c r="M246" s="40">
        <f t="shared" ca="1" si="17"/>
        <v>1</v>
      </c>
      <c r="N246">
        <f t="shared" si="18"/>
        <v>14</v>
      </c>
      <c r="O246" t="str">
        <f t="shared" si="19"/>
        <v>Switch</v>
      </c>
    </row>
    <row r="247" spans="1:16" ht="14.25" customHeight="1">
      <c r="A247">
        <v>66</v>
      </c>
      <c r="B247" s="35" t="s">
        <v>20</v>
      </c>
      <c r="C247" s="37" t="s">
        <v>87</v>
      </c>
      <c r="D247" s="37" t="s">
        <v>20</v>
      </c>
      <c r="E247" s="37" t="s">
        <v>80</v>
      </c>
      <c r="F247" s="37">
        <v>1</v>
      </c>
      <c r="G247" s="37">
        <v>1</v>
      </c>
      <c r="H247" s="86">
        <v>46063</v>
      </c>
      <c r="I247" s="86">
        <v>46063</v>
      </c>
      <c r="J247" s="37" t="s">
        <v>75</v>
      </c>
      <c r="K247" s="38">
        <f t="shared" si="15"/>
        <v>0</v>
      </c>
      <c r="L247" s="39">
        <f t="shared" si="16"/>
        <v>1</v>
      </c>
      <c r="M247" s="40">
        <f t="shared" ca="1" si="17"/>
        <v>-50</v>
      </c>
      <c r="N247">
        <f t="shared" si="18"/>
        <v>7</v>
      </c>
      <c r="O247" t="str">
        <f t="shared" si="19"/>
        <v>Switch</v>
      </c>
    </row>
    <row r="248" spans="1:16" ht="15" customHeight="1">
      <c r="A248">
        <v>65</v>
      </c>
      <c r="B248" s="35" t="s">
        <v>20</v>
      </c>
      <c r="C248" s="37" t="s">
        <v>87</v>
      </c>
      <c r="D248" s="37" t="s">
        <v>20</v>
      </c>
      <c r="E248" s="37" t="s">
        <v>74</v>
      </c>
      <c r="F248" s="37">
        <v>7</v>
      </c>
      <c r="G248" s="37">
        <v>7</v>
      </c>
      <c r="H248" s="86">
        <v>46063</v>
      </c>
      <c r="I248" s="86">
        <v>46063</v>
      </c>
      <c r="J248" s="37" t="s">
        <v>75</v>
      </c>
      <c r="K248" s="38">
        <f t="shared" si="15"/>
        <v>0</v>
      </c>
      <c r="L248" s="39">
        <f t="shared" si="16"/>
        <v>1</v>
      </c>
      <c r="M248" s="40">
        <f t="shared" ca="1" si="17"/>
        <v>-50</v>
      </c>
      <c r="N248">
        <f t="shared" si="18"/>
        <v>7</v>
      </c>
      <c r="O248" t="str">
        <f t="shared" si="19"/>
        <v>Switch</v>
      </c>
    </row>
    <row r="249" spans="1:16" ht="14.25" customHeight="1">
      <c r="A249">
        <v>729</v>
      </c>
      <c r="B249" s="35" t="s">
        <v>25</v>
      </c>
      <c r="C249" s="37" t="s">
        <v>289</v>
      </c>
      <c r="D249" s="37" t="s">
        <v>290</v>
      </c>
      <c r="E249" s="37" t="s">
        <v>74</v>
      </c>
      <c r="F249" s="37">
        <v>2</v>
      </c>
      <c r="G249" s="37"/>
      <c r="H249" s="86"/>
      <c r="I249" s="86">
        <v>46195</v>
      </c>
      <c r="J249" s="37" t="s">
        <v>4</v>
      </c>
      <c r="K249" s="38">
        <f t="shared" si="15"/>
        <v>2</v>
      </c>
      <c r="L249" s="39">
        <f t="shared" si="16"/>
        <v>0</v>
      </c>
      <c r="M249" s="40">
        <f t="shared" ca="1" si="17"/>
        <v>82</v>
      </c>
      <c r="N249">
        <f t="shared" si="18"/>
        <v>26</v>
      </c>
      <c r="O249" t="str">
        <f t="shared" si="19"/>
        <v>Switch</v>
      </c>
    </row>
    <row r="250" spans="1:16" ht="14.25" customHeight="1">
      <c r="A250">
        <v>698</v>
      </c>
      <c r="B250" s="35" t="s">
        <v>25</v>
      </c>
      <c r="C250" s="37" t="s">
        <v>76</v>
      </c>
      <c r="D250" s="37" t="s">
        <v>291</v>
      </c>
      <c r="E250" s="37" t="s">
        <v>74</v>
      </c>
      <c r="F250" s="37">
        <v>3</v>
      </c>
      <c r="G250" s="37"/>
      <c r="H250" s="86"/>
      <c r="I250" s="86">
        <v>46191</v>
      </c>
      <c r="J250" s="37" t="s">
        <v>4</v>
      </c>
      <c r="K250" s="38">
        <f t="shared" si="15"/>
        <v>3</v>
      </c>
      <c r="L250" s="39">
        <f t="shared" si="16"/>
        <v>0</v>
      </c>
      <c r="M250" s="40">
        <f t="shared" ca="1" si="17"/>
        <v>78</v>
      </c>
      <c r="N250">
        <f t="shared" si="18"/>
        <v>25</v>
      </c>
      <c r="O250" t="str">
        <f t="shared" si="19"/>
        <v>Switch</v>
      </c>
    </row>
    <row r="251" spans="1:16" ht="14.25" customHeight="1">
      <c r="A251">
        <v>693</v>
      </c>
      <c r="B251" s="35" t="s">
        <v>25</v>
      </c>
      <c r="C251" s="37" t="s">
        <v>76</v>
      </c>
      <c r="D251" s="37" t="s">
        <v>292</v>
      </c>
      <c r="E251" s="37" t="s">
        <v>142</v>
      </c>
      <c r="F251" s="37">
        <v>1</v>
      </c>
      <c r="G251" s="37"/>
      <c r="H251" s="86"/>
      <c r="I251" s="86">
        <v>46191</v>
      </c>
      <c r="J251" s="37" t="s">
        <v>4</v>
      </c>
      <c r="K251" s="38">
        <f t="shared" si="15"/>
        <v>1</v>
      </c>
      <c r="L251" s="39">
        <f t="shared" si="16"/>
        <v>0</v>
      </c>
      <c r="M251" s="40">
        <f t="shared" ca="1" si="17"/>
        <v>78</v>
      </c>
      <c r="N251">
        <f t="shared" si="18"/>
        <v>25</v>
      </c>
      <c r="O251" t="str">
        <f t="shared" si="19"/>
        <v>Switch</v>
      </c>
    </row>
    <row r="252" spans="1:16" ht="14.25" customHeight="1">
      <c r="A252">
        <v>692</v>
      </c>
      <c r="B252" s="35" t="s">
        <v>25</v>
      </c>
      <c r="C252" s="37" t="s">
        <v>76</v>
      </c>
      <c r="D252" s="37" t="s">
        <v>292</v>
      </c>
      <c r="E252" s="37" t="s">
        <v>74</v>
      </c>
      <c r="F252" s="37">
        <v>1</v>
      </c>
      <c r="G252" s="37"/>
      <c r="H252" s="86"/>
      <c r="I252" s="86">
        <v>46191</v>
      </c>
      <c r="J252" s="37" t="s">
        <v>4</v>
      </c>
      <c r="K252" s="38">
        <f t="shared" si="15"/>
        <v>1</v>
      </c>
      <c r="L252" s="39">
        <f t="shared" si="16"/>
        <v>0</v>
      </c>
      <c r="M252" s="40">
        <f t="shared" ca="1" si="17"/>
        <v>78</v>
      </c>
      <c r="N252">
        <f t="shared" si="18"/>
        <v>25</v>
      </c>
      <c r="O252" t="str">
        <f t="shared" si="19"/>
        <v>Switch</v>
      </c>
    </row>
    <row r="253" spans="1:16" ht="14.25" customHeight="1">
      <c r="A253">
        <v>694</v>
      </c>
      <c r="B253" s="35" t="s">
        <v>25</v>
      </c>
      <c r="C253" s="37" t="s">
        <v>76</v>
      </c>
      <c r="D253" s="37" t="s">
        <v>293</v>
      </c>
      <c r="E253" s="37" t="s">
        <v>142</v>
      </c>
      <c r="F253" s="37">
        <v>2</v>
      </c>
      <c r="G253" s="37"/>
      <c r="H253" s="86"/>
      <c r="I253" s="86">
        <v>46191</v>
      </c>
      <c r="J253" s="37" t="s">
        <v>4</v>
      </c>
      <c r="K253" s="38">
        <f t="shared" si="15"/>
        <v>2</v>
      </c>
      <c r="L253" s="39">
        <f t="shared" si="16"/>
        <v>0</v>
      </c>
      <c r="M253" s="40">
        <f t="shared" ca="1" si="17"/>
        <v>78</v>
      </c>
      <c r="N253">
        <f t="shared" si="18"/>
        <v>25</v>
      </c>
      <c r="O253" t="str">
        <f t="shared" si="19"/>
        <v>Switch</v>
      </c>
    </row>
    <row r="254" spans="1:16" ht="14.25" customHeight="1">
      <c r="A254">
        <v>697</v>
      </c>
      <c r="B254" s="35" t="s">
        <v>25</v>
      </c>
      <c r="C254" s="37" t="s">
        <v>76</v>
      </c>
      <c r="D254" s="37" t="s">
        <v>294</v>
      </c>
      <c r="E254" s="37" t="s">
        <v>142</v>
      </c>
      <c r="F254" s="37">
        <v>2</v>
      </c>
      <c r="G254" s="37"/>
      <c r="H254" s="86"/>
      <c r="I254" s="86">
        <v>46191</v>
      </c>
      <c r="J254" s="37" t="s">
        <v>4</v>
      </c>
      <c r="K254" s="38">
        <f t="shared" si="15"/>
        <v>2</v>
      </c>
      <c r="L254" s="39">
        <f t="shared" si="16"/>
        <v>0</v>
      </c>
      <c r="M254" s="40">
        <f t="shared" ca="1" si="17"/>
        <v>78</v>
      </c>
      <c r="N254">
        <f t="shared" si="18"/>
        <v>25</v>
      </c>
      <c r="O254" t="str">
        <f t="shared" si="19"/>
        <v>Switch</v>
      </c>
    </row>
    <row r="255" spans="1:16" ht="14.25" hidden="1" customHeight="1">
      <c r="A255">
        <v>239</v>
      </c>
      <c r="B255" s="35" t="s">
        <v>20</v>
      </c>
      <c r="C255" s="37" t="s">
        <v>100</v>
      </c>
      <c r="D255" s="37" t="s">
        <v>113</v>
      </c>
      <c r="E255" s="37" t="s">
        <v>118</v>
      </c>
      <c r="F255" s="37">
        <v>1</v>
      </c>
      <c r="G255" s="37">
        <v>1</v>
      </c>
      <c r="H255" s="86">
        <v>46101</v>
      </c>
      <c r="I255" s="86">
        <v>46133</v>
      </c>
      <c r="J255" s="37" t="s">
        <v>75</v>
      </c>
      <c r="K255" s="38">
        <f t="shared" si="15"/>
        <v>0</v>
      </c>
      <c r="L255" s="39">
        <f t="shared" si="16"/>
        <v>1</v>
      </c>
      <c r="M255" s="40">
        <f t="shared" ca="1" si="17"/>
        <v>20</v>
      </c>
      <c r="N255">
        <f t="shared" si="18"/>
        <v>17</v>
      </c>
      <c r="O255" t="str">
        <f t="shared" si="19"/>
        <v>Switch</v>
      </c>
    </row>
    <row r="256" spans="1:16" ht="14.25" customHeight="1">
      <c r="A256">
        <v>696</v>
      </c>
      <c r="B256" s="35" t="s">
        <v>25</v>
      </c>
      <c r="C256" s="37" t="s">
        <v>76</v>
      </c>
      <c r="D256" s="37" t="s">
        <v>294</v>
      </c>
      <c r="E256" s="37" t="s">
        <v>140</v>
      </c>
      <c r="F256" s="37">
        <v>2</v>
      </c>
      <c r="G256" s="37"/>
      <c r="H256" s="86"/>
      <c r="I256" s="86">
        <v>46191</v>
      </c>
      <c r="J256" s="37" t="s">
        <v>4</v>
      </c>
      <c r="K256" s="38">
        <f t="shared" si="15"/>
        <v>2</v>
      </c>
      <c r="L256" s="39">
        <f t="shared" si="16"/>
        <v>0</v>
      </c>
      <c r="M256" s="40">
        <f t="shared" ca="1" si="17"/>
        <v>78</v>
      </c>
      <c r="N256">
        <f t="shared" si="18"/>
        <v>25</v>
      </c>
      <c r="O256" t="str">
        <f t="shared" si="19"/>
        <v>Switch</v>
      </c>
    </row>
    <row r="257" spans="1:15" ht="14.25" customHeight="1">
      <c r="A257">
        <v>691</v>
      </c>
      <c r="B257" s="35" t="s">
        <v>25</v>
      </c>
      <c r="C257" s="37" t="s">
        <v>76</v>
      </c>
      <c r="D257" s="37" t="s">
        <v>295</v>
      </c>
      <c r="E257" s="37" t="s">
        <v>74</v>
      </c>
      <c r="F257" s="37">
        <v>2</v>
      </c>
      <c r="G257" s="37"/>
      <c r="H257" s="86"/>
      <c r="I257" s="86">
        <v>46190</v>
      </c>
      <c r="J257" s="37" t="s">
        <v>4</v>
      </c>
      <c r="K257" s="38">
        <f t="shared" si="15"/>
        <v>2</v>
      </c>
      <c r="L257" s="39">
        <f t="shared" si="16"/>
        <v>0</v>
      </c>
      <c r="M257" s="40">
        <f t="shared" ca="1" si="17"/>
        <v>77</v>
      </c>
      <c r="N257">
        <f t="shared" si="18"/>
        <v>25</v>
      </c>
      <c r="O257" t="str">
        <f t="shared" si="19"/>
        <v>Switch</v>
      </c>
    </row>
    <row r="258" spans="1:15" ht="14.25" customHeight="1">
      <c r="A258">
        <v>700</v>
      </c>
      <c r="B258" s="35" t="s">
        <v>25</v>
      </c>
      <c r="C258" s="37" t="s">
        <v>76</v>
      </c>
      <c r="D258" s="37" t="s">
        <v>296</v>
      </c>
      <c r="E258" s="37" t="s">
        <v>80</v>
      </c>
      <c r="F258" s="37">
        <v>1</v>
      </c>
      <c r="G258" s="37"/>
      <c r="H258" s="86"/>
      <c r="I258" s="86">
        <v>46192</v>
      </c>
      <c r="J258" s="37" t="s">
        <v>4</v>
      </c>
      <c r="K258" s="38">
        <f t="shared" ref="K258:K321" si="20">F258-G258</f>
        <v>1</v>
      </c>
      <c r="L258" s="39">
        <f t="shared" ref="L258:L321" si="21">IF(F258=0,"",G258/F258)</f>
        <v>0</v>
      </c>
      <c r="M258" s="40">
        <f t="shared" ref="M258:M321" ca="1" si="22">I258-TODAY()</f>
        <v>79</v>
      </c>
      <c r="N258">
        <f t="shared" ref="N258:N321" si="23">_xlfn.ISOWEEKNUM(I258)</f>
        <v>25</v>
      </c>
      <c r="O258" t="str">
        <f t="shared" ref="O258:O321" si="24">IF(ISNUMBER(SEARCH("Access Point",E258)),"AP",IF(OR(ISNUMBER(SEARCH("Switch",E258)),ISNUMBER(SEARCH("Control Type",E258))),"Switch","Infra"))</f>
        <v>Switch</v>
      </c>
    </row>
    <row r="259" spans="1:15" ht="14.25" customHeight="1">
      <c r="A259">
        <v>699</v>
      </c>
      <c r="B259" s="35" t="s">
        <v>25</v>
      </c>
      <c r="C259" s="37" t="s">
        <v>76</v>
      </c>
      <c r="D259" s="37" t="s">
        <v>296</v>
      </c>
      <c r="E259" s="37" t="s">
        <v>74</v>
      </c>
      <c r="F259" s="37">
        <v>11</v>
      </c>
      <c r="G259" s="37"/>
      <c r="H259" s="86"/>
      <c r="I259" s="86">
        <v>46192</v>
      </c>
      <c r="J259" s="37" t="s">
        <v>4</v>
      </c>
      <c r="K259" s="38">
        <f t="shared" si="20"/>
        <v>11</v>
      </c>
      <c r="L259" s="39">
        <f t="shared" si="21"/>
        <v>0</v>
      </c>
      <c r="M259" s="40">
        <f t="shared" ca="1" si="22"/>
        <v>79</v>
      </c>
      <c r="N259">
        <f t="shared" si="23"/>
        <v>25</v>
      </c>
      <c r="O259" t="str">
        <f t="shared" si="24"/>
        <v>Switch</v>
      </c>
    </row>
    <row r="260" spans="1:15" ht="14.25" hidden="1" customHeight="1">
      <c r="A260">
        <v>49</v>
      </c>
      <c r="B260" s="35" t="s">
        <v>20</v>
      </c>
      <c r="C260" s="37" t="s">
        <v>87</v>
      </c>
      <c r="D260" s="37" t="s">
        <v>297</v>
      </c>
      <c r="E260" s="37" t="s">
        <v>118</v>
      </c>
      <c r="F260" s="37">
        <v>1</v>
      </c>
      <c r="G260" s="37"/>
      <c r="H260" s="86"/>
      <c r="I260" s="86">
        <v>46105</v>
      </c>
      <c r="J260" s="37" t="s">
        <v>4</v>
      </c>
      <c r="K260" s="38">
        <f t="shared" si="20"/>
        <v>1</v>
      </c>
      <c r="L260" s="39">
        <f t="shared" si="21"/>
        <v>0</v>
      </c>
      <c r="M260" s="40">
        <f t="shared" ca="1" si="22"/>
        <v>-8</v>
      </c>
      <c r="N260">
        <f t="shared" si="23"/>
        <v>13</v>
      </c>
      <c r="O260" t="str">
        <f t="shared" si="24"/>
        <v>Switch</v>
      </c>
    </row>
    <row r="261" spans="1:15" ht="14.25" customHeight="1">
      <c r="A261">
        <v>701</v>
      </c>
      <c r="B261" s="35" t="s">
        <v>25</v>
      </c>
      <c r="C261" s="37" t="s">
        <v>76</v>
      </c>
      <c r="D261" s="36" t="s">
        <v>298</v>
      </c>
      <c r="E261" s="37" t="s">
        <v>80</v>
      </c>
      <c r="F261" s="37">
        <v>1</v>
      </c>
      <c r="G261" s="37"/>
      <c r="H261" s="86"/>
      <c r="I261" s="86">
        <v>46195</v>
      </c>
      <c r="J261" s="37" t="s">
        <v>4</v>
      </c>
      <c r="K261" s="38">
        <f t="shared" si="20"/>
        <v>1</v>
      </c>
      <c r="L261" s="39">
        <f t="shared" si="21"/>
        <v>0</v>
      </c>
      <c r="M261" s="40">
        <f t="shared" ca="1" si="22"/>
        <v>82</v>
      </c>
      <c r="N261">
        <f t="shared" si="23"/>
        <v>26</v>
      </c>
      <c r="O261" t="str">
        <f t="shared" si="24"/>
        <v>Switch</v>
      </c>
    </row>
    <row r="262" spans="1:15" ht="14.25" customHeight="1">
      <c r="A262">
        <v>708</v>
      </c>
      <c r="B262" s="35" t="s">
        <v>25</v>
      </c>
      <c r="C262" s="37" t="s">
        <v>98</v>
      </c>
      <c r="D262" s="36" t="s">
        <v>299</v>
      </c>
      <c r="E262" s="37" t="s">
        <v>74</v>
      </c>
      <c r="F262" s="37">
        <v>1</v>
      </c>
      <c r="G262" s="37"/>
      <c r="H262" s="86"/>
      <c r="I262" s="86">
        <v>46190</v>
      </c>
      <c r="J262" s="37" t="s">
        <v>4</v>
      </c>
      <c r="K262" s="38">
        <f t="shared" si="20"/>
        <v>1</v>
      </c>
      <c r="L262" s="39">
        <f t="shared" si="21"/>
        <v>0</v>
      </c>
      <c r="M262" s="40">
        <f t="shared" ca="1" si="22"/>
        <v>77</v>
      </c>
      <c r="N262">
        <f t="shared" si="23"/>
        <v>25</v>
      </c>
      <c r="O262" t="str">
        <f t="shared" si="24"/>
        <v>Switch</v>
      </c>
    </row>
    <row r="263" spans="1:15" ht="14.25" hidden="1" customHeight="1">
      <c r="A263">
        <v>52</v>
      </c>
      <c r="B263" s="35" t="s">
        <v>20</v>
      </c>
      <c r="C263" s="37" t="s">
        <v>87</v>
      </c>
      <c r="D263" s="37" t="s">
        <v>300</v>
      </c>
      <c r="E263" s="37" t="s">
        <v>90</v>
      </c>
      <c r="F263" s="37">
        <v>1</v>
      </c>
      <c r="G263" s="37"/>
      <c r="H263" s="86"/>
      <c r="I263" s="86">
        <v>46105</v>
      </c>
      <c r="J263" s="37" t="s">
        <v>4</v>
      </c>
      <c r="K263" s="38">
        <f t="shared" si="20"/>
        <v>1</v>
      </c>
      <c r="L263" s="39">
        <f t="shared" si="21"/>
        <v>0</v>
      </c>
      <c r="M263" s="40">
        <f t="shared" ca="1" si="22"/>
        <v>-8</v>
      </c>
      <c r="N263">
        <f t="shared" si="23"/>
        <v>13</v>
      </c>
      <c r="O263" t="str">
        <f t="shared" si="24"/>
        <v>Switch</v>
      </c>
    </row>
    <row r="264" spans="1:15" ht="14.25" customHeight="1">
      <c r="A264">
        <v>709</v>
      </c>
      <c r="B264" s="35" t="s">
        <v>25</v>
      </c>
      <c r="C264" s="37" t="s">
        <v>98</v>
      </c>
      <c r="D264" s="36" t="s">
        <v>301</v>
      </c>
      <c r="E264" s="37" t="s">
        <v>80</v>
      </c>
      <c r="F264" s="37">
        <v>1</v>
      </c>
      <c r="G264" s="37"/>
      <c r="H264" s="86"/>
      <c r="I264" s="86">
        <v>46190</v>
      </c>
      <c r="J264" s="37" t="s">
        <v>4</v>
      </c>
      <c r="K264" s="38">
        <f t="shared" si="20"/>
        <v>1</v>
      </c>
      <c r="L264" s="39">
        <f t="shared" si="21"/>
        <v>0</v>
      </c>
      <c r="M264" s="40">
        <f t="shared" ca="1" si="22"/>
        <v>77</v>
      </c>
      <c r="N264">
        <f t="shared" si="23"/>
        <v>25</v>
      </c>
      <c r="O264" t="str">
        <f t="shared" si="24"/>
        <v>Switch</v>
      </c>
    </row>
    <row r="265" spans="1:15" ht="14.25" customHeight="1">
      <c r="A265">
        <v>710</v>
      </c>
      <c r="B265" s="35" t="s">
        <v>25</v>
      </c>
      <c r="C265" s="37" t="s">
        <v>98</v>
      </c>
      <c r="D265" s="36" t="s">
        <v>302</v>
      </c>
      <c r="E265" s="37" t="s">
        <v>80</v>
      </c>
      <c r="F265" s="37">
        <v>1</v>
      </c>
      <c r="G265" s="37"/>
      <c r="H265" s="86"/>
      <c r="I265" s="86">
        <v>46191</v>
      </c>
      <c r="J265" s="37" t="s">
        <v>4</v>
      </c>
      <c r="K265" s="38">
        <f t="shared" si="20"/>
        <v>1</v>
      </c>
      <c r="L265" s="39">
        <f t="shared" si="21"/>
        <v>0</v>
      </c>
      <c r="M265" s="40">
        <f t="shared" ca="1" si="22"/>
        <v>78</v>
      </c>
      <c r="N265">
        <f t="shared" si="23"/>
        <v>25</v>
      </c>
      <c r="O265" t="str">
        <f t="shared" si="24"/>
        <v>Switch</v>
      </c>
    </row>
    <row r="266" spans="1:15" ht="14.25" hidden="1" customHeight="1">
      <c r="A266">
        <v>55</v>
      </c>
      <c r="B266" s="35" t="s">
        <v>20</v>
      </c>
      <c r="C266" s="37" t="s">
        <v>87</v>
      </c>
      <c r="D266" s="37" t="s">
        <v>303</v>
      </c>
      <c r="E266" s="37" t="s">
        <v>90</v>
      </c>
      <c r="F266" s="37">
        <v>1</v>
      </c>
      <c r="G266" s="37"/>
      <c r="H266" s="86"/>
      <c r="I266" s="86">
        <v>46105</v>
      </c>
      <c r="J266" s="37" t="s">
        <v>4</v>
      </c>
      <c r="K266" s="38">
        <f t="shared" si="20"/>
        <v>1</v>
      </c>
      <c r="L266" s="39">
        <f t="shared" si="21"/>
        <v>0</v>
      </c>
      <c r="M266" s="40">
        <f t="shared" ca="1" si="22"/>
        <v>-8</v>
      </c>
      <c r="N266">
        <f t="shared" si="23"/>
        <v>13</v>
      </c>
      <c r="O266" t="str">
        <f t="shared" si="24"/>
        <v>Switch</v>
      </c>
    </row>
    <row r="267" spans="1:15" ht="14.25" customHeight="1">
      <c r="A267">
        <v>712</v>
      </c>
      <c r="B267" s="35" t="s">
        <v>25</v>
      </c>
      <c r="C267" s="37" t="s">
        <v>98</v>
      </c>
      <c r="D267" s="36" t="s">
        <v>304</v>
      </c>
      <c r="E267" s="37" t="s">
        <v>80</v>
      </c>
      <c r="F267" s="37">
        <v>2</v>
      </c>
      <c r="G267" s="37"/>
      <c r="H267" s="86"/>
      <c r="I267" s="86">
        <v>46191</v>
      </c>
      <c r="J267" s="37" t="s">
        <v>4</v>
      </c>
      <c r="K267" s="38">
        <f t="shared" si="20"/>
        <v>2</v>
      </c>
      <c r="L267" s="39">
        <f t="shared" si="21"/>
        <v>0</v>
      </c>
      <c r="M267" s="40">
        <f t="shared" ca="1" si="22"/>
        <v>78</v>
      </c>
      <c r="N267">
        <f t="shared" si="23"/>
        <v>25</v>
      </c>
      <c r="O267" t="str">
        <f t="shared" si="24"/>
        <v>Switch</v>
      </c>
    </row>
    <row r="268" spans="1:15" ht="14.25" customHeight="1">
      <c r="A268">
        <v>711</v>
      </c>
      <c r="B268" s="35" t="s">
        <v>25</v>
      </c>
      <c r="C268" s="37" t="s">
        <v>98</v>
      </c>
      <c r="D268" s="36" t="s">
        <v>304</v>
      </c>
      <c r="E268" s="37" t="s">
        <v>74</v>
      </c>
      <c r="F268" s="37">
        <v>4</v>
      </c>
      <c r="G268" s="37"/>
      <c r="H268" s="86"/>
      <c r="I268" s="86">
        <v>46191</v>
      </c>
      <c r="J268" s="37" t="s">
        <v>4</v>
      </c>
      <c r="K268" s="38">
        <f t="shared" si="20"/>
        <v>4</v>
      </c>
      <c r="L268" s="39">
        <f t="shared" si="21"/>
        <v>0</v>
      </c>
      <c r="M268" s="40">
        <f t="shared" ca="1" si="22"/>
        <v>78</v>
      </c>
      <c r="N268">
        <f t="shared" si="23"/>
        <v>25</v>
      </c>
      <c r="O268" t="str">
        <f t="shared" si="24"/>
        <v>Switch</v>
      </c>
    </row>
    <row r="269" spans="1:15" ht="14.25" hidden="1" customHeight="1">
      <c r="A269">
        <v>58</v>
      </c>
      <c r="B269" s="35" t="s">
        <v>20</v>
      </c>
      <c r="C269" s="37" t="s">
        <v>87</v>
      </c>
      <c r="D269" s="37" t="s">
        <v>305</v>
      </c>
      <c r="E269" s="37" t="s">
        <v>90</v>
      </c>
      <c r="F269" s="37">
        <v>1</v>
      </c>
      <c r="G269" s="37"/>
      <c r="H269" s="86"/>
      <c r="I269" s="86">
        <v>46105</v>
      </c>
      <c r="J269" s="37" t="s">
        <v>4</v>
      </c>
      <c r="K269" s="38">
        <f t="shared" si="20"/>
        <v>1</v>
      </c>
      <c r="L269" s="39">
        <f t="shared" si="21"/>
        <v>0</v>
      </c>
      <c r="M269" s="40">
        <f t="shared" ca="1" si="22"/>
        <v>-8</v>
      </c>
      <c r="N269">
        <f t="shared" si="23"/>
        <v>13</v>
      </c>
      <c r="O269" t="str">
        <f t="shared" si="24"/>
        <v>Switch</v>
      </c>
    </row>
    <row r="270" spans="1:15" ht="14.25" customHeight="1">
      <c r="A270">
        <v>716</v>
      </c>
      <c r="B270" s="35" t="s">
        <v>25</v>
      </c>
      <c r="C270" s="37" t="s">
        <v>105</v>
      </c>
      <c r="D270" s="37" t="s">
        <v>306</v>
      </c>
      <c r="E270" s="37" t="s">
        <v>80</v>
      </c>
      <c r="F270" s="37">
        <v>2</v>
      </c>
      <c r="G270" s="37"/>
      <c r="H270" s="86"/>
      <c r="I270" s="86">
        <v>46192</v>
      </c>
      <c r="J270" s="37" t="s">
        <v>4</v>
      </c>
      <c r="K270" s="38">
        <f t="shared" si="20"/>
        <v>2</v>
      </c>
      <c r="L270" s="39">
        <f t="shared" si="21"/>
        <v>0</v>
      </c>
      <c r="M270" s="40">
        <f t="shared" ca="1" si="22"/>
        <v>79</v>
      </c>
      <c r="N270">
        <f t="shared" si="23"/>
        <v>25</v>
      </c>
      <c r="O270" t="str">
        <f t="shared" si="24"/>
        <v>Switch</v>
      </c>
    </row>
    <row r="271" spans="1:15" ht="14.25" customHeight="1">
      <c r="A271">
        <v>717</v>
      </c>
      <c r="B271" s="35" t="s">
        <v>25</v>
      </c>
      <c r="C271" s="37" t="s">
        <v>105</v>
      </c>
      <c r="D271" s="36" t="s">
        <v>307</v>
      </c>
      <c r="E271" s="37" t="s">
        <v>74</v>
      </c>
      <c r="F271" s="37">
        <v>2</v>
      </c>
      <c r="G271" s="37"/>
      <c r="H271" s="86"/>
      <c r="I271" s="86">
        <v>46192</v>
      </c>
      <c r="J271" s="37" t="s">
        <v>4</v>
      </c>
      <c r="K271" s="38">
        <f t="shared" si="20"/>
        <v>2</v>
      </c>
      <c r="L271" s="39">
        <f t="shared" si="21"/>
        <v>0</v>
      </c>
      <c r="M271" s="40">
        <f t="shared" ca="1" si="22"/>
        <v>79</v>
      </c>
      <c r="N271">
        <f t="shared" si="23"/>
        <v>25</v>
      </c>
      <c r="O271" t="str">
        <f t="shared" si="24"/>
        <v>Switch</v>
      </c>
    </row>
    <row r="272" spans="1:15" ht="14.25" hidden="1" customHeight="1">
      <c r="A272">
        <v>61</v>
      </c>
      <c r="B272" s="35" t="s">
        <v>20</v>
      </c>
      <c r="C272" s="37" t="s">
        <v>87</v>
      </c>
      <c r="D272" s="37" t="s">
        <v>308</v>
      </c>
      <c r="E272" s="37" t="s">
        <v>90</v>
      </c>
      <c r="F272" s="37">
        <v>1</v>
      </c>
      <c r="G272" s="37"/>
      <c r="H272" s="86"/>
      <c r="I272" s="86">
        <v>46106</v>
      </c>
      <c r="J272" s="37" t="s">
        <v>4</v>
      </c>
      <c r="K272" s="38">
        <f t="shared" si="20"/>
        <v>1</v>
      </c>
      <c r="L272" s="39">
        <f t="shared" si="21"/>
        <v>0</v>
      </c>
      <c r="M272" s="40">
        <f t="shared" ca="1" si="22"/>
        <v>-7</v>
      </c>
      <c r="N272">
        <f t="shared" si="23"/>
        <v>13</v>
      </c>
      <c r="O272" t="str">
        <f t="shared" si="24"/>
        <v>Switch</v>
      </c>
    </row>
    <row r="273" spans="1:16" ht="14.25" customHeight="1">
      <c r="A273">
        <v>719</v>
      </c>
      <c r="B273" s="35" t="s">
        <v>25</v>
      </c>
      <c r="C273" s="37" t="s">
        <v>109</v>
      </c>
      <c r="D273" s="37" t="s">
        <v>309</v>
      </c>
      <c r="E273" s="37" t="s">
        <v>74</v>
      </c>
      <c r="F273" s="37">
        <v>1</v>
      </c>
      <c r="G273" s="37"/>
      <c r="H273" s="86"/>
      <c r="I273" s="86">
        <v>46192</v>
      </c>
      <c r="J273" s="37" t="s">
        <v>4</v>
      </c>
      <c r="K273" s="38">
        <f t="shared" si="20"/>
        <v>1</v>
      </c>
      <c r="L273" s="39">
        <f t="shared" si="21"/>
        <v>0</v>
      </c>
      <c r="M273" s="40">
        <f t="shared" ca="1" si="22"/>
        <v>79</v>
      </c>
      <c r="N273">
        <f t="shared" si="23"/>
        <v>25</v>
      </c>
      <c r="O273" t="str">
        <f t="shared" si="24"/>
        <v>Switch</v>
      </c>
    </row>
    <row r="274" spans="1:16" ht="14.25" customHeight="1">
      <c r="A274">
        <v>720</v>
      </c>
      <c r="B274" s="35" t="s">
        <v>25</v>
      </c>
      <c r="C274" s="37" t="s">
        <v>109</v>
      </c>
      <c r="D274" s="36" t="s">
        <v>310</v>
      </c>
      <c r="E274" s="37" t="s">
        <v>80</v>
      </c>
      <c r="F274" s="37">
        <v>1</v>
      </c>
      <c r="G274" s="37"/>
      <c r="H274" s="86"/>
      <c r="I274" s="86">
        <v>46195</v>
      </c>
      <c r="J274" s="37" t="s">
        <v>4</v>
      </c>
      <c r="K274" s="38">
        <f t="shared" si="20"/>
        <v>1</v>
      </c>
      <c r="L274" s="39">
        <f t="shared" si="21"/>
        <v>0</v>
      </c>
      <c r="M274" s="40">
        <f t="shared" ca="1" si="22"/>
        <v>82</v>
      </c>
      <c r="N274">
        <f t="shared" si="23"/>
        <v>26</v>
      </c>
      <c r="O274" t="str">
        <f t="shared" si="24"/>
        <v>Switch</v>
      </c>
    </row>
    <row r="275" spans="1:16" ht="14.25" hidden="1" customHeight="1">
      <c r="A275">
        <v>64</v>
      </c>
      <c r="B275" s="35" t="s">
        <v>20</v>
      </c>
      <c r="C275" s="37" t="s">
        <v>87</v>
      </c>
      <c r="D275" s="37" t="s">
        <v>311</v>
      </c>
      <c r="E275" s="37" t="s">
        <v>118</v>
      </c>
      <c r="F275" s="37">
        <v>1</v>
      </c>
      <c r="G275" s="37"/>
      <c r="H275" s="86"/>
      <c r="I275" s="86">
        <v>46106</v>
      </c>
      <c r="J275" s="37" t="s">
        <v>4</v>
      </c>
      <c r="K275" s="38">
        <f t="shared" si="20"/>
        <v>1</v>
      </c>
      <c r="L275" s="39">
        <f t="shared" si="21"/>
        <v>0</v>
      </c>
      <c r="M275" s="40">
        <f t="shared" ca="1" si="22"/>
        <v>-7</v>
      </c>
      <c r="N275">
        <f t="shared" si="23"/>
        <v>13</v>
      </c>
      <c r="O275" t="str">
        <f t="shared" si="24"/>
        <v>Switch</v>
      </c>
    </row>
    <row r="276" spans="1:16" ht="14.25" customHeight="1">
      <c r="A276">
        <v>723</v>
      </c>
      <c r="B276" s="35" t="s">
        <v>25</v>
      </c>
      <c r="C276" s="37" t="s">
        <v>111</v>
      </c>
      <c r="D276" s="37" t="s">
        <v>122</v>
      </c>
      <c r="E276" s="37" t="s">
        <v>80</v>
      </c>
      <c r="F276" s="37">
        <v>1</v>
      </c>
      <c r="G276" s="37"/>
      <c r="H276" s="86"/>
      <c r="I276" s="86">
        <v>46195</v>
      </c>
      <c r="J276" s="37" t="s">
        <v>4</v>
      </c>
      <c r="K276" s="38">
        <f t="shared" si="20"/>
        <v>1</v>
      </c>
      <c r="L276" s="39">
        <f t="shared" si="21"/>
        <v>0</v>
      </c>
      <c r="M276" s="40">
        <f t="shared" ca="1" si="22"/>
        <v>82</v>
      </c>
      <c r="N276">
        <f t="shared" si="23"/>
        <v>26</v>
      </c>
      <c r="O276" t="str">
        <f t="shared" si="24"/>
        <v>Switch</v>
      </c>
    </row>
    <row r="277" spans="1:16" ht="14.25" customHeight="1">
      <c r="A277">
        <v>722</v>
      </c>
      <c r="B277" s="35" t="s">
        <v>25</v>
      </c>
      <c r="C277" s="37" t="s">
        <v>111</v>
      </c>
      <c r="D277" s="37" t="s">
        <v>122</v>
      </c>
      <c r="E277" s="37" t="s">
        <v>74</v>
      </c>
      <c r="F277" s="37">
        <v>1</v>
      </c>
      <c r="G277" s="37"/>
      <c r="H277" s="86"/>
      <c r="I277" s="86">
        <v>46195</v>
      </c>
      <c r="J277" s="37" t="s">
        <v>4</v>
      </c>
      <c r="K277" s="38">
        <f t="shared" si="20"/>
        <v>1</v>
      </c>
      <c r="L277" s="39">
        <f t="shared" si="21"/>
        <v>0</v>
      </c>
      <c r="M277" s="40">
        <f t="shared" ca="1" si="22"/>
        <v>82</v>
      </c>
      <c r="N277">
        <f t="shared" si="23"/>
        <v>26</v>
      </c>
      <c r="O277" t="str">
        <f t="shared" si="24"/>
        <v>Switch</v>
      </c>
    </row>
    <row r="278" spans="1:16" ht="14.25" hidden="1" customHeight="1">
      <c r="A278">
        <v>73</v>
      </c>
      <c r="B278" s="35" t="s">
        <v>20</v>
      </c>
      <c r="C278" s="37" t="s">
        <v>87</v>
      </c>
      <c r="D278" s="37" t="s">
        <v>20</v>
      </c>
      <c r="E278" s="37" t="s">
        <v>83</v>
      </c>
      <c r="F278" s="37">
        <v>2</v>
      </c>
      <c r="G278" s="37">
        <v>2</v>
      </c>
      <c r="H278" s="86">
        <v>46063</v>
      </c>
      <c r="I278" s="86">
        <v>46063</v>
      </c>
      <c r="J278" s="37" t="s">
        <v>75</v>
      </c>
      <c r="K278" s="38">
        <f t="shared" si="20"/>
        <v>0</v>
      </c>
      <c r="L278" s="39">
        <f t="shared" si="21"/>
        <v>1</v>
      </c>
      <c r="M278" s="40">
        <f t="shared" ca="1" si="22"/>
        <v>-50</v>
      </c>
      <c r="N278">
        <f t="shared" si="23"/>
        <v>7</v>
      </c>
      <c r="O278" t="str">
        <f t="shared" si="24"/>
        <v>Infra</v>
      </c>
      <c r="P278" s="43" t="s">
        <v>175</v>
      </c>
    </row>
    <row r="279" spans="1:16" ht="14.25" hidden="1" customHeight="1">
      <c r="A279">
        <v>72</v>
      </c>
      <c r="B279" s="35" t="s">
        <v>20</v>
      </c>
      <c r="C279" s="37" t="s">
        <v>87</v>
      </c>
      <c r="D279" s="37" t="s">
        <v>20</v>
      </c>
      <c r="E279" s="37" t="s">
        <v>312</v>
      </c>
      <c r="F279" s="37">
        <v>2</v>
      </c>
      <c r="G279" s="37">
        <v>2</v>
      </c>
      <c r="H279" s="86">
        <v>46063</v>
      </c>
      <c r="I279" s="86">
        <v>46063</v>
      </c>
      <c r="J279" s="37" t="s">
        <v>75</v>
      </c>
      <c r="K279" s="38">
        <f t="shared" si="20"/>
        <v>0</v>
      </c>
      <c r="L279" s="39">
        <f t="shared" si="21"/>
        <v>1</v>
      </c>
      <c r="M279" s="40">
        <f t="shared" ca="1" si="22"/>
        <v>-50</v>
      </c>
      <c r="N279">
        <f t="shared" si="23"/>
        <v>7</v>
      </c>
      <c r="O279" t="str">
        <f t="shared" si="24"/>
        <v>Infra</v>
      </c>
    </row>
    <row r="280" spans="1:16" ht="14.25" hidden="1" customHeight="1">
      <c r="A280">
        <v>71</v>
      </c>
      <c r="B280" s="35" t="s">
        <v>20</v>
      </c>
      <c r="C280" s="37" t="s">
        <v>87</v>
      </c>
      <c r="D280" s="37" t="s">
        <v>20</v>
      </c>
      <c r="E280" s="37" t="s">
        <v>313</v>
      </c>
      <c r="F280" s="37">
        <v>1</v>
      </c>
      <c r="G280" s="37">
        <v>1</v>
      </c>
      <c r="H280" s="86">
        <v>46063</v>
      </c>
      <c r="I280" s="86">
        <v>46063</v>
      </c>
      <c r="J280" s="37" t="s">
        <v>75</v>
      </c>
      <c r="K280" s="38">
        <f t="shared" si="20"/>
        <v>0</v>
      </c>
      <c r="L280" s="39">
        <f t="shared" si="21"/>
        <v>1</v>
      </c>
      <c r="M280" s="40">
        <f t="shared" ca="1" si="22"/>
        <v>-50</v>
      </c>
      <c r="N280">
        <f t="shared" si="23"/>
        <v>7</v>
      </c>
      <c r="O280" t="str">
        <f t="shared" si="24"/>
        <v>Switch</v>
      </c>
    </row>
    <row r="281" spans="1:16" ht="14.25" hidden="1" customHeight="1">
      <c r="A281">
        <v>70</v>
      </c>
      <c r="B281" s="35" t="s">
        <v>20</v>
      </c>
      <c r="C281" s="37" t="s">
        <v>87</v>
      </c>
      <c r="D281" s="37" t="s">
        <v>20</v>
      </c>
      <c r="E281" s="37" t="s">
        <v>84</v>
      </c>
      <c r="F281" s="37">
        <v>2</v>
      </c>
      <c r="G281" s="37">
        <v>2</v>
      </c>
      <c r="H281" s="86">
        <v>46063</v>
      </c>
      <c r="I281" s="86">
        <v>46063</v>
      </c>
      <c r="J281" s="37" t="s">
        <v>75</v>
      </c>
      <c r="K281" s="38">
        <f t="shared" si="20"/>
        <v>0</v>
      </c>
      <c r="L281" s="39">
        <f t="shared" si="21"/>
        <v>1</v>
      </c>
      <c r="M281" s="40">
        <f t="shared" ca="1" si="22"/>
        <v>-50</v>
      </c>
      <c r="N281">
        <f t="shared" si="23"/>
        <v>7</v>
      </c>
      <c r="O281" t="str">
        <f t="shared" si="24"/>
        <v>Switch</v>
      </c>
    </row>
    <row r="282" spans="1:16" ht="14.25" hidden="1" customHeight="1">
      <c r="A282">
        <v>69</v>
      </c>
      <c r="B282" s="35" t="s">
        <v>20</v>
      </c>
      <c r="C282" s="37" t="s">
        <v>87</v>
      </c>
      <c r="D282" s="37" t="s">
        <v>20</v>
      </c>
      <c r="E282" s="37" t="s">
        <v>314</v>
      </c>
      <c r="F282" s="37">
        <v>2</v>
      </c>
      <c r="G282" s="37">
        <v>2</v>
      </c>
      <c r="H282" s="86">
        <v>46063</v>
      </c>
      <c r="I282" s="86">
        <v>46063</v>
      </c>
      <c r="J282" s="37" t="s">
        <v>75</v>
      </c>
      <c r="K282" s="38">
        <f t="shared" si="20"/>
        <v>0</v>
      </c>
      <c r="L282" s="39">
        <f t="shared" si="21"/>
        <v>1</v>
      </c>
      <c r="M282" s="40">
        <f t="shared" ca="1" si="22"/>
        <v>-50</v>
      </c>
      <c r="N282">
        <f t="shared" si="23"/>
        <v>7</v>
      </c>
      <c r="O282" t="str">
        <f t="shared" si="24"/>
        <v>Switch</v>
      </c>
    </row>
    <row r="283" spans="1:16" ht="14.25" hidden="1" customHeight="1">
      <c r="A283">
        <v>68</v>
      </c>
      <c r="B283" s="35" t="s">
        <v>20</v>
      </c>
      <c r="C283" s="37" t="s">
        <v>87</v>
      </c>
      <c r="D283" s="37" t="s">
        <v>20</v>
      </c>
      <c r="E283" s="37" t="s">
        <v>118</v>
      </c>
      <c r="F283" s="37">
        <v>1</v>
      </c>
      <c r="G283" s="37">
        <v>1</v>
      </c>
      <c r="H283" s="86">
        <v>46063</v>
      </c>
      <c r="I283" s="86">
        <v>46063</v>
      </c>
      <c r="J283" s="37" t="s">
        <v>75</v>
      </c>
      <c r="K283" s="38">
        <f t="shared" si="20"/>
        <v>0</v>
      </c>
      <c r="L283" s="39">
        <f t="shared" si="21"/>
        <v>1</v>
      </c>
      <c r="M283" s="40">
        <f t="shared" ca="1" si="22"/>
        <v>-50</v>
      </c>
      <c r="N283">
        <f t="shared" si="23"/>
        <v>7</v>
      </c>
      <c r="O283" t="str">
        <f t="shared" si="24"/>
        <v>Switch</v>
      </c>
    </row>
    <row r="284" spans="1:16" ht="14.25" hidden="1" customHeight="1">
      <c r="A284">
        <v>67</v>
      </c>
      <c r="B284" s="35" t="s">
        <v>20</v>
      </c>
      <c r="C284" s="37" t="s">
        <v>87</v>
      </c>
      <c r="D284" s="37" t="s">
        <v>20</v>
      </c>
      <c r="E284" s="37" t="s">
        <v>90</v>
      </c>
      <c r="F284" s="37">
        <v>3</v>
      </c>
      <c r="G284" s="37">
        <v>3</v>
      </c>
      <c r="H284" s="86">
        <v>46063</v>
      </c>
      <c r="I284" s="86">
        <v>46063</v>
      </c>
      <c r="J284" s="37" t="s">
        <v>75</v>
      </c>
      <c r="K284" s="38">
        <f t="shared" si="20"/>
        <v>0</v>
      </c>
      <c r="L284" s="39">
        <f t="shared" si="21"/>
        <v>1</v>
      </c>
      <c r="M284" s="40">
        <f t="shared" ca="1" si="22"/>
        <v>-50</v>
      </c>
      <c r="N284">
        <f t="shared" si="23"/>
        <v>7</v>
      </c>
      <c r="O284" t="str">
        <f t="shared" si="24"/>
        <v>Switch</v>
      </c>
    </row>
    <row r="285" spans="1:16" ht="14.25" customHeight="1">
      <c r="A285">
        <v>724</v>
      </c>
      <c r="B285" s="35" t="s">
        <v>25</v>
      </c>
      <c r="C285" s="37" t="s">
        <v>111</v>
      </c>
      <c r="D285" s="37" t="s">
        <v>315</v>
      </c>
      <c r="E285" s="37" t="s">
        <v>74</v>
      </c>
      <c r="F285" s="37">
        <v>1</v>
      </c>
      <c r="G285" s="37"/>
      <c r="H285" s="86"/>
      <c r="I285" s="86">
        <v>46195</v>
      </c>
      <c r="J285" s="37" t="s">
        <v>4</v>
      </c>
      <c r="K285" s="38">
        <f t="shared" si="20"/>
        <v>1</v>
      </c>
      <c r="L285" s="39">
        <f t="shared" si="21"/>
        <v>0</v>
      </c>
      <c r="M285" s="40">
        <f t="shared" ca="1" si="22"/>
        <v>82</v>
      </c>
      <c r="N285">
        <f t="shared" si="23"/>
        <v>26</v>
      </c>
      <c r="O285" t="str">
        <f t="shared" si="24"/>
        <v>Switch</v>
      </c>
    </row>
    <row r="286" spans="1:16" ht="14.25" customHeight="1">
      <c r="A286">
        <v>730</v>
      </c>
      <c r="B286" s="35" t="s">
        <v>25</v>
      </c>
      <c r="C286" s="37" t="s">
        <v>316</v>
      </c>
      <c r="D286" s="37" t="s">
        <v>317</v>
      </c>
      <c r="E286" s="37" t="s">
        <v>74</v>
      </c>
      <c r="F286" s="37">
        <v>2</v>
      </c>
      <c r="G286" s="37"/>
      <c r="H286" s="86"/>
      <c r="I286" s="86">
        <v>46195</v>
      </c>
      <c r="J286" s="37" t="s">
        <v>4</v>
      </c>
      <c r="K286" s="38">
        <f t="shared" si="20"/>
        <v>2</v>
      </c>
      <c r="L286" s="39">
        <f t="shared" si="21"/>
        <v>0</v>
      </c>
      <c r="M286" s="40">
        <f t="shared" ca="1" si="22"/>
        <v>82</v>
      </c>
      <c r="N286">
        <f t="shared" si="23"/>
        <v>26</v>
      </c>
      <c r="O286" t="str">
        <f t="shared" si="24"/>
        <v>Switch</v>
      </c>
    </row>
    <row r="287" spans="1:16" ht="14.25" hidden="1" customHeight="1">
      <c r="A287">
        <v>76</v>
      </c>
      <c r="B287" s="35" t="s">
        <v>20</v>
      </c>
      <c r="C287" s="37" t="s">
        <v>87</v>
      </c>
      <c r="D287" s="37" t="s">
        <v>318</v>
      </c>
      <c r="E287" s="37" t="s">
        <v>118</v>
      </c>
      <c r="F287" s="37">
        <v>1</v>
      </c>
      <c r="G287" s="37"/>
      <c r="H287" s="86"/>
      <c r="I287" s="86">
        <v>46106</v>
      </c>
      <c r="J287" s="37" t="s">
        <v>4</v>
      </c>
      <c r="K287" s="38">
        <f t="shared" si="20"/>
        <v>1</v>
      </c>
      <c r="L287" s="39">
        <f t="shared" si="21"/>
        <v>0</v>
      </c>
      <c r="M287" s="40">
        <f t="shared" ca="1" si="22"/>
        <v>-7</v>
      </c>
      <c r="N287">
        <f t="shared" si="23"/>
        <v>13</v>
      </c>
      <c r="O287" t="str">
        <f t="shared" si="24"/>
        <v>Switch</v>
      </c>
    </row>
    <row r="288" spans="1:16" ht="14.25" customHeight="1">
      <c r="A288">
        <v>714</v>
      </c>
      <c r="B288" s="35" t="s">
        <v>25</v>
      </c>
      <c r="C288" s="37" t="s">
        <v>114</v>
      </c>
      <c r="D288" s="36" t="s">
        <v>319</v>
      </c>
      <c r="E288" s="37" t="s">
        <v>74</v>
      </c>
      <c r="F288" s="37">
        <v>2</v>
      </c>
      <c r="G288" s="37"/>
      <c r="H288" s="86"/>
      <c r="I288" s="86">
        <v>46192</v>
      </c>
      <c r="J288" s="37" t="s">
        <v>4</v>
      </c>
      <c r="K288" s="38">
        <f t="shared" si="20"/>
        <v>2</v>
      </c>
      <c r="L288" s="39">
        <f t="shared" si="21"/>
        <v>0</v>
      </c>
      <c r="M288" s="40">
        <f t="shared" ca="1" si="22"/>
        <v>79</v>
      </c>
      <c r="N288">
        <f t="shared" si="23"/>
        <v>25</v>
      </c>
      <c r="O288" t="str">
        <f t="shared" si="24"/>
        <v>Switch</v>
      </c>
    </row>
    <row r="289" spans="1:16" ht="14.25" customHeight="1">
      <c r="A289">
        <v>732</v>
      </c>
      <c r="B289" s="35" t="s">
        <v>25</v>
      </c>
      <c r="C289" s="36" t="s">
        <v>320</v>
      </c>
      <c r="D289" s="36" t="s">
        <v>319</v>
      </c>
      <c r="E289" s="37" t="s">
        <v>80</v>
      </c>
      <c r="F289" s="37">
        <v>1</v>
      </c>
      <c r="G289" s="37"/>
      <c r="H289" s="86"/>
      <c r="I289" s="86">
        <v>46195</v>
      </c>
      <c r="J289" s="37" t="s">
        <v>4</v>
      </c>
      <c r="K289" s="38">
        <f t="shared" si="20"/>
        <v>1</v>
      </c>
      <c r="L289" s="39">
        <f t="shared" si="21"/>
        <v>0</v>
      </c>
      <c r="M289" s="40">
        <f t="shared" ca="1" si="22"/>
        <v>82</v>
      </c>
      <c r="N289">
        <f t="shared" si="23"/>
        <v>26</v>
      </c>
      <c r="O289" t="str">
        <f t="shared" si="24"/>
        <v>Switch</v>
      </c>
    </row>
    <row r="290" spans="1:16" ht="14.25" hidden="1" customHeight="1">
      <c r="A290">
        <v>79</v>
      </c>
      <c r="B290" s="35" t="s">
        <v>20</v>
      </c>
      <c r="C290" s="37" t="s">
        <v>87</v>
      </c>
      <c r="D290" s="37" t="s">
        <v>321</v>
      </c>
      <c r="E290" s="37" t="s">
        <v>118</v>
      </c>
      <c r="F290" s="37">
        <v>1</v>
      </c>
      <c r="G290" s="37"/>
      <c r="H290" s="86"/>
      <c r="I290" s="86">
        <v>46107</v>
      </c>
      <c r="J290" s="37" t="s">
        <v>4</v>
      </c>
      <c r="K290" s="38">
        <f t="shared" si="20"/>
        <v>1</v>
      </c>
      <c r="L290" s="39">
        <f t="shared" si="21"/>
        <v>0</v>
      </c>
      <c r="M290" s="40">
        <f t="shared" ca="1" si="22"/>
        <v>-6</v>
      </c>
      <c r="N290">
        <f t="shared" si="23"/>
        <v>13</v>
      </c>
      <c r="O290" t="str">
        <f t="shared" si="24"/>
        <v>Switch</v>
      </c>
    </row>
    <row r="291" spans="1:16" ht="14.25" customHeight="1">
      <c r="A291">
        <v>725</v>
      </c>
      <c r="B291" s="35" t="s">
        <v>25</v>
      </c>
      <c r="C291" s="36" t="s">
        <v>116</v>
      </c>
      <c r="D291" s="37" t="s">
        <v>117</v>
      </c>
      <c r="E291" s="37" t="s">
        <v>74</v>
      </c>
      <c r="F291" s="37">
        <v>1</v>
      </c>
      <c r="G291" s="37"/>
      <c r="H291" s="86"/>
      <c r="I291" s="86">
        <v>46195</v>
      </c>
      <c r="J291" s="37" t="s">
        <v>4</v>
      </c>
      <c r="K291" s="38">
        <f t="shared" si="20"/>
        <v>1</v>
      </c>
      <c r="L291" s="39">
        <f t="shared" si="21"/>
        <v>0</v>
      </c>
      <c r="M291" s="40">
        <f t="shared" ca="1" si="22"/>
        <v>82</v>
      </c>
      <c r="N291">
        <f t="shared" si="23"/>
        <v>26</v>
      </c>
      <c r="O291" t="str">
        <f t="shared" si="24"/>
        <v>Switch</v>
      </c>
    </row>
    <row r="292" spans="1:16" ht="14.25" customHeight="1">
      <c r="A292">
        <v>727</v>
      </c>
      <c r="B292" s="35" t="s">
        <v>25</v>
      </c>
      <c r="C292" s="36" t="s">
        <v>116</v>
      </c>
      <c r="D292" s="37" t="s">
        <v>322</v>
      </c>
      <c r="E292" s="37" t="s">
        <v>74</v>
      </c>
      <c r="F292" s="37">
        <v>1</v>
      </c>
      <c r="G292" s="37"/>
      <c r="H292" s="86"/>
      <c r="I292" s="86">
        <v>46195</v>
      </c>
      <c r="J292" s="37" t="s">
        <v>4</v>
      </c>
      <c r="K292" s="38">
        <f t="shared" si="20"/>
        <v>1</v>
      </c>
      <c r="L292" s="39">
        <f t="shared" si="21"/>
        <v>0</v>
      </c>
      <c r="M292" s="40">
        <f t="shared" ca="1" si="22"/>
        <v>82</v>
      </c>
      <c r="N292">
        <f t="shared" si="23"/>
        <v>26</v>
      </c>
      <c r="O292" t="str">
        <f t="shared" si="24"/>
        <v>Switch</v>
      </c>
    </row>
    <row r="293" spans="1:16" ht="14.25" hidden="1" customHeight="1">
      <c r="A293">
        <v>86</v>
      </c>
      <c r="B293" s="35" t="s">
        <v>20</v>
      </c>
      <c r="C293" s="37" t="s">
        <v>87</v>
      </c>
      <c r="D293" s="37" t="s">
        <v>23</v>
      </c>
      <c r="E293" s="37" t="s">
        <v>313</v>
      </c>
      <c r="F293" s="37">
        <v>1</v>
      </c>
      <c r="G293" s="37">
        <v>1</v>
      </c>
      <c r="H293" s="86">
        <v>46063</v>
      </c>
      <c r="I293" s="86">
        <v>46063</v>
      </c>
      <c r="J293" s="37" t="s">
        <v>75</v>
      </c>
      <c r="K293" s="38">
        <f t="shared" si="20"/>
        <v>0</v>
      </c>
      <c r="L293" s="39">
        <f t="shared" si="21"/>
        <v>1</v>
      </c>
      <c r="M293" s="40">
        <f t="shared" ca="1" si="22"/>
        <v>-50</v>
      </c>
      <c r="N293">
        <f t="shared" si="23"/>
        <v>7</v>
      </c>
      <c r="O293" t="str">
        <f t="shared" si="24"/>
        <v>Switch</v>
      </c>
      <c r="P293" s="43" t="s">
        <v>192</v>
      </c>
    </row>
    <row r="294" spans="1:16" ht="14.25" hidden="1" customHeight="1">
      <c r="A294">
        <v>85</v>
      </c>
      <c r="B294" s="35" t="s">
        <v>20</v>
      </c>
      <c r="C294" s="37" t="s">
        <v>87</v>
      </c>
      <c r="D294" s="37" t="s">
        <v>23</v>
      </c>
      <c r="E294" s="37" t="s">
        <v>84</v>
      </c>
      <c r="F294" s="37">
        <v>2</v>
      </c>
      <c r="G294" s="37">
        <v>2</v>
      </c>
      <c r="H294" s="86">
        <v>46063</v>
      </c>
      <c r="I294" s="86">
        <v>46063</v>
      </c>
      <c r="J294" s="37" t="s">
        <v>75</v>
      </c>
      <c r="K294" s="38">
        <f t="shared" si="20"/>
        <v>0</v>
      </c>
      <c r="L294" s="39">
        <f t="shared" si="21"/>
        <v>1</v>
      </c>
      <c r="M294" s="40">
        <f t="shared" ca="1" si="22"/>
        <v>-50</v>
      </c>
      <c r="N294">
        <f t="shared" si="23"/>
        <v>7</v>
      </c>
      <c r="O294" t="str">
        <f t="shared" si="24"/>
        <v>Switch</v>
      </c>
    </row>
    <row r="295" spans="1:16" ht="14.25" hidden="1" customHeight="1">
      <c r="A295">
        <v>84</v>
      </c>
      <c r="B295" s="35" t="s">
        <v>20</v>
      </c>
      <c r="C295" s="37" t="s">
        <v>87</v>
      </c>
      <c r="D295" s="37" t="s">
        <v>23</v>
      </c>
      <c r="E295" s="37" t="s">
        <v>314</v>
      </c>
      <c r="F295" s="37">
        <v>2</v>
      </c>
      <c r="G295" s="37">
        <v>2</v>
      </c>
      <c r="H295" s="86">
        <v>46063</v>
      </c>
      <c r="I295" s="86">
        <v>46063</v>
      </c>
      <c r="J295" s="37" t="s">
        <v>75</v>
      </c>
      <c r="K295" s="38">
        <f t="shared" si="20"/>
        <v>0</v>
      </c>
      <c r="L295" s="39">
        <f t="shared" si="21"/>
        <v>1</v>
      </c>
      <c r="M295" s="40">
        <f t="shared" ca="1" si="22"/>
        <v>-50</v>
      </c>
      <c r="N295">
        <f t="shared" si="23"/>
        <v>7</v>
      </c>
      <c r="O295" t="str">
        <f t="shared" si="24"/>
        <v>Switch</v>
      </c>
    </row>
    <row r="296" spans="1:16" ht="14.25" hidden="1" customHeight="1">
      <c r="A296">
        <v>83</v>
      </c>
      <c r="B296" s="35" t="s">
        <v>20</v>
      </c>
      <c r="C296" s="37" t="s">
        <v>87</v>
      </c>
      <c r="D296" s="37" t="s">
        <v>23</v>
      </c>
      <c r="E296" s="37" t="s">
        <v>118</v>
      </c>
      <c r="F296" s="37">
        <v>1</v>
      </c>
      <c r="G296" s="37"/>
      <c r="H296" s="86"/>
      <c r="I296" s="86">
        <v>46107</v>
      </c>
      <c r="J296" s="37" t="s">
        <v>4</v>
      </c>
      <c r="K296" s="38">
        <f t="shared" si="20"/>
        <v>1</v>
      </c>
      <c r="L296" s="39">
        <f t="shared" si="21"/>
        <v>0</v>
      </c>
      <c r="M296" s="40">
        <f t="shared" ca="1" si="22"/>
        <v>-6</v>
      </c>
      <c r="N296">
        <f t="shared" si="23"/>
        <v>13</v>
      </c>
      <c r="O296" t="str">
        <f t="shared" si="24"/>
        <v>Switch</v>
      </c>
    </row>
    <row r="297" spans="1:16" ht="14.25" hidden="1" customHeight="1">
      <c r="A297">
        <v>82</v>
      </c>
      <c r="B297" s="35" t="s">
        <v>20</v>
      </c>
      <c r="C297" s="37" t="s">
        <v>87</v>
      </c>
      <c r="D297" s="37" t="s">
        <v>23</v>
      </c>
      <c r="E297" s="37" t="s">
        <v>90</v>
      </c>
      <c r="F297" s="37">
        <v>2</v>
      </c>
      <c r="G297" s="37"/>
      <c r="H297" s="86"/>
      <c r="I297" s="86">
        <v>46107</v>
      </c>
      <c r="J297" s="37" t="s">
        <v>4</v>
      </c>
      <c r="K297" s="38">
        <f t="shared" si="20"/>
        <v>2</v>
      </c>
      <c r="L297" s="39">
        <f t="shared" si="21"/>
        <v>0</v>
      </c>
      <c r="M297" s="40">
        <f t="shared" ca="1" si="22"/>
        <v>-6</v>
      </c>
      <c r="N297">
        <f t="shared" si="23"/>
        <v>13</v>
      </c>
      <c r="O297" t="str">
        <f t="shared" si="24"/>
        <v>Switch</v>
      </c>
    </row>
    <row r="298" spans="1:16" ht="14.25" customHeight="1">
      <c r="A298">
        <v>728</v>
      </c>
      <c r="B298" s="35" t="s">
        <v>25</v>
      </c>
      <c r="C298" s="36" t="s">
        <v>116</v>
      </c>
      <c r="D298" s="36" t="s">
        <v>323</v>
      </c>
      <c r="E298" s="37" t="s">
        <v>80</v>
      </c>
      <c r="F298" s="37">
        <v>1</v>
      </c>
      <c r="G298" s="37"/>
      <c r="H298" s="86"/>
      <c r="I298" s="86">
        <v>46195</v>
      </c>
      <c r="J298" s="37" t="s">
        <v>4</v>
      </c>
      <c r="K298" s="38">
        <f t="shared" si="20"/>
        <v>1</v>
      </c>
      <c r="L298" s="39">
        <f t="shared" si="21"/>
        <v>0</v>
      </c>
      <c r="M298" s="40">
        <f t="shared" ca="1" si="22"/>
        <v>82</v>
      </c>
      <c r="N298">
        <f t="shared" si="23"/>
        <v>26</v>
      </c>
      <c r="O298" t="str">
        <f t="shared" si="24"/>
        <v>Switch</v>
      </c>
    </row>
    <row r="299" spans="1:16" ht="14.25" customHeight="1">
      <c r="A299">
        <v>353</v>
      </c>
      <c r="B299" s="35" t="s">
        <v>21</v>
      </c>
      <c r="C299" s="37" t="s">
        <v>324</v>
      </c>
      <c r="D299" s="37" t="s">
        <v>325</v>
      </c>
      <c r="E299" s="37" t="s">
        <v>74</v>
      </c>
      <c r="F299" s="37">
        <v>2</v>
      </c>
      <c r="G299" s="37"/>
      <c r="H299" s="86"/>
      <c r="I299" s="86">
        <v>46104</v>
      </c>
      <c r="J299" s="37" t="s">
        <v>4</v>
      </c>
      <c r="K299" s="38">
        <f t="shared" si="20"/>
        <v>2</v>
      </c>
      <c r="L299" s="39">
        <f t="shared" si="21"/>
        <v>0</v>
      </c>
      <c r="M299" s="40">
        <f t="shared" ca="1" si="22"/>
        <v>-9</v>
      </c>
      <c r="N299">
        <f t="shared" si="23"/>
        <v>13</v>
      </c>
      <c r="O299" t="str">
        <f t="shared" si="24"/>
        <v>Switch</v>
      </c>
    </row>
    <row r="300" spans="1:16" ht="14.25" customHeight="1">
      <c r="A300">
        <v>352</v>
      </c>
      <c r="B300" s="35" t="s">
        <v>21</v>
      </c>
      <c r="C300" s="37" t="s">
        <v>326</v>
      </c>
      <c r="D300" s="37" t="s">
        <v>327</v>
      </c>
      <c r="E300" s="37" t="s">
        <v>74</v>
      </c>
      <c r="F300" s="37">
        <v>2</v>
      </c>
      <c r="G300" s="37"/>
      <c r="H300" s="86"/>
      <c r="I300" s="86">
        <v>46104</v>
      </c>
      <c r="J300" s="37" t="s">
        <v>4</v>
      </c>
      <c r="K300" s="38">
        <f t="shared" si="20"/>
        <v>2</v>
      </c>
      <c r="L300" s="39">
        <f t="shared" si="21"/>
        <v>0</v>
      </c>
      <c r="M300" s="40">
        <f t="shared" ca="1" si="22"/>
        <v>-9</v>
      </c>
      <c r="N300">
        <f t="shared" si="23"/>
        <v>13</v>
      </c>
      <c r="O300" t="str">
        <f t="shared" si="24"/>
        <v>Switch</v>
      </c>
    </row>
    <row r="301" spans="1:16" ht="14.25" customHeight="1">
      <c r="A301">
        <v>346</v>
      </c>
      <c r="B301" s="35" t="s">
        <v>21</v>
      </c>
      <c r="C301" s="37" t="s">
        <v>127</v>
      </c>
      <c r="D301" s="37" t="s">
        <v>328</v>
      </c>
      <c r="E301" s="37" t="s">
        <v>74</v>
      </c>
      <c r="F301" s="37">
        <v>2</v>
      </c>
      <c r="G301" s="37"/>
      <c r="H301" s="86"/>
      <c r="I301" s="86">
        <v>46104</v>
      </c>
      <c r="J301" s="37" t="s">
        <v>4</v>
      </c>
      <c r="K301" s="38">
        <f t="shared" si="20"/>
        <v>2</v>
      </c>
      <c r="L301" s="39">
        <f t="shared" si="21"/>
        <v>0</v>
      </c>
      <c r="M301" s="40">
        <f t="shared" ca="1" si="22"/>
        <v>-9</v>
      </c>
      <c r="N301">
        <f t="shared" si="23"/>
        <v>13</v>
      </c>
      <c r="O301" t="str">
        <f t="shared" si="24"/>
        <v>Switch</v>
      </c>
    </row>
    <row r="302" spans="1:16" ht="14.25" customHeight="1">
      <c r="A302">
        <v>355</v>
      </c>
      <c r="B302" s="35" t="s">
        <v>21</v>
      </c>
      <c r="C302" s="37" t="s">
        <v>329</v>
      </c>
      <c r="D302" s="37" t="s">
        <v>330</v>
      </c>
      <c r="E302" s="37" t="s">
        <v>74</v>
      </c>
      <c r="F302" s="37">
        <v>2</v>
      </c>
      <c r="G302" s="37"/>
      <c r="H302" s="86"/>
      <c r="I302" s="86">
        <v>46104</v>
      </c>
      <c r="J302" s="37" t="s">
        <v>4</v>
      </c>
      <c r="K302" s="38">
        <f t="shared" si="20"/>
        <v>2</v>
      </c>
      <c r="L302" s="39">
        <f t="shared" si="21"/>
        <v>0</v>
      </c>
      <c r="M302" s="40">
        <f t="shared" ca="1" si="22"/>
        <v>-9</v>
      </c>
      <c r="N302">
        <f t="shared" si="23"/>
        <v>13</v>
      </c>
      <c r="O302" t="str">
        <f t="shared" si="24"/>
        <v>Switch</v>
      </c>
    </row>
    <row r="303" spans="1:16" ht="14.25" customHeight="1">
      <c r="A303">
        <v>357</v>
      </c>
      <c r="B303" s="35" t="s">
        <v>21</v>
      </c>
      <c r="C303" s="37" t="s">
        <v>331</v>
      </c>
      <c r="D303" s="37" t="s">
        <v>332</v>
      </c>
      <c r="E303" s="37" t="s">
        <v>74</v>
      </c>
      <c r="F303" s="37">
        <v>2</v>
      </c>
      <c r="G303" s="37"/>
      <c r="H303" s="86"/>
      <c r="I303" s="86">
        <v>46104</v>
      </c>
      <c r="J303" s="37" t="s">
        <v>4</v>
      </c>
      <c r="K303" s="38">
        <f t="shared" si="20"/>
        <v>2</v>
      </c>
      <c r="L303" s="39">
        <f t="shared" si="21"/>
        <v>0</v>
      </c>
      <c r="M303" s="40">
        <f t="shared" ca="1" si="22"/>
        <v>-9</v>
      </c>
      <c r="N303">
        <f t="shared" si="23"/>
        <v>13</v>
      </c>
      <c r="O303" t="str">
        <f t="shared" si="24"/>
        <v>Switch</v>
      </c>
    </row>
    <row r="304" spans="1:16" ht="14.25" customHeight="1">
      <c r="A304">
        <v>311</v>
      </c>
      <c r="B304" s="35" t="s">
        <v>21</v>
      </c>
      <c r="C304" s="36" t="s">
        <v>225</v>
      </c>
      <c r="D304" s="37" t="s">
        <v>333</v>
      </c>
      <c r="E304" s="37" t="s">
        <v>74</v>
      </c>
      <c r="F304" s="37">
        <v>1</v>
      </c>
      <c r="G304" s="37"/>
      <c r="H304" s="86"/>
      <c r="I304" s="86">
        <v>46174</v>
      </c>
      <c r="J304" s="37" t="s">
        <v>5</v>
      </c>
      <c r="K304" s="38">
        <f t="shared" si="20"/>
        <v>1</v>
      </c>
      <c r="L304" s="39">
        <f t="shared" si="21"/>
        <v>0</v>
      </c>
      <c r="M304" s="40">
        <f t="shared" ca="1" si="22"/>
        <v>61</v>
      </c>
      <c r="N304">
        <f t="shared" si="23"/>
        <v>23</v>
      </c>
      <c r="O304" t="str">
        <f t="shared" si="24"/>
        <v>Switch</v>
      </c>
    </row>
    <row r="305" spans="1:15" ht="14.25" customHeight="1">
      <c r="A305">
        <v>324</v>
      </c>
      <c r="B305" s="35" t="s">
        <v>21</v>
      </c>
      <c r="C305" s="36" t="s">
        <v>225</v>
      </c>
      <c r="D305" s="36" t="s">
        <v>261</v>
      </c>
      <c r="E305" s="37" t="s">
        <v>74</v>
      </c>
      <c r="F305" s="37">
        <v>1</v>
      </c>
      <c r="G305" s="37"/>
      <c r="H305" s="86"/>
      <c r="I305" s="86">
        <v>46174</v>
      </c>
      <c r="J305" s="37" t="s">
        <v>5</v>
      </c>
      <c r="K305" s="38">
        <f t="shared" si="20"/>
        <v>1</v>
      </c>
      <c r="L305" s="39">
        <f t="shared" si="21"/>
        <v>0</v>
      </c>
      <c r="M305" s="40">
        <f t="shared" ca="1" si="22"/>
        <v>61</v>
      </c>
      <c r="N305">
        <f t="shared" si="23"/>
        <v>23</v>
      </c>
      <c r="O305" t="str">
        <f t="shared" si="24"/>
        <v>Switch</v>
      </c>
    </row>
    <row r="306" spans="1:15" ht="14.25" customHeight="1">
      <c r="A306">
        <v>354</v>
      </c>
      <c r="B306" s="35" t="s">
        <v>21</v>
      </c>
      <c r="C306" s="36" t="s">
        <v>334</v>
      </c>
      <c r="D306" s="37" t="s">
        <v>335</v>
      </c>
      <c r="E306" s="37" t="s">
        <v>74</v>
      </c>
      <c r="F306" s="37">
        <v>2</v>
      </c>
      <c r="G306" s="37"/>
      <c r="H306" s="86"/>
      <c r="I306" s="86">
        <v>46104</v>
      </c>
      <c r="J306" s="37" t="s">
        <v>4</v>
      </c>
      <c r="K306" s="38">
        <f t="shared" si="20"/>
        <v>2</v>
      </c>
      <c r="L306" s="39">
        <f t="shared" si="21"/>
        <v>0</v>
      </c>
      <c r="M306" s="40">
        <f t="shared" ca="1" si="22"/>
        <v>-9</v>
      </c>
      <c r="N306">
        <f t="shared" si="23"/>
        <v>13</v>
      </c>
      <c r="O306" t="str">
        <f t="shared" si="24"/>
        <v>Switch</v>
      </c>
    </row>
    <row r="307" spans="1:15" ht="14.25" customHeight="1">
      <c r="A307">
        <v>191</v>
      </c>
      <c r="B307" s="35" t="s">
        <v>20</v>
      </c>
      <c r="C307" s="37" t="s">
        <v>103</v>
      </c>
      <c r="D307" s="37" t="s">
        <v>288</v>
      </c>
      <c r="E307" s="37" t="s">
        <v>80</v>
      </c>
      <c r="F307" s="37">
        <v>1</v>
      </c>
      <c r="G307" s="37"/>
      <c r="H307" s="86"/>
      <c r="I307" s="86">
        <v>46114</v>
      </c>
      <c r="J307" s="37" t="s">
        <v>4</v>
      </c>
      <c r="K307" s="38">
        <f t="shared" si="20"/>
        <v>1</v>
      </c>
      <c r="L307" s="39">
        <f t="shared" si="21"/>
        <v>0</v>
      </c>
      <c r="M307" s="40">
        <f t="shared" ca="1" si="22"/>
        <v>1</v>
      </c>
      <c r="N307">
        <f t="shared" si="23"/>
        <v>14</v>
      </c>
      <c r="O307" t="str">
        <f t="shared" si="24"/>
        <v>Switch</v>
      </c>
    </row>
    <row r="308" spans="1:15" ht="14.25" customHeight="1">
      <c r="A308">
        <v>192</v>
      </c>
      <c r="B308" s="35" t="s">
        <v>20</v>
      </c>
      <c r="C308" s="37" t="s">
        <v>103</v>
      </c>
      <c r="D308" s="37" t="s">
        <v>336</v>
      </c>
      <c r="E308" s="37" t="s">
        <v>74</v>
      </c>
      <c r="F308" s="37">
        <v>2</v>
      </c>
      <c r="G308" s="37"/>
      <c r="H308" s="86"/>
      <c r="I308" s="86">
        <v>46114</v>
      </c>
      <c r="J308" s="37" t="s">
        <v>4</v>
      </c>
      <c r="K308" s="38">
        <f t="shared" si="20"/>
        <v>2</v>
      </c>
      <c r="L308" s="39">
        <f t="shared" si="21"/>
        <v>0</v>
      </c>
      <c r="M308" s="40">
        <f t="shared" ca="1" si="22"/>
        <v>1</v>
      </c>
      <c r="N308">
        <f t="shared" si="23"/>
        <v>14</v>
      </c>
      <c r="O308" t="str">
        <f t="shared" si="24"/>
        <v>Switch</v>
      </c>
    </row>
    <row r="309" spans="1:15" ht="14.25" customHeight="1">
      <c r="A309">
        <v>194</v>
      </c>
      <c r="B309" s="35" t="s">
        <v>20</v>
      </c>
      <c r="C309" s="37" t="s">
        <v>103</v>
      </c>
      <c r="D309" s="37" t="s">
        <v>337</v>
      </c>
      <c r="E309" s="37" t="s">
        <v>80</v>
      </c>
      <c r="F309" s="37">
        <v>1</v>
      </c>
      <c r="G309" s="37"/>
      <c r="H309" s="86"/>
      <c r="I309" s="86">
        <v>46114</v>
      </c>
      <c r="J309" s="37" t="s">
        <v>4</v>
      </c>
      <c r="K309" s="38">
        <f t="shared" si="20"/>
        <v>1</v>
      </c>
      <c r="L309" s="39">
        <f t="shared" si="21"/>
        <v>0</v>
      </c>
      <c r="M309" s="40">
        <f t="shared" ca="1" si="22"/>
        <v>1</v>
      </c>
      <c r="N309">
        <f t="shared" si="23"/>
        <v>14</v>
      </c>
      <c r="O309" t="str">
        <f t="shared" si="24"/>
        <v>Switch</v>
      </c>
    </row>
    <row r="310" spans="1:15" ht="14.25" customHeight="1">
      <c r="A310">
        <v>193</v>
      </c>
      <c r="B310" s="35" t="s">
        <v>20</v>
      </c>
      <c r="C310" s="37" t="s">
        <v>103</v>
      </c>
      <c r="D310" s="37" t="s">
        <v>337</v>
      </c>
      <c r="E310" s="37" t="s">
        <v>74</v>
      </c>
      <c r="F310" s="37">
        <v>1</v>
      </c>
      <c r="G310" s="37"/>
      <c r="H310" s="86"/>
      <c r="I310" s="86">
        <v>46114</v>
      </c>
      <c r="J310" s="37" t="s">
        <v>4</v>
      </c>
      <c r="K310" s="38">
        <f t="shared" si="20"/>
        <v>1</v>
      </c>
      <c r="L310" s="39">
        <f t="shared" si="21"/>
        <v>0</v>
      </c>
      <c r="M310" s="40">
        <f t="shared" ca="1" si="22"/>
        <v>1</v>
      </c>
      <c r="N310">
        <f t="shared" si="23"/>
        <v>14</v>
      </c>
      <c r="O310" t="str">
        <f t="shared" si="24"/>
        <v>Switch</v>
      </c>
    </row>
    <row r="311" spans="1:15" ht="14.25" customHeight="1">
      <c r="A311">
        <v>197</v>
      </c>
      <c r="B311" s="35" t="s">
        <v>20</v>
      </c>
      <c r="C311" s="37" t="s">
        <v>103</v>
      </c>
      <c r="D311" s="37" t="s">
        <v>153</v>
      </c>
      <c r="E311" s="37" t="s">
        <v>80</v>
      </c>
      <c r="F311" s="37">
        <v>2</v>
      </c>
      <c r="G311" s="37"/>
      <c r="H311" s="86"/>
      <c r="I311" s="86">
        <v>46119</v>
      </c>
      <c r="J311" s="37" t="s">
        <v>4</v>
      </c>
      <c r="K311" s="38">
        <f t="shared" si="20"/>
        <v>2</v>
      </c>
      <c r="L311" s="39">
        <f t="shared" si="21"/>
        <v>0</v>
      </c>
      <c r="M311" s="40">
        <f t="shared" ca="1" si="22"/>
        <v>6</v>
      </c>
      <c r="N311">
        <f t="shared" si="23"/>
        <v>15</v>
      </c>
      <c r="O311" t="str">
        <f t="shared" si="24"/>
        <v>Switch</v>
      </c>
    </row>
    <row r="312" spans="1:15" ht="14.25" customHeight="1">
      <c r="A312">
        <v>196</v>
      </c>
      <c r="B312" s="35" t="s">
        <v>20</v>
      </c>
      <c r="C312" s="37" t="s">
        <v>103</v>
      </c>
      <c r="D312" s="37" t="s">
        <v>153</v>
      </c>
      <c r="E312" s="37" t="s">
        <v>74</v>
      </c>
      <c r="F312" s="37">
        <v>10</v>
      </c>
      <c r="G312" s="37"/>
      <c r="H312" s="86"/>
      <c r="I312" s="86">
        <v>46119</v>
      </c>
      <c r="J312" s="37" t="s">
        <v>4</v>
      </c>
      <c r="K312" s="38">
        <f t="shared" si="20"/>
        <v>10</v>
      </c>
      <c r="L312" s="39">
        <f t="shared" si="21"/>
        <v>0</v>
      </c>
      <c r="M312" s="40">
        <f t="shared" ca="1" si="22"/>
        <v>6</v>
      </c>
      <c r="N312">
        <f t="shared" si="23"/>
        <v>15</v>
      </c>
      <c r="O312" t="str">
        <f t="shared" si="24"/>
        <v>Switch</v>
      </c>
    </row>
    <row r="313" spans="1:15" ht="14.25" customHeight="1">
      <c r="A313">
        <v>205</v>
      </c>
      <c r="B313" s="35" t="s">
        <v>20</v>
      </c>
      <c r="C313" s="37" t="s">
        <v>103</v>
      </c>
      <c r="D313" s="37" t="s">
        <v>338</v>
      </c>
      <c r="E313" s="37" t="s">
        <v>80</v>
      </c>
      <c r="F313" s="37">
        <v>1</v>
      </c>
      <c r="G313" s="37"/>
      <c r="H313" s="86"/>
      <c r="I313" s="86">
        <v>46120</v>
      </c>
      <c r="J313" s="37" t="s">
        <v>4</v>
      </c>
      <c r="K313" s="38">
        <f t="shared" si="20"/>
        <v>1</v>
      </c>
      <c r="L313" s="39">
        <f t="shared" si="21"/>
        <v>0</v>
      </c>
      <c r="M313" s="40">
        <f t="shared" ca="1" si="22"/>
        <v>7</v>
      </c>
      <c r="N313">
        <f t="shared" si="23"/>
        <v>15</v>
      </c>
      <c r="O313" t="str">
        <f t="shared" si="24"/>
        <v>Switch</v>
      </c>
    </row>
    <row r="314" spans="1:15" ht="14.25" customHeight="1">
      <c r="A314">
        <v>204</v>
      </c>
      <c r="B314" s="35" t="s">
        <v>20</v>
      </c>
      <c r="C314" s="37" t="s">
        <v>103</v>
      </c>
      <c r="D314" s="37" t="s">
        <v>338</v>
      </c>
      <c r="E314" s="37" t="s">
        <v>74</v>
      </c>
      <c r="F314" s="37">
        <v>1</v>
      </c>
      <c r="G314" s="37"/>
      <c r="H314" s="86"/>
      <c r="I314" s="86">
        <v>46120</v>
      </c>
      <c r="J314" s="37" t="s">
        <v>4</v>
      </c>
      <c r="K314" s="38">
        <f t="shared" si="20"/>
        <v>1</v>
      </c>
      <c r="L314" s="39">
        <f t="shared" si="21"/>
        <v>0</v>
      </c>
      <c r="M314" s="40">
        <f t="shared" ca="1" si="22"/>
        <v>7</v>
      </c>
      <c r="N314">
        <f t="shared" si="23"/>
        <v>15</v>
      </c>
      <c r="O314" t="str">
        <f t="shared" si="24"/>
        <v>Switch</v>
      </c>
    </row>
    <row r="315" spans="1:15" ht="14.25" customHeight="1">
      <c r="A315">
        <v>207</v>
      </c>
      <c r="B315" s="35" t="s">
        <v>20</v>
      </c>
      <c r="C315" s="37" t="s">
        <v>103</v>
      </c>
      <c r="D315" s="37" t="s">
        <v>339</v>
      </c>
      <c r="E315" s="37" t="s">
        <v>80</v>
      </c>
      <c r="F315" s="37">
        <v>1</v>
      </c>
      <c r="G315" s="37"/>
      <c r="H315" s="86"/>
      <c r="I315" s="86">
        <v>46120</v>
      </c>
      <c r="J315" s="37" t="s">
        <v>4</v>
      </c>
      <c r="K315" s="38">
        <f t="shared" si="20"/>
        <v>1</v>
      </c>
      <c r="L315" s="39">
        <f t="shared" si="21"/>
        <v>0</v>
      </c>
      <c r="M315" s="40">
        <f t="shared" ca="1" si="22"/>
        <v>7</v>
      </c>
      <c r="N315">
        <f t="shared" si="23"/>
        <v>15</v>
      </c>
      <c r="O315" t="str">
        <f t="shared" si="24"/>
        <v>Switch</v>
      </c>
    </row>
    <row r="316" spans="1:15" ht="14.25" customHeight="1">
      <c r="A316">
        <v>206</v>
      </c>
      <c r="B316" s="35" t="s">
        <v>20</v>
      </c>
      <c r="C316" s="37" t="s">
        <v>103</v>
      </c>
      <c r="D316" s="37" t="s">
        <v>339</v>
      </c>
      <c r="E316" s="37" t="s">
        <v>74</v>
      </c>
      <c r="F316" s="37">
        <v>1</v>
      </c>
      <c r="G316" s="37"/>
      <c r="H316" s="86"/>
      <c r="I316" s="86">
        <v>46120</v>
      </c>
      <c r="J316" s="37" t="s">
        <v>4</v>
      </c>
      <c r="K316" s="38">
        <f t="shared" si="20"/>
        <v>1</v>
      </c>
      <c r="L316" s="39">
        <f t="shared" si="21"/>
        <v>0</v>
      </c>
      <c r="M316" s="40">
        <f t="shared" ca="1" si="22"/>
        <v>7</v>
      </c>
      <c r="N316">
        <f t="shared" si="23"/>
        <v>15</v>
      </c>
      <c r="O316" t="str">
        <f t="shared" si="24"/>
        <v>Switch</v>
      </c>
    </row>
    <row r="317" spans="1:15" ht="14.25" customHeight="1">
      <c r="A317">
        <v>159</v>
      </c>
      <c r="B317" s="35" t="s">
        <v>20</v>
      </c>
      <c r="C317" s="37" t="s">
        <v>93</v>
      </c>
      <c r="D317" s="37" t="s">
        <v>340</v>
      </c>
      <c r="E317" s="37" t="s">
        <v>74</v>
      </c>
      <c r="F317" s="37">
        <v>1</v>
      </c>
      <c r="G317" s="37"/>
      <c r="H317" s="86"/>
      <c r="I317" s="86">
        <v>46129</v>
      </c>
      <c r="J317" s="37" t="s">
        <v>4</v>
      </c>
      <c r="K317" s="38">
        <f t="shared" si="20"/>
        <v>1</v>
      </c>
      <c r="L317" s="39">
        <f t="shared" si="21"/>
        <v>0</v>
      </c>
      <c r="M317" s="40">
        <f t="shared" ca="1" si="22"/>
        <v>16</v>
      </c>
      <c r="N317">
        <f t="shared" si="23"/>
        <v>16</v>
      </c>
      <c r="O317" t="str">
        <f t="shared" si="24"/>
        <v>Switch</v>
      </c>
    </row>
    <row r="318" spans="1:15" ht="14.25" customHeight="1">
      <c r="A318">
        <v>172</v>
      </c>
      <c r="B318" s="35" t="s">
        <v>20</v>
      </c>
      <c r="C318" s="37" t="s">
        <v>93</v>
      </c>
      <c r="D318" s="37" t="s">
        <v>341</v>
      </c>
      <c r="E318" s="37" t="s">
        <v>80</v>
      </c>
      <c r="F318" s="37">
        <v>1</v>
      </c>
      <c r="G318" s="37"/>
      <c r="H318" s="86"/>
      <c r="I318" s="86">
        <v>46129</v>
      </c>
      <c r="J318" s="37" t="s">
        <v>4</v>
      </c>
      <c r="K318" s="38">
        <f t="shared" si="20"/>
        <v>1</v>
      </c>
      <c r="L318" s="39">
        <f t="shared" si="21"/>
        <v>0</v>
      </c>
      <c r="M318" s="40">
        <f t="shared" ca="1" si="22"/>
        <v>16</v>
      </c>
      <c r="N318">
        <f t="shared" si="23"/>
        <v>16</v>
      </c>
      <c r="O318" t="str">
        <f t="shared" si="24"/>
        <v>Switch</v>
      </c>
    </row>
    <row r="319" spans="1:15" ht="14.25" customHeight="1">
      <c r="A319">
        <v>171</v>
      </c>
      <c r="B319" s="35" t="s">
        <v>20</v>
      </c>
      <c r="C319" s="37" t="s">
        <v>93</v>
      </c>
      <c r="D319" s="37" t="s">
        <v>341</v>
      </c>
      <c r="E319" s="37" t="s">
        <v>74</v>
      </c>
      <c r="F319" s="37">
        <v>2</v>
      </c>
      <c r="G319" s="37"/>
      <c r="H319" s="86"/>
      <c r="I319" s="86">
        <v>46129</v>
      </c>
      <c r="J319" s="37" t="s">
        <v>4</v>
      </c>
      <c r="K319" s="38">
        <f t="shared" si="20"/>
        <v>2</v>
      </c>
      <c r="L319" s="39">
        <f t="shared" si="21"/>
        <v>0</v>
      </c>
      <c r="M319" s="40">
        <f t="shared" ca="1" si="22"/>
        <v>16</v>
      </c>
      <c r="N319">
        <f t="shared" si="23"/>
        <v>16</v>
      </c>
      <c r="O319" t="str">
        <f t="shared" si="24"/>
        <v>Switch</v>
      </c>
    </row>
    <row r="320" spans="1:15" ht="14.25" hidden="1" customHeight="1">
      <c r="A320">
        <v>110</v>
      </c>
      <c r="B320" s="35" t="s">
        <v>20</v>
      </c>
      <c r="C320" s="37" t="s">
        <v>87</v>
      </c>
      <c r="D320" s="37" t="s">
        <v>134</v>
      </c>
      <c r="E320" s="37" t="s">
        <v>90</v>
      </c>
      <c r="F320" s="37">
        <v>1</v>
      </c>
      <c r="G320" s="37">
        <v>1</v>
      </c>
      <c r="H320" s="86">
        <v>46100</v>
      </c>
      <c r="I320" s="86">
        <v>46100</v>
      </c>
      <c r="J320" s="37" t="s">
        <v>75</v>
      </c>
      <c r="K320" s="38">
        <f t="shared" si="20"/>
        <v>0</v>
      </c>
      <c r="L320" s="39">
        <f t="shared" si="21"/>
        <v>1</v>
      </c>
      <c r="M320" s="40">
        <f t="shared" ca="1" si="22"/>
        <v>-13</v>
      </c>
      <c r="N320">
        <f t="shared" si="23"/>
        <v>12</v>
      </c>
      <c r="O320" t="str">
        <f t="shared" si="24"/>
        <v>Switch</v>
      </c>
    </row>
    <row r="321" spans="1:15" ht="14.25" customHeight="1">
      <c r="A321">
        <v>174</v>
      </c>
      <c r="B321" s="35" t="s">
        <v>20</v>
      </c>
      <c r="C321" s="37" t="s">
        <v>93</v>
      </c>
      <c r="D321" s="37" t="s">
        <v>342</v>
      </c>
      <c r="E321" s="37" t="s">
        <v>80</v>
      </c>
      <c r="F321" s="37">
        <v>1</v>
      </c>
      <c r="G321" s="37"/>
      <c r="H321" s="86"/>
      <c r="I321" s="86">
        <v>46129</v>
      </c>
      <c r="J321" s="37" t="s">
        <v>4</v>
      </c>
      <c r="K321" s="38">
        <f t="shared" si="20"/>
        <v>1</v>
      </c>
      <c r="L321" s="39">
        <f t="shared" si="21"/>
        <v>0</v>
      </c>
      <c r="M321" s="40">
        <f t="shared" ca="1" si="22"/>
        <v>16</v>
      </c>
      <c r="N321">
        <f t="shared" si="23"/>
        <v>16</v>
      </c>
      <c r="O321" t="str">
        <f t="shared" si="24"/>
        <v>Switch</v>
      </c>
    </row>
    <row r="322" spans="1:15" ht="14.25" customHeight="1">
      <c r="A322">
        <v>173</v>
      </c>
      <c r="B322" s="35" t="s">
        <v>20</v>
      </c>
      <c r="C322" s="37" t="s">
        <v>93</v>
      </c>
      <c r="D322" s="37" t="s">
        <v>342</v>
      </c>
      <c r="E322" s="37" t="s">
        <v>74</v>
      </c>
      <c r="F322" s="37">
        <v>1</v>
      </c>
      <c r="G322" s="37"/>
      <c r="H322" s="86"/>
      <c r="I322" s="86">
        <v>46129</v>
      </c>
      <c r="J322" s="37" t="s">
        <v>4</v>
      </c>
      <c r="K322" s="38">
        <f t="shared" ref="K322:K385" si="25">F322-G322</f>
        <v>1</v>
      </c>
      <c r="L322" s="39">
        <f t="shared" ref="L322:L385" si="26">IF(F322=0,"",G322/F322)</f>
        <v>0</v>
      </c>
      <c r="M322" s="40">
        <f t="shared" ref="M322:M385" ca="1" si="27">I322-TODAY()</f>
        <v>16</v>
      </c>
      <c r="N322">
        <f t="shared" ref="N322:N385" si="28">_xlfn.ISOWEEKNUM(I322)</f>
        <v>16</v>
      </c>
      <c r="O322" t="str">
        <f t="shared" ref="O322:O385" si="29">IF(ISNUMBER(SEARCH("Access Point",E322)),"AP",IF(OR(ISNUMBER(SEARCH("Switch",E322)),ISNUMBER(SEARCH("Control Type",E322))),"Switch","Infra"))</f>
        <v>Switch</v>
      </c>
    </row>
    <row r="323" spans="1:15" ht="14.25" hidden="1" customHeight="1">
      <c r="A323">
        <v>113</v>
      </c>
      <c r="B323" s="35" t="s">
        <v>20</v>
      </c>
      <c r="C323" s="37" t="s">
        <v>87</v>
      </c>
      <c r="D323" s="37" t="s">
        <v>343</v>
      </c>
      <c r="E323" s="37" t="s">
        <v>90</v>
      </c>
      <c r="F323" s="37">
        <v>1</v>
      </c>
      <c r="G323" s="37"/>
      <c r="H323" s="86"/>
      <c r="I323" s="86">
        <v>46111</v>
      </c>
      <c r="J323" s="37" t="s">
        <v>4</v>
      </c>
      <c r="K323" s="38">
        <f t="shared" si="25"/>
        <v>1</v>
      </c>
      <c r="L323" s="39">
        <f t="shared" si="26"/>
        <v>0</v>
      </c>
      <c r="M323" s="40">
        <f t="shared" ca="1" si="27"/>
        <v>-2</v>
      </c>
      <c r="N323">
        <f t="shared" si="28"/>
        <v>14</v>
      </c>
      <c r="O323" t="str">
        <f t="shared" si="29"/>
        <v>Switch</v>
      </c>
    </row>
    <row r="324" spans="1:15" ht="14.25" customHeight="1">
      <c r="A324">
        <v>176</v>
      </c>
      <c r="B324" s="35" t="s">
        <v>20</v>
      </c>
      <c r="C324" s="37" t="s">
        <v>93</v>
      </c>
      <c r="D324" s="37" t="s">
        <v>245</v>
      </c>
      <c r="E324" s="37" t="s">
        <v>80</v>
      </c>
      <c r="F324" s="37">
        <v>1</v>
      </c>
      <c r="G324" s="37"/>
      <c r="H324" s="86"/>
      <c r="I324" s="86">
        <v>46129</v>
      </c>
      <c r="J324" s="37" t="s">
        <v>4</v>
      </c>
      <c r="K324" s="38">
        <f t="shared" si="25"/>
        <v>1</v>
      </c>
      <c r="L324" s="39">
        <f t="shared" si="26"/>
        <v>0</v>
      </c>
      <c r="M324" s="40">
        <f t="shared" ca="1" si="27"/>
        <v>16</v>
      </c>
      <c r="N324">
        <f t="shared" si="28"/>
        <v>16</v>
      </c>
      <c r="O324" t="str">
        <f t="shared" si="29"/>
        <v>Switch</v>
      </c>
    </row>
    <row r="325" spans="1:15" ht="14.25" customHeight="1">
      <c r="A325">
        <v>175</v>
      </c>
      <c r="B325" s="35" t="s">
        <v>20</v>
      </c>
      <c r="C325" s="37" t="s">
        <v>93</v>
      </c>
      <c r="D325" s="37" t="s">
        <v>245</v>
      </c>
      <c r="E325" s="37" t="s">
        <v>74</v>
      </c>
      <c r="F325" s="37">
        <v>1</v>
      </c>
      <c r="G325" s="37"/>
      <c r="H325" s="86"/>
      <c r="I325" s="86">
        <v>46129</v>
      </c>
      <c r="J325" s="37" t="s">
        <v>4</v>
      </c>
      <c r="K325" s="38">
        <f t="shared" si="25"/>
        <v>1</v>
      </c>
      <c r="L325" s="39">
        <f t="shared" si="26"/>
        <v>0</v>
      </c>
      <c r="M325" s="40">
        <f t="shared" ca="1" si="27"/>
        <v>16</v>
      </c>
      <c r="N325">
        <f t="shared" si="28"/>
        <v>16</v>
      </c>
      <c r="O325" t="str">
        <f t="shared" si="29"/>
        <v>Switch</v>
      </c>
    </row>
    <row r="326" spans="1:15" ht="14.25" customHeight="1">
      <c r="A326">
        <v>179</v>
      </c>
      <c r="B326" s="35" t="s">
        <v>20</v>
      </c>
      <c r="C326" s="37" t="s">
        <v>93</v>
      </c>
      <c r="D326" s="37" t="s">
        <v>250</v>
      </c>
      <c r="E326" s="37" t="s">
        <v>80</v>
      </c>
      <c r="F326" s="37">
        <v>1</v>
      </c>
      <c r="G326" s="37"/>
      <c r="H326" s="86"/>
      <c r="I326" s="86">
        <v>46129</v>
      </c>
      <c r="J326" s="37" t="s">
        <v>4</v>
      </c>
      <c r="K326" s="38">
        <f t="shared" si="25"/>
        <v>1</v>
      </c>
      <c r="L326" s="39">
        <f t="shared" si="26"/>
        <v>0</v>
      </c>
      <c r="M326" s="40">
        <f t="shared" ca="1" si="27"/>
        <v>16</v>
      </c>
      <c r="N326">
        <f t="shared" si="28"/>
        <v>16</v>
      </c>
      <c r="O326" t="str">
        <f t="shared" si="29"/>
        <v>Switch</v>
      </c>
    </row>
    <row r="327" spans="1:15" ht="14.25" customHeight="1">
      <c r="A327">
        <v>178</v>
      </c>
      <c r="B327" s="35" t="s">
        <v>20</v>
      </c>
      <c r="C327" s="37" t="s">
        <v>93</v>
      </c>
      <c r="D327" s="37" t="s">
        <v>250</v>
      </c>
      <c r="E327" s="37" t="s">
        <v>74</v>
      </c>
      <c r="F327" s="37">
        <v>1</v>
      </c>
      <c r="G327" s="37"/>
      <c r="H327" s="86"/>
      <c r="I327" s="86">
        <v>46129</v>
      </c>
      <c r="J327" s="37" t="s">
        <v>4</v>
      </c>
      <c r="K327" s="38">
        <f t="shared" si="25"/>
        <v>1</v>
      </c>
      <c r="L327" s="39">
        <f t="shared" si="26"/>
        <v>0</v>
      </c>
      <c r="M327" s="40">
        <f t="shared" ca="1" si="27"/>
        <v>16</v>
      </c>
      <c r="N327">
        <f t="shared" si="28"/>
        <v>16</v>
      </c>
      <c r="O327" t="str">
        <f t="shared" si="29"/>
        <v>Switch</v>
      </c>
    </row>
    <row r="328" spans="1:15" ht="14.25" customHeight="1">
      <c r="A328">
        <v>48</v>
      </c>
      <c r="B328" s="35" t="s">
        <v>20</v>
      </c>
      <c r="C328" s="37" t="s">
        <v>87</v>
      </c>
      <c r="D328" s="37" t="s">
        <v>297</v>
      </c>
      <c r="E328" s="37" t="s">
        <v>80</v>
      </c>
      <c r="F328" s="37">
        <v>1</v>
      </c>
      <c r="G328" s="37"/>
      <c r="H328" s="86"/>
      <c r="I328" s="86">
        <v>46105</v>
      </c>
      <c r="J328" s="37" t="s">
        <v>4</v>
      </c>
      <c r="K328" s="38">
        <f t="shared" si="25"/>
        <v>1</v>
      </c>
      <c r="L328" s="39">
        <f t="shared" si="26"/>
        <v>0</v>
      </c>
      <c r="M328" s="40">
        <f t="shared" ca="1" si="27"/>
        <v>-8</v>
      </c>
      <c r="N328">
        <f t="shared" si="28"/>
        <v>13</v>
      </c>
      <c r="O328" t="str">
        <f t="shared" si="29"/>
        <v>Switch</v>
      </c>
    </row>
    <row r="329" spans="1:15" ht="14.25" customHeight="1">
      <c r="A329">
        <v>47</v>
      </c>
      <c r="B329" s="35" t="s">
        <v>20</v>
      </c>
      <c r="C329" s="37" t="s">
        <v>87</v>
      </c>
      <c r="D329" s="37" t="s">
        <v>297</v>
      </c>
      <c r="E329" s="37" t="s">
        <v>74</v>
      </c>
      <c r="F329" s="37">
        <v>1</v>
      </c>
      <c r="G329" s="37"/>
      <c r="H329" s="86"/>
      <c r="I329" s="86">
        <v>46105</v>
      </c>
      <c r="J329" s="37" t="s">
        <v>4</v>
      </c>
      <c r="K329" s="38">
        <f t="shared" si="25"/>
        <v>1</v>
      </c>
      <c r="L329" s="39">
        <f t="shared" si="26"/>
        <v>0</v>
      </c>
      <c r="M329" s="40">
        <f t="shared" ca="1" si="27"/>
        <v>-8</v>
      </c>
      <c r="N329">
        <f t="shared" si="28"/>
        <v>13</v>
      </c>
      <c r="O329" t="str">
        <f t="shared" si="29"/>
        <v>Switch</v>
      </c>
    </row>
    <row r="330" spans="1:15" ht="14.25" customHeight="1">
      <c r="A330">
        <v>51</v>
      </c>
      <c r="B330" s="35" t="s">
        <v>20</v>
      </c>
      <c r="C330" s="37" t="s">
        <v>87</v>
      </c>
      <c r="D330" s="37" t="s">
        <v>300</v>
      </c>
      <c r="E330" s="37" t="s">
        <v>80</v>
      </c>
      <c r="F330" s="37">
        <v>1</v>
      </c>
      <c r="G330" s="37"/>
      <c r="H330" s="86"/>
      <c r="I330" s="86">
        <v>46105</v>
      </c>
      <c r="J330" s="37" t="s">
        <v>4</v>
      </c>
      <c r="K330" s="38">
        <f t="shared" si="25"/>
        <v>1</v>
      </c>
      <c r="L330" s="39">
        <f t="shared" si="26"/>
        <v>0</v>
      </c>
      <c r="M330" s="40">
        <f t="shared" ca="1" si="27"/>
        <v>-8</v>
      </c>
      <c r="N330">
        <f t="shared" si="28"/>
        <v>13</v>
      </c>
      <c r="O330" t="str">
        <f t="shared" si="29"/>
        <v>Switch</v>
      </c>
    </row>
    <row r="331" spans="1:15" ht="14.25" customHeight="1">
      <c r="A331">
        <v>50</v>
      </c>
      <c r="B331" s="35" t="s">
        <v>20</v>
      </c>
      <c r="C331" s="37" t="s">
        <v>87</v>
      </c>
      <c r="D331" s="37" t="s">
        <v>300</v>
      </c>
      <c r="E331" s="37" t="s">
        <v>74</v>
      </c>
      <c r="F331" s="37">
        <v>2</v>
      </c>
      <c r="G331" s="37"/>
      <c r="H331" s="86"/>
      <c r="I331" s="86">
        <v>46105</v>
      </c>
      <c r="J331" s="37" t="s">
        <v>4</v>
      </c>
      <c r="K331" s="38">
        <f t="shared" si="25"/>
        <v>2</v>
      </c>
      <c r="L331" s="39">
        <f t="shared" si="26"/>
        <v>0</v>
      </c>
      <c r="M331" s="40">
        <f t="shared" ca="1" si="27"/>
        <v>-8</v>
      </c>
      <c r="N331">
        <f t="shared" si="28"/>
        <v>13</v>
      </c>
      <c r="O331" t="str">
        <f t="shared" si="29"/>
        <v>Switch</v>
      </c>
    </row>
    <row r="332" spans="1:15" ht="14.25" customHeight="1">
      <c r="A332">
        <v>54</v>
      </c>
      <c r="B332" s="35" t="s">
        <v>20</v>
      </c>
      <c r="C332" s="37" t="s">
        <v>87</v>
      </c>
      <c r="D332" s="37" t="s">
        <v>303</v>
      </c>
      <c r="E332" s="37" t="s">
        <v>80</v>
      </c>
      <c r="F332" s="37">
        <v>1</v>
      </c>
      <c r="G332" s="37"/>
      <c r="H332" s="86"/>
      <c r="I332" s="86">
        <v>46105</v>
      </c>
      <c r="J332" s="37" t="s">
        <v>4</v>
      </c>
      <c r="K332" s="38">
        <f t="shared" si="25"/>
        <v>1</v>
      </c>
      <c r="L332" s="39">
        <f t="shared" si="26"/>
        <v>0</v>
      </c>
      <c r="M332" s="40">
        <f t="shared" ca="1" si="27"/>
        <v>-8</v>
      </c>
      <c r="N332">
        <f t="shared" si="28"/>
        <v>13</v>
      </c>
      <c r="O332" t="str">
        <f t="shared" si="29"/>
        <v>Switch</v>
      </c>
    </row>
    <row r="333" spans="1:15" ht="14.25" customHeight="1">
      <c r="A333">
        <v>53</v>
      </c>
      <c r="B333" s="35" t="s">
        <v>20</v>
      </c>
      <c r="C333" s="37" t="s">
        <v>87</v>
      </c>
      <c r="D333" s="37" t="s">
        <v>303</v>
      </c>
      <c r="E333" s="37" t="s">
        <v>74</v>
      </c>
      <c r="F333" s="37">
        <v>2</v>
      </c>
      <c r="G333" s="37"/>
      <c r="H333" s="86"/>
      <c r="I333" s="86">
        <v>46105</v>
      </c>
      <c r="J333" s="37" t="s">
        <v>4</v>
      </c>
      <c r="K333" s="38">
        <f t="shared" si="25"/>
        <v>2</v>
      </c>
      <c r="L333" s="39">
        <f t="shared" si="26"/>
        <v>0</v>
      </c>
      <c r="M333" s="40">
        <f t="shared" ca="1" si="27"/>
        <v>-8</v>
      </c>
      <c r="N333">
        <f t="shared" si="28"/>
        <v>13</v>
      </c>
      <c r="O333" t="str">
        <f t="shared" si="29"/>
        <v>Switch</v>
      </c>
    </row>
    <row r="334" spans="1:15" ht="14.25" customHeight="1">
      <c r="A334">
        <v>57</v>
      </c>
      <c r="B334" s="35" t="s">
        <v>20</v>
      </c>
      <c r="C334" s="37" t="s">
        <v>87</v>
      </c>
      <c r="D334" s="37" t="s">
        <v>305</v>
      </c>
      <c r="E334" s="37" t="s">
        <v>80</v>
      </c>
      <c r="F334" s="37">
        <v>1</v>
      </c>
      <c r="G334" s="37"/>
      <c r="H334" s="86"/>
      <c r="I334" s="86">
        <v>46105</v>
      </c>
      <c r="J334" s="37" t="s">
        <v>4</v>
      </c>
      <c r="K334" s="38">
        <f t="shared" si="25"/>
        <v>1</v>
      </c>
      <c r="L334" s="39">
        <f t="shared" si="26"/>
        <v>0</v>
      </c>
      <c r="M334" s="40">
        <f t="shared" ca="1" si="27"/>
        <v>-8</v>
      </c>
      <c r="N334">
        <f t="shared" si="28"/>
        <v>13</v>
      </c>
      <c r="O334" t="str">
        <f t="shared" si="29"/>
        <v>Switch</v>
      </c>
    </row>
    <row r="335" spans="1:15" ht="14.25" customHeight="1">
      <c r="A335">
        <v>56</v>
      </c>
      <c r="B335" s="35" t="s">
        <v>20</v>
      </c>
      <c r="C335" s="37" t="s">
        <v>87</v>
      </c>
      <c r="D335" s="37" t="s">
        <v>305</v>
      </c>
      <c r="E335" s="37" t="s">
        <v>74</v>
      </c>
      <c r="F335" s="37">
        <v>2</v>
      </c>
      <c r="G335" s="37"/>
      <c r="H335" s="86"/>
      <c r="I335" s="86">
        <v>46105</v>
      </c>
      <c r="J335" s="37" t="s">
        <v>4</v>
      </c>
      <c r="K335" s="38">
        <f t="shared" si="25"/>
        <v>2</v>
      </c>
      <c r="L335" s="39">
        <f t="shared" si="26"/>
        <v>0</v>
      </c>
      <c r="M335" s="40">
        <f t="shared" ca="1" si="27"/>
        <v>-8</v>
      </c>
      <c r="N335">
        <f t="shared" si="28"/>
        <v>13</v>
      </c>
      <c r="O335" t="str">
        <f t="shared" si="29"/>
        <v>Switch</v>
      </c>
    </row>
    <row r="336" spans="1:15" ht="14.25" customHeight="1">
      <c r="A336">
        <v>60</v>
      </c>
      <c r="B336" s="35" t="s">
        <v>20</v>
      </c>
      <c r="C336" s="37" t="s">
        <v>87</v>
      </c>
      <c r="D336" s="37" t="s">
        <v>308</v>
      </c>
      <c r="E336" s="37" t="s">
        <v>80</v>
      </c>
      <c r="F336" s="37">
        <v>1</v>
      </c>
      <c r="G336" s="37"/>
      <c r="H336" s="86"/>
      <c r="I336" s="86">
        <v>46106</v>
      </c>
      <c r="J336" s="37" t="s">
        <v>4</v>
      </c>
      <c r="K336" s="38">
        <f t="shared" si="25"/>
        <v>1</v>
      </c>
      <c r="L336" s="39">
        <f t="shared" si="26"/>
        <v>0</v>
      </c>
      <c r="M336" s="40">
        <f t="shared" ca="1" si="27"/>
        <v>-7</v>
      </c>
      <c r="N336">
        <f t="shared" si="28"/>
        <v>13</v>
      </c>
      <c r="O336" t="str">
        <f t="shared" si="29"/>
        <v>Switch</v>
      </c>
    </row>
    <row r="337" spans="1:15" ht="14.25" customHeight="1">
      <c r="A337">
        <v>59</v>
      </c>
      <c r="B337" s="35" t="s">
        <v>20</v>
      </c>
      <c r="C337" s="37" t="s">
        <v>87</v>
      </c>
      <c r="D337" s="37" t="s">
        <v>308</v>
      </c>
      <c r="E337" s="37" t="s">
        <v>74</v>
      </c>
      <c r="F337" s="37">
        <v>1</v>
      </c>
      <c r="G337" s="37"/>
      <c r="H337" s="86"/>
      <c r="I337" s="86">
        <v>46106</v>
      </c>
      <c r="J337" s="37" t="s">
        <v>4</v>
      </c>
      <c r="K337" s="38">
        <f t="shared" si="25"/>
        <v>1</v>
      </c>
      <c r="L337" s="39">
        <f t="shared" si="26"/>
        <v>0</v>
      </c>
      <c r="M337" s="40">
        <f t="shared" ca="1" si="27"/>
        <v>-7</v>
      </c>
      <c r="N337">
        <f t="shared" si="28"/>
        <v>13</v>
      </c>
      <c r="O337" t="str">
        <f t="shared" si="29"/>
        <v>Switch</v>
      </c>
    </row>
    <row r="338" spans="1:15" ht="14.25" customHeight="1">
      <c r="A338">
        <v>63</v>
      </c>
      <c r="B338" s="35" t="s">
        <v>20</v>
      </c>
      <c r="C338" s="37" t="s">
        <v>87</v>
      </c>
      <c r="D338" s="37" t="s">
        <v>311</v>
      </c>
      <c r="E338" s="37" t="s">
        <v>80</v>
      </c>
      <c r="F338" s="37">
        <v>1</v>
      </c>
      <c r="G338" s="37"/>
      <c r="H338" s="86"/>
      <c r="I338" s="86">
        <v>46106</v>
      </c>
      <c r="J338" s="37" t="s">
        <v>4</v>
      </c>
      <c r="K338" s="38">
        <f t="shared" si="25"/>
        <v>1</v>
      </c>
      <c r="L338" s="39">
        <f t="shared" si="26"/>
        <v>0</v>
      </c>
      <c r="M338" s="40">
        <f t="shared" ca="1" si="27"/>
        <v>-7</v>
      </c>
      <c r="N338">
        <f t="shared" si="28"/>
        <v>13</v>
      </c>
      <c r="O338" t="str">
        <f t="shared" si="29"/>
        <v>Switch</v>
      </c>
    </row>
    <row r="339" spans="1:15" ht="14.25" customHeight="1">
      <c r="A339">
        <v>62</v>
      </c>
      <c r="B339" s="35" t="s">
        <v>20</v>
      </c>
      <c r="C339" s="37" t="s">
        <v>87</v>
      </c>
      <c r="D339" s="37" t="s">
        <v>311</v>
      </c>
      <c r="E339" s="37" t="s">
        <v>74</v>
      </c>
      <c r="F339" s="37">
        <v>2</v>
      </c>
      <c r="G339" s="37"/>
      <c r="H339" s="86"/>
      <c r="I339" s="86">
        <v>46106</v>
      </c>
      <c r="J339" s="37" t="s">
        <v>4</v>
      </c>
      <c r="K339" s="38">
        <f t="shared" si="25"/>
        <v>2</v>
      </c>
      <c r="L339" s="39">
        <f t="shared" si="26"/>
        <v>0</v>
      </c>
      <c r="M339" s="40">
        <f t="shared" ca="1" si="27"/>
        <v>-7</v>
      </c>
      <c r="N339">
        <f t="shared" si="28"/>
        <v>13</v>
      </c>
      <c r="O339" t="str">
        <f t="shared" si="29"/>
        <v>Switch</v>
      </c>
    </row>
    <row r="340" spans="1:15" ht="14.25" customHeight="1">
      <c r="A340">
        <v>75</v>
      </c>
      <c r="B340" s="35" t="s">
        <v>20</v>
      </c>
      <c r="C340" s="37" t="s">
        <v>87</v>
      </c>
      <c r="D340" s="37" t="s">
        <v>318</v>
      </c>
      <c r="E340" s="37" t="s">
        <v>80</v>
      </c>
      <c r="F340" s="37">
        <v>1</v>
      </c>
      <c r="G340" s="37"/>
      <c r="H340" s="86"/>
      <c r="I340" s="86">
        <v>46106</v>
      </c>
      <c r="J340" s="37" t="s">
        <v>4</v>
      </c>
      <c r="K340" s="38">
        <f t="shared" si="25"/>
        <v>1</v>
      </c>
      <c r="L340" s="39">
        <f t="shared" si="26"/>
        <v>0</v>
      </c>
      <c r="M340" s="40">
        <f t="shared" ca="1" si="27"/>
        <v>-7</v>
      </c>
      <c r="N340">
        <f t="shared" si="28"/>
        <v>13</v>
      </c>
      <c r="O340" t="str">
        <f t="shared" si="29"/>
        <v>Switch</v>
      </c>
    </row>
    <row r="341" spans="1:15" ht="14.25" customHeight="1">
      <c r="A341">
        <v>74</v>
      </c>
      <c r="B341" s="35" t="s">
        <v>20</v>
      </c>
      <c r="C341" s="37" t="s">
        <v>87</v>
      </c>
      <c r="D341" s="37" t="s">
        <v>318</v>
      </c>
      <c r="E341" s="37" t="s">
        <v>74</v>
      </c>
      <c r="F341" s="37">
        <v>1</v>
      </c>
      <c r="G341" s="37"/>
      <c r="H341" s="86"/>
      <c r="I341" s="86">
        <v>46106</v>
      </c>
      <c r="J341" s="37" t="s">
        <v>4</v>
      </c>
      <c r="K341" s="38">
        <f t="shared" si="25"/>
        <v>1</v>
      </c>
      <c r="L341" s="39">
        <f t="shared" si="26"/>
        <v>0</v>
      </c>
      <c r="M341" s="40">
        <f t="shared" ca="1" si="27"/>
        <v>-7</v>
      </c>
      <c r="N341">
        <f t="shared" si="28"/>
        <v>13</v>
      </c>
      <c r="O341" t="str">
        <f t="shared" si="29"/>
        <v>Switch</v>
      </c>
    </row>
    <row r="342" spans="1:15" ht="14.25" hidden="1" customHeight="1">
      <c r="A342">
        <v>282</v>
      </c>
      <c r="B342" s="35" t="s">
        <v>20</v>
      </c>
      <c r="C342" s="36" t="s">
        <v>344</v>
      </c>
      <c r="D342" s="37" t="s">
        <v>77</v>
      </c>
      <c r="E342" s="37" t="s">
        <v>78</v>
      </c>
      <c r="F342" s="37">
        <v>6</v>
      </c>
      <c r="G342" s="37"/>
      <c r="H342" s="86"/>
      <c r="I342" s="86">
        <v>46134</v>
      </c>
      <c r="J342" s="37" t="s">
        <v>4</v>
      </c>
      <c r="K342" s="38">
        <f t="shared" si="25"/>
        <v>6</v>
      </c>
      <c r="L342" s="39">
        <f t="shared" si="26"/>
        <v>0</v>
      </c>
      <c r="M342" s="40">
        <f t="shared" ca="1" si="27"/>
        <v>21</v>
      </c>
      <c r="N342">
        <f t="shared" si="28"/>
        <v>17</v>
      </c>
      <c r="O342" t="str">
        <f t="shared" si="29"/>
        <v>AP</v>
      </c>
    </row>
    <row r="343" spans="1:15" ht="14.25" hidden="1" customHeight="1">
      <c r="A343">
        <v>286</v>
      </c>
      <c r="B343" s="35" t="s">
        <v>20</v>
      </c>
      <c r="C343" s="36" t="s">
        <v>344</v>
      </c>
      <c r="D343" s="36" t="s">
        <v>345</v>
      </c>
      <c r="E343" s="37" t="s">
        <v>118</v>
      </c>
      <c r="F343" s="37">
        <v>1</v>
      </c>
      <c r="G343" s="37"/>
      <c r="H343" s="86"/>
      <c r="I343" s="86">
        <v>46134</v>
      </c>
      <c r="J343" s="37" t="s">
        <v>4</v>
      </c>
      <c r="K343" s="38">
        <f t="shared" si="25"/>
        <v>1</v>
      </c>
      <c r="L343" s="39">
        <f t="shared" si="26"/>
        <v>0</v>
      </c>
      <c r="M343" s="40">
        <f t="shared" ca="1" si="27"/>
        <v>21</v>
      </c>
      <c r="N343">
        <f t="shared" si="28"/>
        <v>17</v>
      </c>
      <c r="O343" t="str">
        <f t="shared" si="29"/>
        <v>Switch</v>
      </c>
    </row>
    <row r="344" spans="1:15" ht="14.25" hidden="1" customHeight="1">
      <c r="A344">
        <v>285</v>
      </c>
      <c r="B344" s="35" t="s">
        <v>20</v>
      </c>
      <c r="C344" s="36" t="s">
        <v>344</v>
      </c>
      <c r="D344" s="36" t="s">
        <v>345</v>
      </c>
      <c r="E344" s="37" t="s">
        <v>90</v>
      </c>
      <c r="F344" s="37">
        <v>1</v>
      </c>
      <c r="G344" s="37"/>
      <c r="H344" s="86"/>
      <c r="I344" s="86">
        <v>46134</v>
      </c>
      <c r="J344" s="37" t="s">
        <v>4</v>
      </c>
      <c r="K344" s="38">
        <f t="shared" si="25"/>
        <v>1</v>
      </c>
      <c r="L344" s="39">
        <f t="shared" si="26"/>
        <v>0</v>
      </c>
      <c r="M344" s="40">
        <f t="shared" ca="1" si="27"/>
        <v>21</v>
      </c>
      <c r="N344">
        <f t="shared" si="28"/>
        <v>17</v>
      </c>
      <c r="O344" t="str">
        <f t="shared" si="29"/>
        <v>Switch</v>
      </c>
    </row>
    <row r="345" spans="1:15" ht="15" customHeight="1">
      <c r="A345">
        <v>78</v>
      </c>
      <c r="B345" s="35" t="s">
        <v>20</v>
      </c>
      <c r="C345" s="37" t="s">
        <v>87</v>
      </c>
      <c r="D345" s="37" t="s">
        <v>321</v>
      </c>
      <c r="E345" s="37" t="s">
        <v>80</v>
      </c>
      <c r="F345" s="37">
        <v>1</v>
      </c>
      <c r="G345" s="37"/>
      <c r="H345" s="86"/>
      <c r="I345" s="86">
        <v>46107</v>
      </c>
      <c r="J345" s="37" t="s">
        <v>4</v>
      </c>
      <c r="K345" s="38">
        <f t="shared" si="25"/>
        <v>1</v>
      </c>
      <c r="L345" s="39">
        <f t="shared" si="26"/>
        <v>0</v>
      </c>
      <c r="M345" s="40">
        <f t="shared" ca="1" si="27"/>
        <v>-6</v>
      </c>
      <c r="N345">
        <f t="shared" si="28"/>
        <v>13</v>
      </c>
      <c r="O345" t="str">
        <f t="shared" si="29"/>
        <v>Switch</v>
      </c>
    </row>
    <row r="346" spans="1:15" ht="14.25" customHeight="1">
      <c r="A346">
        <v>77</v>
      </c>
      <c r="B346" s="35" t="s">
        <v>20</v>
      </c>
      <c r="C346" s="37" t="s">
        <v>87</v>
      </c>
      <c r="D346" s="37" t="s">
        <v>321</v>
      </c>
      <c r="E346" s="37" t="s">
        <v>74</v>
      </c>
      <c r="F346" s="37">
        <v>1</v>
      </c>
      <c r="G346" s="37"/>
      <c r="H346" s="86"/>
      <c r="I346" s="86">
        <v>46107</v>
      </c>
      <c r="J346" s="37" t="s">
        <v>4</v>
      </c>
      <c r="K346" s="38">
        <f t="shared" si="25"/>
        <v>1</v>
      </c>
      <c r="L346" s="39">
        <f t="shared" si="26"/>
        <v>0</v>
      </c>
      <c r="M346" s="40">
        <f t="shared" ca="1" si="27"/>
        <v>-6</v>
      </c>
      <c r="N346">
        <f t="shared" si="28"/>
        <v>13</v>
      </c>
      <c r="O346" t="str">
        <f t="shared" si="29"/>
        <v>Switch</v>
      </c>
    </row>
    <row r="347" spans="1:15" ht="15" hidden="1" customHeight="1">
      <c r="A347">
        <v>275</v>
      </c>
      <c r="B347" s="35" t="s">
        <v>20</v>
      </c>
      <c r="C347" s="36" t="s">
        <v>346</v>
      </c>
      <c r="D347" s="37" t="s">
        <v>77</v>
      </c>
      <c r="E347" s="37" t="s">
        <v>78</v>
      </c>
      <c r="F347" s="37">
        <v>9</v>
      </c>
      <c r="G347" s="37"/>
      <c r="H347" s="86"/>
      <c r="I347" s="86">
        <v>46132</v>
      </c>
      <c r="J347" s="37" t="s">
        <v>4</v>
      </c>
      <c r="K347" s="38">
        <f t="shared" si="25"/>
        <v>9</v>
      </c>
      <c r="L347" s="39">
        <f t="shared" si="26"/>
        <v>0</v>
      </c>
      <c r="M347" s="40">
        <f t="shared" ca="1" si="27"/>
        <v>19</v>
      </c>
      <c r="N347">
        <f t="shared" si="28"/>
        <v>17</v>
      </c>
      <c r="O347" t="str">
        <f t="shared" si="29"/>
        <v>AP</v>
      </c>
    </row>
    <row r="348" spans="1:15" ht="14.25" customHeight="1">
      <c r="A348">
        <v>81</v>
      </c>
      <c r="B348" s="35" t="s">
        <v>20</v>
      </c>
      <c r="C348" s="37" t="s">
        <v>87</v>
      </c>
      <c r="D348" s="37" t="s">
        <v>23</v>
      </c>
      <c r="E348" s="37" t="s">
        <v>80</v>
      </c>
      <c r="F348" s="37">
        <v>1</v>
      </c>
      <c r="G348" s="37"/>
      <c r="H348" s="86"/>
      <c r="I348" s="86">
        <v>46107</v>
      </c>
      <c r="J348" s="37" t="s">
        <v>4</v>
      </c>
      <c r="K348" s="38">
        <f t="shared" si="25"/>
        <v>1</v>
      </c>
      <c r="L348" s="39">
        <f t="shared" si="26"/>
        <v>0</v>
      </c>
      <c r="M348" s="40">
        <f t="shared" ca="1" si="27"/>
        <v>-6</v>
      </c>
      <c r="N348">
        <f t="shared" si="28"/>
        <v>13</v>
      </c>
      <c r="O348" t="str">
        <f t="shared" si="29"/>
        <v>Switch</v>
      </c>
    </row>
    <row r="349" spans="1:15" ht="14.25" customHeight="1">
      <c r="A349">
        <v>80</v>
      </c>
      <c r="B349" s="35" t="s">
        <v>20</v>
      </c>
      <c r="C349" s="37" t="s">
        <v>87</v>
      </c>
      <c r="D349" s="37" t="s">
        <v>23</v>
      </c>
      <c r="E349" s="37" t="s">
        <v>74</v>
      </c>
      <c r="F349" s="37">
        <v>6</v>
      </c>
      <c r="G349" s="37"/>
      <c r="H349" s="86"/>
      <c r="I349" s="86">
        <v>46107</v>
      </c>
      <c r="J349" s="37" t="s">
        <v>4</v>
      </c>
      <c r="K349" s="38">
        <f t="shared" si="25"/>
        <v>6</v>
      </c>
      <c r="L349" s="39">
        <f t="shared" si="26"/>
        <v>0</v>
      </c>
      <c r="M349" s="40">
        <f t="shared" ca="1" si="27"/>
        <v>-6</v>
      </c>
      <c r="N349">
        <f t="shared" si="28"/>
        <v>13</v>
      </c>
      <c r="O349" t="str">
        <f t="shared" si="29"/>
        <v>Switch</v>
      </c>
    </row>
    <row r="350" spans="1:15" ht="14.25" hidden="1" customHeight="1">
      <c r="A350">
        <v>278</v>
      </c>
      <c r="B350" s="35" t="s">
        <v>20</v>
      </c>
      <c r="C350" s="36" t="s">
        <v>347</v>
      </c>
      <c r="D350" s="37" t="s">
        <v>77</v>
      </c>
      <c r="E350" s="37" t="s">
        <v>78</v>
      </c>
      <c r="F350" s="37">
        <v>9</v>
      </c>
      <c r="G350" s="37"/>
      <c r="H350" s="86"/>
      <c r="I350" s="86">
        <v>46133</v>
      </c>
      <c r="J350" s="37" t="s">
        <v>4</v>
      </c>
      <c r="K350" s="38">
        <f t="shared" si="25"/>
        <v>9</v>
      </c>
      <c r="L350" s="39">
        <f t="shared" si="26"/>
        <v>0</v>
      </c>
      <c r="M350" s="40">
        <f t="shared" ca="1" si="27"/>
        <v>20</v>
      </c>
      <c r="N350">
        <f t="shared" si="28"/>
        <v>17</v>
      </c>
      <c r="O350" t="str">
        <f t="shared" si="29"/>
        <v>AP</v>
      </c>
    </row>
    <row r="351" spans="1:15" ht="14.25" customHeight="1">
      <c r="A351">
        <v>91</v>
      </c>
      <c r="B351" s="35" t="s">
        <v>20</v>
      </c>
      <c r="C351" s="37" t="s">
        <v>87</v>
      </c>
      <c r="D351" s="37" t="s">
        <v>348</v>
      </c>
      <c r="E351" s="37" t="s">
        <v>80</v>
      </c>
      <c r="F351" s="37">
        <v>1</v>
      </c>
      <c r="G351" s="37"/>
      <c r="H351" s="86"/>
      <c r="I351" s="86">
        <v>46108</v>
      </c>
      <c r="J351" s="37" t="s">
        <v>4</v>
      </c>
      <c r="K351" s="38">
        <f t="shared" si="25"/>
        <v>1</v>
      </c>
      <c r="L351" s="39">
        <f t="shared" si="26"/>
        <v>0</v>
      </c>
      <c r="M351" s="40">
        <f t="shared" ca="1" si="27"/>
        <v>-5</v>
      </c>
      <c r="N351">
        <f t="shared" si="28"/>
        <v>13</v>
      </c>
      <c r="O351" t="str">
        <f t="shared" si="29"/>
        <v>Switch</v>
      </c>
    </row>
    <row r="352" spans="1:15" ht="14.25" customHeight="1">
      <c r="A352">
        <v>90</v>
      </c>
      <c r="B352" s="35" t="s">
        <v>20</v>
      </c>
      <c r="C352" s="37" t="s">
        <v>87</v>
      </c>
      <c r="D352" s="37" t="s">
        <v>348</v>
      </c>
      <c r="E352" s="37" t="s">
        <v>74</v>
      </c>
      <c r="F352" s="37">
        <v>1</v>
      </c>
      <c r="G352" s="37"/>
      <c r="H352" s="86"/>
      <c r="I352" s="86">
        <v>46108</v>
      </c>
      <c r="J352" s="37" t="s">
        <v>4</v>
      </c>
      <c r="K352" s="38">
        <f t="shared" si="25"/>
        <v>1</v>
      </c>
      <c r="L352" s="39">
        <f t="shared" si="26"/>
        <v>0</v>
      </c>
      <c r="M352" s="40">
        <f t="shared" ca="1" si="27"/>
        <v>-5</v>
      </c>
      <c r="N352">
        <f t="shared" si="28"/>
        <v>13</v>
      </c>
      <c r="O352" t="str">
        <f t="shared" si="29"/>
        <v>Switch</v>
      </c>
    </row>
    <row r="353" spans="1:15" ht="14.25" hidden="1" customHeight="1">
      <c r="A353">
        <v>287</v>
      </c>
      <c r="B353" s="35" t="s">
        <v>20</v>
      </c>
      <c r="C353" s="36" t="s">
        <v>349</v>
      </c>
      <c r="D353" s="37" t="s">
        <v>77</v>
      </c>
      <c r="E353" s="37" t="s">
        <v>78</v>
      </c>
      <c r="F353" s="37">
        <v>3</v>
      </c>
      <c r="G353" s="37"/>
      <c r="H353" s="86"/>
      <c r="I353" s="86">
        <v>46134</v>
      </c>
      <c r="J353" s="37" t="s">
        <v>4</v>
      </c>
      <c r="K353" s="38">
        <f t="shared" si="25"/>
        <v>3</v>
      </c>
      <c r="L353" s="39">
        <f t="shared" si="26"/>
        <v>0</v>
      </c>
      <c r="M353" s="40">
        <f t="shared" ca="1" si="27"/>
        <v>21</v>
      </c>
      <c r="N353">
        <f t="shared" si="28"/>
        <v>17</v>
      </c>
      <c r="O353" t="str">
        <f t="shared" si="29"/>
        <v>AP</v>
      </c>
    </row>
    <row r="354" spans="1:15" ht="14.25" customHeight="1">
      <c r="A354">
        <v>93</v>
      </c>
      <c r="B354" s="35" t="s">
        <v>20</v>
      </c>
      <c r="C354" s="37" t="s">
        <v>87</v>
      </c>
      <c r="D354" s="37" t="s">
        <v>350</v>
      </c>
      <c r="E354" s="37" t="s">
        <v>80</v>
      </c>
      <c r="F354" s="37">
        <v>1</v>
      </c>
      <c r="G354" s="37"/>
      <c r="H354" s="86"/>
      <c r="I354" s="86">
        <v>46108</v>
      </c>
      <c r="J354" s="37" t="s">
        <v>4</v>
      </c>
      <c r="K354" s="38">
        <f t="shared" si="25"/>
        <v>1</v>
      </c>
      <c r="L354" s="39">
        <f t="shared" si="26"/>
        <v>0</v>
      </c>
      <c r="M354" s="40">
        <f t="shared" ca="1" si="27"/>
        <v>-5</v>
      </c>
      <c r="N354">
        <f t="shared" si="28"/>
        <v>13</v>
      </c>
      <c r="O354" t="str">
        <f t="shared" si="29"/>
        <v>Switch</v>
      </c>
    </row>
    <row r="355" spans="1:15" ht="14.25" customHeight="1">
      <c r="A355">
        <v>92</v>
      </c>
      <c r="B355" s="35" t="s">
        <v>20</v>
      </c>
      <c r="C355" s="37" t="s">
        <v>87</v>
      </c>
      <c r="D355" s="37" t="s">
        <v>350</v>
      </c>
      <c r="E355" s="37" t="s">
        <v>74</v>
      </c>
      <c r="F355" s="37">
        <v>1</v>
      </c>
      <c r="G355" s="37"/>
      <c r="H355" s="86"/>
      <c r="I355" s="86">
        <v>46108</v>
      </c>
      <c r="J355" s="37" t="s">
        <v>4</v>
      </c>
      <c r="K355" s="38">
        <f t="shared" si="25"/>
        <v>1</v>
      </c>
      <c r="L355" s="39">
        <f t="shared" si="26"/>
        <v>0</v>
      </c>
      <c r="M355" s="40">
        <f t="shared" ca="1" si="27"/>
        <v>-5</v>
      </c>
      <c r="N355">
        <f t="shared" si="28"/>
        <v>13</v>
      </c>
      <c r="O355" t="str">
        <f t="shared" si="29"/>
        <v>Switch</v>
      </c>
    </row>
    <row r="356" spans="1:15" ht="14.25" hidden="1" customHeight="1">
      <c r="A356">
        <v>281</v>
      </c>
      <c r="B356" s="35" t="s">
        <v>20</v>
      </c>
      <c r="C356" s="36" t="s">
        <v>351</v>
      </c>
      <c r="D356" s="37" t="s">
        <v>77</v>
      </c>
      <c r="E356" s="37" t="s">
        <v>78</v>
      </c>
      <c r="F356" s="37">
        <v>10</v>
      </c>
      <c r="G356" s="37"/>
      <c r="H356" s="86"/>
      <c r="I356" s="86">
        <v>46133</v>
      </c>
      <c r="J356" s="37" t="s">
        <v>4</v>
      </c>
      <c r="K356" s="38">
        <f t="shared" si="25"/>
        <v>10</v>
      </c>
      <c r="L356" s="39">
        <f t="shared" si="26"/>
        <v>0</v>
      </c>
      <c r="M356" s="40">
        <f t="shared" ca="1" si="27"/>
        <v>20</v>
      </c>
      <c r="N356">
        <f t="shared" si="28"/>
        <v>17</v>
      </c>
      <c r="O356" t="str">
        <f t="shared" si="29"/>
        <v>AP</v>
      </c>
    </row>
    <row r="357" spans="1:15" ht="14.25" hidden="1" customHeight="1">
      <c r="A357">
        <v>272</v>
      </c>
      <c r="B357" s="35" t="s">
        <v>20</v>
      </c>
      <c r="C357" s="36" t="s">
        <v>352</v>
      </c>
      <c r="D357" s="37" t="s">
        <v>77</v>
      </c>
      <c r="E357" s="37" t="s">
        <v>78</v>
      </c>
      <c r="F357" s="37">
        <v>4</v>
      </c>
      <c r="G357" s="37"/>
      <c r="H357" s="86"/>
      <c r="I357" s="86">
        <v>46122</v>
      </c>
      <c r="J357" s="37" t="s">
        <v>4</v>
      </c>
      <c r="K357" s="38">
        <f t="shared" si="25"/>
        <v>4</v>
      </c>
      <c r="L357" s="39">
        <f t="shared" si="26"/>
        <v>0</v>
      </c>
      <c r="M357" s="40">
        <f t="shared" ca="1" si="27"/>
        <v>9</v>
      </c>
      <c r="N357">
        <f t="shared" si="28"/>
        <v>15</v>
      </c>
      <c r="O357" t="str">
        <f t="shared" si="29"/>
        <v>AP</v>
      </c>
    </row>
    <row r="358" spans="1:15" ht="14.25" customHeight="1">
      <c r="A358">
        <v>95</v>
      </c>
      <c r="B358" s="35" t="s">
        <v>20</v>
      </c>
      <c r="C358" s="37" t="s">
        <v>87</v>
      </c>
      <c r="D358" s="37" t="s">
        <v>353</v>
      </c>
      <c r="E358" s="37" t="s">
        <v>80</v>
      </c>
      <c r="F358" s="37">
        <v>1</v>
      </c>
      <c r="G358" s="37"/>
      <c r="H358" s="86"/>
      <c r="I358" s="86">
        <v>46108</v>
      </c>
      <c r="J358" s="37" t="s">
        <v>4</v>
      </c>
      <c r="K358" s="38">
        <f t="shared" si="25"/>
        <v>1</v>
      </c>
      <c r="L358" s="39">
        <f t="shared" si="26"/>
        <v>0</v>
      </c>
      <c r="M358" s="40">
        <f t="shared" ca="1" si="27"/>
        <v>-5</v>
      </c>
      <c r="N358">
        <f t="shared" si="28"/>
        <v>13</v>
      </c>
      <c r="O358" t="str">
        <f t="shared" si="29"/>
        <v>Switch</v>
      </c>
    </row>
    <row r="359" spans="1:15" ht="14.25" customHeight="1">
      <c r="A359">
        <v>94</v>
      </c>
      <c r="B359" s="35" t="s">
        <v>20</v>
      </c>
      <c r="C359" s="37" t="s">
        <v>87</v>
      </c>
      <c r="D359" s="37" t="s">
        <v>353</v>
      </c>
      <c r="E359" s="37" t="s">
        <v>74</v>
      </c>
      <c r="F359" s="37">
        <v>1</v>
      </c>
      <c r="G359" s="37"/>
      <c r="H359" s="86"/>
      <c r="I359" s="86">
        <v>46108</v>
      </c>
      <c r="J359" s="37" t="s">
        <v>4</v>
      </c>
      <c r="K359" s="38">
        <f t="shared" si="25"/>
        <v>1</v>
      </c>
      <c r="L359" s="39">
        <f t="shared" si="26"/>
        <v>0</v>
      </c>
      <c r="M359" s="40">
        <f t="shared" ca="1" si="27"/>
        <v>-5</v>
      </c>
      <c r="N359">
        <f t="shared" si="28"/>
        <v>13</v>
      </c>
      <c r="O359" t="str">
        <f t="shared" si="29"/>
        <v>Switch</v>
      </c>
    </row>
    <row r="360" spans="1:15" ht="14.25" customHeight="1">
      <c r="A360">
        <v>97</v>
      </c>
      <c r="B360" s="35" t="s">
        <v>20</v>
      </c>
      <c r="C360" s="37" t="s">
        <v>87</v>
      </c>
      <c r="D360" s="37" t="s">
        <v>354</v>
      </c>
      <c r="E360" s="37" t="s">
        <v>80</v>
      </c>
      <c r="F360" s="37">
        <v>1</v>
      </c>
      <c r="G360" s="37"/>
      <c r="H360" s="86"/>
      <c r="I360" s="86">
        <v>46108</v>
      </c>
      <c r="J360" s="37" t="s">
        <v>4</v>
      </c>
      <c r="K360" s="38">
        <f t="shared" si="25"/>
        <v>1</v>
      </c>
      <c r="L360" s="39">
        <f t="shared" si="26"/>
        <v>0</v>
      </c>
      <c r="M360" s="40">
        <f t="shared" ca="1" si="27"/>
        <v>-5</v>
      </c>
      <c r="N360">
        <f t="shared" si="28"/>
        <v>13</v>
      </c>
      <c r="O360" t="str">
        <f t="shared" si="29"/>
        <v>Switch</v>
      </c>
    </row>
    <row r="361" spans="1:15" ht="14.25" customHeight="1">
      <c r="A361">
        <v>96</v>
      </c>
      <c r="B361" s="35" t="s">
        <v>20</v>
      </c>
      <c r="C361" s="37" t="s">
        <v>87</v>
      </c>
      <c r="D361" s="37" t="s">
        <v>354</v>
      </c>
      <c r="E361" s="37" t="s">
        <v>74</v>
      </c>
      <c r="F361" s="37">
        <v>1</v>
      </c>
      <c r="G361" s="37"/>
      <c r="H361" s="86"/>
      <c r="I361" s="86">
        <v>46108</v>
      </c>
      <c r="J361" s="37" t="s">
        <v>4</v>
      </c>
      <c r="K361" s="38">
        <f t="shared" si="25"/>
        <v>1</v>
      </c>
      <c r="L361" s="39">
        <f t="shared" si="26"/>
        <v>0</v>
      </c>
      <c r="M361" s="40">
        <f t="shared" ca="1" si="27"/>
        <v>-5</v>
      </c>
      <c r="N361">
        <f t="shared" si="28"/>
        <v>13</v>
      </c>
      <c r="O361" t="str">
        <f t="shared" si="29"/>
        <v>Switch</v>
      </c>
    </row>
    <row r="362" spans="1:15" ht="14.25" hidden="1" customHeight="1">
      <c r="A362">
        <v>264</v>
      </c>
      <c r="B362" s="35" t="s">
        <v>20</v>
      </c>
      <c r="C362" s="36" t="s">
        <v>355</v>
      </c>
      <c r="D362" s="37" t="s">
        <v>77</v>
      </c>
      <c r="E362" s="37" t="s">
        <v>78</v>
      </c>
      <c r="F362" s="37">
        <v>11</v>
      </c>
      <c r="G362" s="37"/>
      <c r="H362" s="86"/>
      <c r="I362" s="86">
        <v>46121</v>
      </c>
      <c r="J362" s="37" t="s">
        <v>4</v>
      </c>
      <c r="K362" s="38">
        <f t="shared" si="25"/>
        <v>11</v>
      </c>
      <c r="L362" s="39">
        <f t="shared" si="26"/>
        <v>0</v>
      </c>
      <c r="M362" s="40">
        <f t="shared" ca="1" si="27"/>
        <v>8</v>
      </c>
      <c r="N362">
        <f t="shared" si="28"/>
        <v>15</v>
      </c>
      <c r="O362" t="str">
        <f t="shared" si="29"/>
        <v>AP</v>
      </c>
    </row>
    <row r="363" spans="1:15" ht="14.25" hidden="1" customHeight="1">
      <c r="A363">
        <v>265</v>
      </c>
      <c r="B363" s="35" t="s">
        <v>20</v>
      </c>
      <c r="C363" s="36" t="s">
        <v>355</v>
      </c>
      <c r="D363" s="37" t="s">
        <v>356</v>
      </c>
      <c r="E363" s="37" t="s">
        <v>118</v>
      </c>
      <c r="F363" s="37">
        <v>1</v>
      </c>
      <c r="G363" s="37"/>
      <c r="H363" s="86"/>
      <c r="I363" s="86">
        <v>46122</v>
      </c>
      <c r="J363" s="37" t="s">
        <v>4</v>
      </c>
      <c r="K363" s="38">
        <f t="shared" si="25"/>
        <v>1</v>
      </c>
      <c r="L363" s="39">
        <f t="shared" si="26"/>
        <v>0</v>
      </c>
      <c r="M363" s="40">
        <f t="shared" ca="1" si="27"/>
        <v>9</v>
      </c>
      <c r="N363">
        <f t="shared" si="28"/>
        <v>15</v>
      </c>
      <c r="O363" t="str">
        <f t="shared" si="29"/>
        <v>Switch</v>
      </c>
    </row>
    <row r="364" spans="1:15" ht="14.25" customHeight="1">
      <c r="A364">
        <v>99</v>
      </c>
      <c r="B364" s="35" t="s">
        <v>20</v>
      </c>
      <c r="C364" s="37" t="s">
        <v>87</v>
      </c>
      <c r="D364" s="37" t="s">
        <v>357</v>
      </c>
      <c r="E364" s="37" t="s">
        <v>80</v>
      </c>
      <c r="F364" s="37">
        <v>1</v>
      </c>
      <c r="G364" s="37"/>
      <c r="H364" s="86"/>
      <c r="I364" s="86">
        <v>46108</v>
      </c>
      <c r="J364" s="37" t="s">
        <v>4</v>
      </c>
      <c r="K364" s="38">
        <f t="shared" si="25"/>
        <v>1</v>
      </c>
      <c r="L364" s="39">
        <f t="shared" si="26"/>
        <v>0</v>
      </c>
      <c r="M364" s="40">
        <f t="shared" ca="1" si="27"/>
        <v>-5</v>
      </c>
      <c r="N364">
        <f t="shared" si="28"/>
        <v>13</v>
      </c>
      <c r="O364" t="str">
        <f t="shared" si="29"/>
        <v>Switch</v>
      </c>
    </row>
    <row r="365" spans="1:15" ht="14.25" customHeight="1">
      <c r="A365">
        <v>98</v>
      </c>
      <c r="B365" s="35" t="s">
        <v>20</v>
      </c>
      <c r="C365" s="37" t="s">
        <v>87</v>
      </c>
      <c r="D365" s="37" t="s">
        <v>357</v>
      </c>
      <c r="E365" s="37" t="s">
        <v>74</v>
      </c>
      <c r="F365" s="37">
        <v>1</v>
      </c>
      <c r="G365" s="37"/>
      <c r="H365" s="86"/>
      <c r="I365" s="86">
        <v>46108</v>
      </c>
      <c r="J365" s="37" t="s">
        <v>4</v>
      </c>
      <c r="K365" s="38">
        <f t="shared" si="25"/>
        <v>1</v>
      </c>
      <c r="L365" s="39">
        <f t="shared" si="26"/>
        <v>0</v>
      </c>
      <c r="M365" s="40">
        <f t="shared" ca="1" si="27"/>
        <v>-5</v>
      </c>
      <c r="N365">
        <f t="shared" si="28"/>
        <v>13</v>
      </c>
      <c r="O365" t="str">
        <f t="shared" si="29"/>
        <v>Switch</v>
      </c>
    </row>
    <row r="366" spans="1:15" ht="14.25" customHeight="1">
      <c r="A366">
        <v>101</v>
      </c>
      <c r="B366" s="35" t="s">
        <v>20</v>
      </c>
      <c r="C366" s="37" t="s">
        <v>87</v>
      </c>
      <c r="D366" s="37" t="s">
        <v>358</v>
      </c>
      <c r="E366" s="37" t="s">
        <v>80</v>
      </c>
      <c r="F366" s="37">
        <v>1</v>
      </c>
      <c r="G366" s="37"/>
      <c r="H366" s="86"/>
      <c r="I366" s="86">
        <v>46111</v>
      </c>
      <c r="J366" s="37" t="s">
        <v>4</v>
      </c>
      <c r="K366" s="38">
        <f t="shared" si="25"/>
        <v>1</v>
      </c>
      <c r="L366" s="39">
        <f t="shared" si="26"/>
        <v>0</v>
      </c>
      <c r="M366" s="40">
        <f t="shared" ca="1" si="27"/>
        <v>-2</v>
      </c>
      <c r="N366">
        <f t="shared" si="28"/>
        <v>14</v>
      </c>
      <c r="O366" t="str">
        <f t="shared" si="29"/>
        <v>Switch</v>
      </c>
    </row>
    <row r="367" spans="1:15" ht="14.25" customHeight="1">
      <c r="A367">
        <v>100</v>
      </c>
      <c r="B367" s="35" t="s">
        <v>20</v>
      </c>
      <c r="C367" s="37" t="s">
        <v>87</v>
      </c>
      <c r="D367" s="37" t="s">
        <v>358</v>
      </c>
      <c r="E367" s="37" t="s">
        <v>74</v>
      </c>
      <c r="F367" s="37">
        <v>1</v>
      </c>
      <c r="G367" s="37"/>
      <c r="H367" s="86"/>
      <c r="I367" s="86">
        <v>46111</v>
      </c>
      <c r="J367" s="37" t="s">
        <v>4</v>
      </c>
      <c r="K367" s="38">
        <f t="shared" si="25"/>
        <v>1</v>
      </c>
      <c r="L367" s="39">
        <f t="shared" si="26"/>
        <v>0</v>
      </c>
      <c r="M367" s="40">
        <f t="shared" ca="1" si="27"/>
        <v>-2</v>
      </c>
      <c r="N367">
        <f t="shared" si="28"/>
        <v>14</v>
      </c>
      <c r="O367" t="str">
        <f t="shared" si="29"/>
        <v>Switch</v>
      </c>
    </row>
    <row r="368" spans="1:15" ht="14.25" customHeight="1">
      <c r="A368">
        <v>103</v>
      </c>
      <c r="B368" s="35" t="s">
        <v>20</v>
      </c>
      <c r="C368" s="37" t="s">
        <v>87</v>
      </c>
      <c r="D368" s="37" t="s">
        <v>359</v>
      </c>
      <c r="E368" s="37" t="s">
        <v>80</v>
      </c>
      <c r="F368" s="37">
        <v>1</v>
      </c>
      <c r="G368" s="37"/>
      <c r="H368" s="86"/>
      <c r="I368" s="86">
        <v>46111</v>
      </c>
      <c r="J368" s="37" t="s">
        <v>4</v>
      </c>
      <c r="K368" s="38">
        <f t="shared" si="25"/>
        <v>1</v>
      </c>
      <c r="L368" s="39">
        <f t="shared" si="26"/>
        <v>0</v>
      </c>
      <c r="M368" s="40">
        <f t="shared" ca="1" si="27"/>
        <v>-2</v>
      </c>
      <c r="N368">
        <f t="shared" si="28"/>
        <v>14</v>
      </c>
      <c r="O368" t="str">
        <f t="shared" si="29"/>
        <v>Switch</v>
      </c>
    </row>
    <row r="369" spans="1:16" ht="14.25" customHeight="1">
      <c r="A369">
        <v>102</v>
      </c>
      <c r="B369" s="35" t="s">
        <v>20</v>
      </c>
      <c r="C369" s="37" t="s">
        <v>87</v>
      </c>
      <c r="D369" s="37" t="s">
        <v>359</v>
      </c>
      <c r="E369" s="37" t="s">
        <v>74</v>
      </c>
      <c r="F369" s="37">
        <v>1</v>
      </c>
      <c r="G369" s="37"/>
      <c r="H369" s="86"/>
      <c r="I369" s="86">
        <v>46111</v>
      </c>
      <c r="J369" s="37" t="s">
        <v>4</v>
      </c>
      <c r="K369" s="38">
        <f t="shared" si="25"/>
        <v>1</v>
      </c>
      <c r="L369" s="39">
        <f t="shared" si="26"/>
        <v>0</v>
      </c>
      <c r="M369" s="40">
        <f t="shared" ca="1" si="27"/>
        <v>-2</v>
      </c>
      <c r="N369">
        <f t="shared" si="28"/>
        <v>14</v>
      </c>
      <c r="O369" t="str">
        <f t="shared" si="29"/>
        <v>Switch</v>
      </c>
    </row>
    <row r="370" spans="1:16" ht="14.25" hidden="1" customHeight="1">
      <c r="A370">
        <v>1</v>
      </c>
      <c r="B370" s="35" t="s">
        <v>20</v>
      </c>
      <c r="C370" s="36" t="s">
        <v>138</v>
      </c>
      <c r="D370" s="37" t="s">
        <v>77</v>
      </c>
      <c r="E370" s="37" t="s">
        <v>78</v>
      </c>
      <c r="F370" s="37">
        <v>176</v>
      </c>
      <c r="G370" s="37"/>
      <c r="H370" s="86"/>
      <c r="I370" s="86">
        <v>46105</v>
      </c>
      <c r="J370" s="37" t="s">
        <v>4</v>
      </c>
      <c r="K370" s="38">
        <f t="shared" si="25"/>
        <v>176</v>
      </c>
      <c r="L370" s="39">
        <f t="shared" si="26"/>
        <v>0</v>
      </c>
      <c r="M370" s="40">
        <f t="shared" ca="1" si="27"/>
        <v>-8</v>
      </c>
      <c r="N370">
        <f t="shared" si="28"/>
        <v>13</v>
      </c>
      <c r="O370" t="str">
        <f t="shared" si="29"/>
        <v>AP</v>
      </c>
    </row>
    <row r="371" spans="1:16" ht="14.25" customHeight="1">
      <c r="A371">
        <v>105</v>
      </c>
      <c r="B371" s="35" t="s">
        <v>20</v>
      </c>
      <c r="C371" s="37" t="s">
        <v>87</v>
      </c>
      <c r="D371" s="37" t="s">
        <v>360</v>
      </c>
      <c r="E371" s="37" t="s">
        <v>80</v>
      </c>
      <c r="F371" s="37">
        <v>1</v>
      </c>
      <c r="G371" s="37"/>
      <c r="H371" s="86"/>
      <c r="I371" s="86">
        <v>46111</v>
      </c>
      <c r="J371" s="37" t="s">
        <v>4</v>
      </c>
      <c r="K371" s="38">
        <f t="shared" si="25"/>
        <v>1</v>
      </c>
      <c r="L371" s="39">
        <f t="shared" si="26"/>
        <v>0</v>
      </c>
      <c r="M371" s="40">
        <f t="shared" ca="1" si="27"/>
        <v>-2</v>
      </c>
      <c r="N371">
        <f t="shared" si="28"/>
        <v>14</v>
      </c>
      <c r="O371" t="str">
        <f t="shared" si="29"/>
        <v>Switch</v>
      </c>
    </row>
    <row r="372" spans="1:16" ht="14.25" customHeight="1">
      <c r="A372">
        <v>104</v>
      </c>
      <c r="B372" s="35" t="s">
        <v>20</v>
      </c>
      <c r="C372" s="37" t="s">
        <v>87</v>
      </c>
      <c r="D372" s="37" t="s">
        <v>360</v>
      </c>
      <c r="E372" s="37" t="s">
        <v>74</v>
      </c>
      <c r="F372" s="37">
        <v>1</v>
      </c>
      <c r="G372" s="37"/>
      <c r="H372" s="86"/>
      <c r="I372" s="86">
        <v>46111</v>
      </c>
      <c r="J372" s="37" t="s">
        <v>4</v>
      </c>
      <c r="K372" s="38">
        <f t="shared" si="25"/>
        <v>1</v>
      </c>
      <c r="L372" s="39">
        <f t="shared" si="26"/>
        <v>0</v>
      </c>
      <c r="M372" s="40">
        <f t="shared" ca="1" si="27"/>
        <v>-2</v>
      </c>
      <c r="N372">
        <f t="shared" si="28"/>
        <v>14</v>
      </c>
      <c r="O372" t="str">
        <f t="shared" si="29"/>
        <v>Switch</v>
      </c>
    </row>
    <row r="373" spans="1:16" ht="14.25" hidden="1" customHeight="1">
      <c r="A373">
        <v>4</v>
      </c>
      <c r="B373" s="35" t="s">
        <v>20</v>
      </c>
      <c r="C373" s="36" t="s">
        <v>138</v>
      </c>
      <c r="D373" s="37" t="s">
        <v>361</v>
      </c>
      <c r="E373" s="37" t="s">
        <v>362</v>
      </c>
      <c r="F373" s="37">
        <v>2</v>
      </c>
      <c r="G373" s="37">
        <v>2</v>
      </c>
      <c r="H373" s="86">
        <v>46063</v>
      </c>
      <c r="I373" s="86">
        <v>46070</v>
      </c>
      <c r="J373" s="37" t="s">
        <v>75</v>
      </c>
      <c r="K373" s="38">
        <f t="shared" si="25"/>
        <v>0</v>
      </c>
      <c r="L373" s="39">
        <f t="shared" si="26"/>
        <v>1</v>
      </c>
      <c r="M373" s="40">
        <f t="shared" ca="1" si="27"/>
        <v>-43</v>
      </c>
      <c r="N373">
        <f t="shared" si="28"/>
        <v>8</v>
      </c>
      <c r="O373" t="str">
        <f t="shared" si="29"/>
        <v>Switch</v>
      </c>
    </row>
    <row r="374" spans="1:16" ht="14.25" customHeight="1">
      <c r="A374">
        <v>107</v>
      </c>
      <c r="B374" s="35" t="s">
        <v>20</v>
      </c>
      <c r="C374" s="37" t="s">
        <v>87</v>
      </c>
      <c r="D374" s="37" t="s">
        <v>363</v>
      </c>
      <c r="E374" s="37" t="s">
        <v>80</v>
      </c>
      <c r="F374" s="37">
        <v>1</v>
      </c>
      <c r="G374" s="37"/>
      <c r="H374" s="86"/>
      <c r="I374" s="86">
        <v>46111</v>
      </c>
      <c r="J374" s="37" t="s">
        <v>4</v>
      </c>
      <c r="K374" s="38">
        <f t="shared" si="25"/>
        <v>1</v>
      </c>
      <c r="L374" s="39">
        <f t="shared" si="26"/>
        <v>0</v>
      </c>
      <c r="M374" s="40">
        <f t="shared" ca="1" si="27"/>
        <v>-2</v>
      </c>
      <c r="N374">
        <f t="shared" si="28"/>
        <v>14</v>
      </c>
      <c r="O374" t="str">
        <f t="shared" si="29"/>
        <v>Switch</v>
      </c>
    </row>
    <row r="375" spans="1:16" ht="14.25" customHeight="1">
      <c r="A375">
        <v>106</v>
      </c>
      <c r="B375" s="35" t="s">
        <v>20</v>
      </c>
      <c r="C375" s="37" t="s">
        <v>87</v>
      </c>
      <c r="D375" s="37" t="s">
        <v>363</v>
      </c>
      <c r="E375" s="37" t="s">
        <v>74</v>
      </c>
      <c r="F375" s="37">
        <v>2</v>
      </c>
      <c r="G375" s="37"/>
      <c r="H375" s="86"/>
      <c r="I375" s="86">
        <v>46111</v>
      </c>
      <c r="J375" s="37" t="s">
        <v>4</v>
      </c>
      <c r="K375" s="38">
        <f t="shared" si="25"/>
        <v>2</v>
      </c>
      <c r="L375" s="39">
        <f t="shared" si="26"/>
        <v>0</v>
      </c>
      <c r="M375" s="40">
        <f t="shared" ca="1" si="27"/>
        <v>-2</v>
      </c>
      <c r="N375">
        <f t="shared" si="28"/>
        <v>14</v>
      </c>
      <c r="O375" t="str">
        <f t="shared" si="29"/>
        <v>Switch</v>
      </c>
    </row>
    <row r="376" spans="1:16" ht="14.25" customHeight="1">
      <c r="A376">
        <v>112</v>
      </c>
      <c r="B376" s="35" t="s">
        <v>20</v>
      </c>
      <c r="C376" s="37" t="s">
        <v>87</v>
      </c>
      <c r="D376" s="37" t="s">
        <v>343</v>
      </c>
      <c r="E376" s="37" t="s">
        <v>80</v>
      </c>
      <c r="F376" s="37">
        <v>2</v>
      </c>
      <c r="G376" s="37"/>
      <c r="H376" s="86"/>
      <c r="I376" s="86">
        <v>46111</v>
      </c>
      <c r="J376" s="37" t="s">
        <v>4</v>
      </c>
      <c r="K376" s="38">
        <f t="shared" si="25"/>
        <v>2</v>
      </c>
      <c r="L376" s="39">
        <f t="shared" si="26"/>
        <v>0</v>
      </c>
      <c r="M376" s="40">
        <f t="shared" ca="1" si="27"/>
        <v>-2</v>
      </c>
      <c r="N376">
        <f t="shared" si="28"/>
        <v>14</v>
      </c>
      <c r="O376" t="str">
        <f t="shared" si="29"/>
        <v>Switch</v>
      </c>
    </row>
    <row r="377" spans="1:16" ht="14.25" customHeight="1">
      <c r="A377">
        <v>111</v>
      </c>
      <c r="B377" s="35" t="s">
        <v>20</v>
      </c>
      <c r="C377" s="37" t="s">
        <v>87</v>
      </c>
      <c r="D377" s="37" t="s">
        <v>343</v>
      </c>
      <c r="E377" s="37" t="s">
        <v>74</v>
      </c>
      <c r="F377" s="37">
        <v>2</v>
      </c>
      <c r="G377" s="37"/>
      <c r="H377" s="86"/>
      <c r="I377" s="86">
        <v>46111</v>
      </c>
      <c r="J377" s="37" t="s">
        <v>4</v>
      </c>
      <c r="K377" s="38">
        <f t="shared" si="25"/>
        <v>2</v>
      </c>
      <c r="L377" s="39">
        <f t="shared" si="26"/>
        <v>0</v>
      </c>
      <c r="M377" s="40">
        <f t="shared" ca="1" si="27"/>
        <v>-2</v>
      </c>
      <c r="N377">
        <f t="shared" si="28"/>
        <v>14</v>
      </c>
      <c r="O377" t="str">
        <f t="shared" si="29"/>
        <v>Switch</v>
      </c>
    </row>
    <row r="378" spans="1:16" ht="14.25" customHeight="1">
      <c r="A378">
        <v>117</v>
      </c>
      <c r="B378" s="35" t="s">
        <v>20</v>
      </c>
      <c r="C378" s="37" t="s">
        <v>87</v>
      </c>
      <c r="D378" s="37" t="s">
        <v>364</v>
      </c>
      <c r="E378" s="37" t="s">
        <v>80</v>
      </c>
      <c r="F378" s="37">
        <v>1</v>
      </c>
      <c r="G378" s="37"/>
      <c r="H378" s="86"/>
      <c r="I378" s="86">
        <v>46112</v>
      </c>
      <c r="J378" s="37" t="s">
        <v>4</v>
      </c>
      <c r="K378" s="38">
        <f t="shared" si="25"/>
        <v>1</v>
      </c>
      <c r="L378" s="39">
        <f t="shared" si="26"/>
        <v>0</v>
      </c>
      <c r="M378" s="40">
        <f t="shared" ca="1" si="27"/>
        <v>-1</v>
      </c>
      <c r="N378">
        <f t="shared" si="28"/>
        <v>14</v>
      </c>
      <c r="O378" t="str">
        <f t="shared" si="29"/>
        <v>Switch</v>
      </c>
    </row>
    <row r="379" spans="1:16" ht="14.25" customHeight="1">
      <c r="A379">
        <v>116</v>
      </c>
      <c r="B379" s="35" t="s">
        <v>20</v>
      </c>
      <c r="C379" s="37" t="s">
        <v>87</v>
      </c>
      <c r="D379" s="37" t="s">
        <v>364</v>
      </c>
      <c r="E379" s="37" t="s">
        <v>74</v>
      </c>
      <c r="F379" s="37">
        <v>1</v>
      </c>
      <c r="G379" s="37"/>
      <c r="H379" s="86"/>
      <c r="I379" s="86">
        <v>46112</v>
      </c>
      <c r="J379" s="37" t="s">
        <v>4</v>
      </c>
      <c r="K379" s="38">
        <f t="shared" si="25"/>
        <v>1</v>
      </c>
      <c r="L379" s="39">
        <f t="shared" si="26"/>
        <v>0</v>
      </c>
      <c r="M379" s="40">
        <f t="shared" ca="1" si="27"/>
        <v>-1</v>
      </c>
      <c r="N379">
        <f t="shared" si="28"/>
        <v>14</v>
      </c>
      <c r="O379" t="str">
        <f t="shared" si="29"/>
        <v>Switch</v>
      </c>
    </row>
    <row r="380" spans="1:16" ht="14.25" customHeight="1">
      <c r="A380">
        <v>119</v>
      </c>
      <c r="B380" s="35" t="s">
        <v>20</v>
      </c>
      <c r="C380" s="37" t="s">
        <v>87</v>
      </c>
      <c r="D380" s="37" t="s">
        <v>365</v>
      </c>
      <c r="E380" s="37" t="s">
        <v>74</v>
      </c>
      <c r="F380" s="37">
        <v>1</v>
      </c>
      <c r="G380" s="37"/>
      <c r="H380" s="86"/>
      <c r="I380" s="86">
        <v>46112</v>
      </c>
      <c r="J380" s="37" t="s">
        <v>4</v>
      </c>
      <c r="K380" s="38">
        <f t="shared" si="25"/>
        <v>1</v>
      </c>
      <c r="L380" s="39">
        <f t="shared" si="26"/>
        <v>0</v>
      </c>
      <c r="M380" s="40">
        <f t="shared" ca="1" si="27"/>
        <v>-1</v>
      </c>
      <c r="N380">
        <f t="shared" si="28"/>
        <v>14</v>
      </c>
      <c r="O380" t="str">
        <f t="shared" si="29"/>
        <v>Switch</v>
      </c>
    </row>
    <row r="381" spans="1:16" ht="14.25" customHeight="1">
      <c r="A381">
        <v>121</v>
      </c>
      <c r="B381" s="35" t="s">
        <v>20</v>
      </c>
      <c r="C381" s="37" t="s">
        <v>87</v>
      </c>
      <c r="D381" s="37" t="s">
        <v>366</v>
      </c>
      <c r="E381" s="37" t="s">
        <v>74</v>
      </c>
      <c r="F381" s="37">
        <v>1</v>
      </c>
      <c r="G381" s="37"/>
      <c r="H381" s="86"/>
      <c r="I381" s="86">
        <v>46112</v>
      </c>
      <c r="J381" s="37" t="s">
        <v>4</v>
      </c>
      <c r="K381" s="38">
        <f t="shared" si="25"/>
        <v>1</v>
      </c>
      <c r="L381" s="39">
        <f t="shared" si="26"/>
        <v>0</v>
      </c>
      <c r="M381" s="40">
        <f t="shared" ca="1" si="27"/>
        <v>-1</v>
      </c>
      <c r="N381">
        <f t="shared" si="28"/>
        <v>14</v>
      </c>
      <c r="O381" t="str">
        <f t="shared" si="29"/>
        <v>Switch</v>
      </c>
    </row>
    <row r="382" spans="1:16" ht="14.25" hidden="1" customHeight="1">
      <c r="A382">
        <v>12</v>
      </c>
      <c r="B382" s="35" t="s">
        <v>20</v>
      </c>
      <c r="C382" s="36" t="s">
        <v>138</v>
      </c>
      <c r="D382" s="37" t="s">
        <v>267</v>
      </c>
      <c r="E382" s="37" t="s">
        <v>78</v>
      </c>
      <c r="F382" s="37">
        <v>12</v>
      </c>
      <c r="G382" s="37">
        <v>12</v>
      </c>
      <c r="H382" s="86">
        <v>46072</v>
      </c>
      <c r="I382" s="86">
        <v>46072</v>
      </c>
      <c r="J382" s="37" t="s">
        <v>75</v>
      </c>
      <c r="K382" s="38">
        <f t="shared" si="25"/>
        <v>0</v>
      </c>
      <c r="L382" s="39">
        <f t="shared" si="26"/>
        <v>1</v>
      </c>
      <c r="M382" s="40">
        <f t="shared" ca="1" si="27"/>
        <v>-41</v>
      </c>
      <c r="N382">
        <f t="shared" si="28"/>
        <v>8</v>
      </c>
      <c r="O382" t="str">
        <f t="shared" si="29"/>
        <v>AP</v>
      </c>
      <c r="P382" s="41" t="s">
        <v>367</v>
      </c>
    </row>
    <row r="383" spans="1:16" ht="14.25" customHeight="1">
      <c r="A383">
        <v>122</v>
      </c>
      <c r="B383" s="35" t="s">
        <v>20</v>
      </c>
      <c r="C383" s="37" t="s">
        <v>87</v>
      </c>
      <c r="D383" s="37" t="s">
        <v>368</v>
      </c>
      <c r="E383" s="37" t="s">
        <v>74</v>
      </c>
      <c r="F383" s="37">
        <v>1</v>
      </c>
      <c r="G383" s="37"/>
      <c r="H383" s="86"/>
      <c r="I383" s="86">
        <v>46112</v>
      </c>
      <c r="J383" s="37" t="s">
        <v>4</v>
      </c>
      <c r="K383" s="38">
        <f t="shared" si="25"/>
        <v>1</v>
      </c>
      <c r="L383" s="39">
        <f t="shared" si="26"/>
        <v>0</v>
      </c>
      <c r="M383" s="40">
        <f t="shared" ca="1" si="27"/>
        <v>-1</v>
      </c>
      <c r="N383">
        <f t="shared" si="28"/>
        <v>14</v>
      </c>
      <c r="O383" t="str">
        <f t="shared" si="29"/>
        <v>Switch</v>
      </c>
    </row>
    <row r="384" spans="1:16" ht="14.25" customHeight="1">
      <c r="A384">
        <v>295</v>
      </c>
      <c r="B384" s="35" t="s">
        <v>20</v>
      </c>
      <c r="C384" s="37" t="s">
        <v>369</v>
      </c>
      <c r="D384" s="37" t="s">
        <v>369</v>
      </c>
      <c r="E384" s="37" t="s">
        <v>80</v>
      </c>
      <c r="F384" s="37">
        <v>1</v>
      </c>
      <c r="G384" s="37"/>
      <c r="H384" s="86"/>
      <c r="I384" s="86">
        <v>46135</v>
      </c>
      <c r="J384" s="37" t="s">
        <v>4</v>
      </c>
      <c r="K384" s="38">
        <f t="shared" si="25"/>
        <v>1</v>
      </c>
      <c r="L384" s="39">
        <f t="shared" si="26"/>
        <v>0</v>
      </c>
      <c r="M384" s="40">
        <f t="shared" ca="1" si="27"/>
        <v>22</v>
      </c>
      <c r="N384">
        <f t="shared" si="28"/>
        <v>17</v>
      </c>
      <c r="O384" t="str">
        <f t="shared" si="29"/>
        <v>Switch</v>
      </c>
    </row>
    <row r="385" spans="1:16" ht="14.25" customHeight="1">
      <c r="A385">
        <v>294</v>
      </c>
      <c r="B385" s="35" t="s">
        <v>20</v>
      </c>
      <c r="C385" s="37" t="s">
        <v>369</v>
      </c>
      <c r="D385" s="37" t="s">
        <v>369</v>
      </c>
      <c r="E385" s="37" t="s">
        <v>74</v>
      </c>
      <c r="F385" s="37">
        <v>1</v>
      </c>
      <c r="G385" s="37"/>
      <c r="H385" s="86"/>
      <c r="I385" s="86">
        <v>46135</v>
      </c>
      <c r="J385" s="37" t="s">
        <v>4</v>
      </c>
      <c r="K385" s="38">
        <f t="shared" si="25"/>
        <v>1</v>
      </c>
      <c r="L385" s="39">
        <f t="shared" si="26"/>
        <v>0</v>
      </c>
      <c r="M385" s="40">
        <f t="shared" ca="1" si="27"/>
        <v>22</v>
      </c>
      <c r="N385">
        <f t="shared" si="28"/>
        <v>17</v>
      </c>
      <c r="O385" t="str">
        <f t="shared" si="29"/>
        <v>Switch</v>
      </c>
    </row>
    <row r="386" spans="1:16" ht="14.25" hidden="1" customHeight="1">
      <c r="A386">
        <v>16</v>
      </c>
      <c r="B386" s="35" t="s">
        <v>20</v>
      </c>
      <c r="C386" s="36" t="s">
        <v>138</v>
      </c>
      <c r="D386" s="37" t="s">
        <v>268</v>
      </c>
      <c r="E386" s="37" t="s">
        <v>78</v>
      </c>
      <c r="F386" s="37">
        <v>9</v>
      </c>
      <c r="G386" s="37">
        <v>9</v>
      </c>
      <c r="H386" s="86">
        <v>46071</v>
      </c>
      <c r="I386" s="86">
        <v>46071</v>
      </c>
      <c r="J386" s="37" t="s">
        <v>75</v>
      </c>
      <c r="K386" s="38">
        <f t="shared" ref="K386:K449" si="30">F386-G386</f>
        <v>0</v>
      </c>
      <c r="L386" s="39">
        <f t="shared" ref="L386:L449" si="31">IF(F386=0,"",G386/F386)</f>
        <v>1</v>
      </c>
      <c r="M386" s="40">
        <f t="shared" ref="M386:M449" ca="1" si="32">I386-TODAY()</f>
        <v>-42</v>
      </c>
      <c r="N386">
        <f t="shared" ref="N386:N449" si="33">_xlfn.ISOWEEKNUM(I386)</f>
        <v>8</v>
      </c>
      <c r="O386" t="str">
        <f t="shared" ref="O386:O449" si="34">IF(ISNUMBER(SEARCH("Access Point",E386)),"AP",IF(OR(ISNUMBER(SEARCH("Switch",E386)),ISNUMBER(SEARCH("Control Type",E386))),"Switch","Infra"))</f>
        <v>AP</v>
      </c>
      <c r="P386" s="41" t="s">
        <v>367</v>
      </c>
    </row>
    <row r="387" spans="1:16" ht="14.25" customHeight="1">
      <c r="A387">
        <v>293</v>
      </c>
      <c r="B387" s="35" t="s">
        <v>20</v>
      </c>
      <c r="C387" s="37" t="s">
        <v>370</v>
      </c>
      <c r="D387" s="37" t="s">
        <v>370</v>
      </c>
      <c r="E387" s="37" t="s">
        <v>80</v>
      </c>
      <c r="F387" s="37">
        <v>1</v>
      </c>
      <c r="G387" s="37"/>
      <c r="H387" s="86"/>
      <c r="I387" s="86">
        <v>46135</v>
      </c>
      <c r="J387" s="37" t="s">
        <v>4</v>
      </c>
      <c r="K387" s="38">
        <f t="shared" si="30"/>
        <v>1</v>
      </c>
      <c r="L387" s="39">
        <f t="shared" si="31"/>
        <v>0</v>
      </c>
      <c r="M387" s="40">
        <f t="shared" ca="1" si="32"/>
        <v>22</v>
      </c>
      <c r="N387">
        <f t="shared" si="33"/>
        <v>17</v>
      </c>
      <c r="O387" t="str">
        <f t="shared" si="34"/>
        <v>Switch</v>
      </c>
    </row>
    <row r="388" spans="1:16" ht="14.25" customHeight="1">
      <c r="A388">
        <v>292</v>
      </c>
      <c r="B388" s="35" t="s">
        <v>20</v>
      </c>
      <c r="C388" s="37" t="s">
        <v>370</v>
      </c>
      <c r="D388" s="37" t="s">
        <v>370</v>
      </c>
      <c r="E388" s="37" t="s">
        <v>74</v>
      </c>
      <c r="F388" s="37">
        <v>1</v>
      </c>
      <c r="G388" s="37"/>
      <c r="H388" s="86"/>
      <c r="I388" s="86">
        <v>46135</v>
      </c>
      <c r="J388" s="37" t="s">
        <v>4</v>
      </c>
      <c r="K388" s="38">
        <f t="shared" si="30"/>
        <v>1</v>
      </c>
      <c r="L388" s="39">
        <f t="shared" si="31"/>
        <v>0</v>
      </c>
      <c r="M388" s="40">
        <f t="shared" ca="1" si="32"/>
        <v>22</v>
      </c>
      <c r="N388">
        <f t="shared" si="33"/>
        <v>17</v>
      </c>
      <c r="O388" t="str">
        <f t="shared" si="34"/>
        <v>Switch</v>
      </c>
    </row>
    <row r="389" spans="1:16" ht="14.25" customHeight="1">
      <c r="A389">
        <v>291</v>
      </c>
      <c r="B389" s="35" t="s">
        <v>20</v>
      </c>
      <c r="C389" s="37" t="s">
        <v>371</v>
      </c>
      <c r="D389" s="37" t="s">
        <v>371</v>
      </c>
      <c r="E389" s="37" t="s">
        <v>80</v>
      </c>
      <c r="F389" s="37">
        <v>1</v>
      </c>
      <c r="G389" s="37"/>
      <c r="H389" s="86"/>
      <c r="I389" s="86">
        <v>46136</v>
      </c>
      <c r="J389" s="37" t="s">
        <v>4</v>
      </c>
      <c r="K389" s="38">
        <f t="shared" si="30"/>
        <v>1</v>
      </c>
      <c r="L389" s="39">
        <f t="shared" si="31"/>
        <v>0</v>
      </c>
      <c r="M389" s="40">
        <f t="shared" ca="1" si="32"/>
        <v>23</v>
      </c>
      <c r="N389">
        <f t="shared" si="33"/>
        <v>17</v>
      </c>
      <c r="O389" t="str">
        <f t="shared" si="34"/>
        <v>Switch</v>
      </c>
    </row>
    <row r="390" spans="1:16" ht="14.25" customHeight="1">
      <c r="A390">
        <v>290</v>
      </c>
      <c r="B390" s="35" t="s">
        <v>20</v>
      </c>
      <c r="C390" s="37" t="s">
        <v>371</v>
      </c>
      <c r="D390" s="37" t="s">
        <v>371</v>
      </c>
      <c r="E390" s="37" t="s">
        <v>74</v>
      </c>
      <c r="F390" s="37">
        <v>1</v>
      </c>
      <c r="G390" s="37"/>
      <c r="H390" s="86"/>
      <c r="I390" s="86">
        <v>46136</v>
      </c>
      <c r="J390" s="37" t="s">
        <v>4</v>
      </c>
      <c r="K390" s="38">
        <f t="shared" si="30"/>
        <v>1</v>
      </c>
      <c r="L390" s="39">
        <f t="shared" si="31"/>
        <v>0</v>
      </c>
      <c r="M390" s="40">
        <f t="shared" ca="1" si="32"/>
        <v>23</v>
      </c>
      <c r="N390">
        <f t="shared" si="33"/>
        <v>17</v>
      </c>
      <c r="O390" t="str">
        <f t="shared" si="34"/>
        <v>Switch</v>
      </c>
    </row>
    <row r="391" spans="1:16" ht="14.25" customHeight="1">
      <c r="A391">
        <v>296</v>
      </c>
      <c r="B391" s="35" t="s">
        <v>20</v>
      </c>
      <c r="C391" s="37" t="s">
        <v>372</v>
      </c>
      <c r="D391" s="36" t="s">
        <v>373</v>
      </c>
      <c r="E391" s="37" t="s">
        <v>74</v>
      </c>
      <c r="F391" s="37">
        <v>1</v>
      </c>
      <c r="G391" s="37"/>
      <c r="H391" s="86"/>
      <c r="I391" s="86">
        <v>46174</v>
      </c>
      <c r="J391" s="37" t="s">
        <v>5</v>
      </c>
      <c r="K391" s="38">
        <f t="shared" si="30"/>
        <v>1</v>
      </c>
      <c r="L391" s="39">
        <f t="shared" si="31"/>
        <v>0</v>
      </c>
      <c r="M391" s="40">
        <f t="shared" ca="1" si="32"/>
        <v>61</v>
      </c>
      <c r="N391">
        <f t="shared" si="33"/>
        <v>23</v>
      </c>
      <c r="O391" t="str">
        <f t="shared" si="34"/>
        <v>Switch</v>
      </c>
      <c r="P391" t="s">
        <v>374</v>
      </c>
    </row>
    <row r="392" spans="1:16" ht="14.25" hidden="1" customHeight="1">
      <c r="A392">
        <v>21</v>
      </c>
      <c r="B392" s="35" t="s">
        <v>20</v>
      </c>
      <c r="C392" s="36" t="s">
        <v>138</v>
      </c>
      <c r="D392" s="37" t="s">
        <v>278</v>
      </c>
      <c r="E392" s="37" t="s">
        <v>78</v>
      </c>
      <c r="F392" s="37">
        <v>15</v>
      </c>
      <c r="G392" s="37">
        <v>15</v>
      </c>
      <c r="H392" s="86">
        <v>46070</v>
      </c>
      <c r="I392" s="86">
        <v>46070</v>
      </c>
      <c r="J392" s="37" t="s">
        <v>75</v>
      </c>
      <c r="K392" s="38">
        <f t="shared" si="30"/>
        <v>0</v>
      </c>
      <c r="L392" s="39">
        <f t="shared" si="31"/>
        <v>1</v>
      </c>
      <c r="M392" s="40">
        <f t="shared" ca="1" si="32"/>
        <v>-43</v>
      </c>
      <c r="N392">
        <f t="shared" si="33"/>
        <v>8</v>
      </c>
      <c r="O392" t="str">
        <f t="shared" si="34"/>
        <v>AP</v>
      </c>
      <c r="P392" s="41" t="s">
        <v>367</v>
      </c>
    </row>
    <row r="393" spans="1:16" ht="14.25" customHeight="1">
      <c r="A393">
        <v>284</v>
      </c>
      <c r="B393" s="35" t="s">
        <v>20</v>
      </c>
      <c r="C393" s="36" t="s">
        <v>344</v>
      </c>
      <c r="D393" s="36" t="s">
        <v>345</v>
      </c>
      <c r="E393" s="37" t="s">
        <v>142</v>
      </c>
      <c r="F393" s="37">
        <v>1</v>
      </c>
      <c r="G393" s="37"/>
      <c r="H393" s="86"/>
      <c r="I393" s="86">
        <v>46134</v>
      </c>
      <c r="J393" s="37" t="s">
        <v>4</v>
      </c>
      <c r="K393" s="38">
        <f t="shared" si="30"/>
        <v>1</v>
      </c>
      <c r="L393" s="39">
        <f t="shared" si="31"/>
        <v>0</v>
      </c>
      <c r="M393" s="40">
        <f t="shared" ca="1" si="32"/>
        <v>21</v>
      </c>
      <c r="N393">
        <f t="shared" si="33"/>
        <v>17</v>
      </c>
      <c r="O393" t="str">
        <f t="shared" si="34"/>
        <v>Switch</v>
      </c>
    </row>
    <row r="394" spans="1:16" ht="14.25" customHeight="1">
      <c r="A394">
        <v>283</v>
      </c>
      <c r="B394" s="35" t="s">
        <v>20</v>
      </c>
      <c r="C394" s="36" t="s">
        <v>344</v>
      </c>
      <c r="D394" s="36" t="s">
        <v>345</v>
      </c>
      <c r="E394" s="37" t="s">
        <v>140</v>
      </c>
      <c r="F394" s="37">
        <v>1</v>
      </c>
      <c r="G394" s="37"/>
      <c r="H394" s="86"/>
      <c r="I394" s="86">
        <v>46134</v>
      </c>
      <c r="J394" s="37" t="s">
        <v>4</v>
      </c>
      <c r="K394" s="38">
        <f t="shared" si="30"/>
        <v>1</v>
      </c>
      <c r="L394" s="39">
        <f t="shared" si="31"/>
        <v>0</v>
      </c>
      <c r="M394" s="40">
        <f t="shared" ca="1" si="32"/>
        <v>21</v>
      </c>
      <c r="N394">
        <f t="shared" si="33"/>
        <v>17</v>
      </c>
      <c r="O394" t="str">
        <f t="shared" si="34"/>
        <v>Switch</v>
      </c>
    </row>
    <row r="395" spans="1:16" ht="14.25" customHeight="1">
      <c r="A395">
        <v>277</v>
      </c>
      <c r="B395" s="35" t="s">
        <v>20</v>
      </c>
      <c r="C395" s="36" t="s">
        <v>346</v>
      </c>
      <c r="D395" s="36" t="s">
        <v>345</v>
      </c>
      <c r="E395" s="37" t="s">
        <v>142</v>
      </c>
      <c r="F395" s="37">
        <v>2</v>
      </c>
      <c r="G395" s="37"/>
      <c r="H395" s="86"/>
      <c r="I395" s="86">
        <v>46132</v>
      </c>
      <c r="J395" s="37" t="s">
        <v>4</v>
      </c>
      <c r="K395" s="38">
        <f t="shared" si="30"/>
        <v>2</v>
      </c>
      <c r="L395" s="39">
        <f t="shared" si="31"/>
        <v>0</v>
      </c>
      <c r="M395" s="40">
        <f t="shared" ca="1" si="32"/>
        <v>19</v>
      </c>
      <c r="N395">
        <f t="shared" si="33"/>
        <v>17</v>
      </c>
      <c r="O395" t="str">
        <f t="shared" si="34"/>
        <v>Switch</v>
      </c>
    </row>
    <row r="396" spans="1:16" ht="14.25" customHeight="1">
      <c r="A396">
        <v>276</v>
      </c>
      <c r="B396" s="35" t="s">
        <v>20</v>
      </c>
      <c r="C396" s="36" t="s">
        <v>346</v>
      </c>
      <c r="D396" s="36" t="s">
        <v>345</v>
      </c>
      <c r="E396" s="37" t="s">
        <v>140</v>
      </c>
      <c r="F396" s="37">
        <v>2</v>
      </c>
      <c r="G396" s="37"/>
      <c r="H396" s="86"/>
      <c r="I396" s="86">
        <v>46132</v>
      </c>
      <c r="J396" s="37" t="s">
        <v>4</v>
      </c>
      <c r="K396" s="38">
        <f t="shared" si="30"/>
        <v>2</v>
      </c>
      <c r="L396" s="39">
        <f t="shared" si="31"/>
        <v>0</v>
      </c>
      <c r="M396" s="40">
        <f t="shared" ca="1" si="32"/>
        <v>19</v>
      </c>
      <c r="N396">
        <f t="shared" si="33"/>
        <v>17</v>
      </c>
      <c r="O396" t="str">
        <f t="shared" si="34"/>
        <v>Switch</v>
      </c>
    </row>
    <row r="397" spans="1:16" ht="14.25" customHeight="1">
      <c r="A397">
        <v>280</v>
      </c>
      <c r="B397" s="35" t="s">
        <v>20</v>
      </c>
      <c r="C397" s="36" t="s">
        <v>347</v>
      </c>
      <c r="D397" s="37" t="s">
        <v>375</v>
      </c>
      <c r="E397" s="37" t="s">
        <v>80</v>
      </c>
      <c r="F397" s="37">
        <v>2</v>
      </c>
      <c r="G397" s="37"/>
      <c r="H397" s="86"/>
      <c r="I397" s="86">
        <v>46133</v>
      </c>
      <c r="J397" s="37" t="s">
        <v>4</v>
      </c>
      <c r="K397" s="38">
        <f t="shared" si="30"/>
        <v>2</v>
      </c>
      <c r="L397" s="39">
        <f t="shared" si="31"/>
        <v>0</v>
      </c>
      <c r="M397" s="40">
        <f t="shared" ca="1" si="32"/>
        <v>20</v>
      </c>
      <c r="N397">
        <f t="shared" si="33"/>
        <v>17</v>
      </c>
      <c r="O397" t="str">
        <f t="shared" si="34"/>
        <v>Switch</v>
      </c>
    </row>
    <row r="398" spans="1:16" ht="14.25" customHeight="1">
      <c r="A398">
        <v>279</v>
      </c>
      <c r="B398" s="35" t="s">
        <v>20</v>
      </c>
      <c r="C398" s="36" t="s">
        <v>347</v>
      </c>
      <c r="D398" s="37" t="s">
        <v>375</v>
      </c>
      <c r="E398" s="37" t="s">
        <v>140</v>
      </c>
      <c r="F398" s="37">
        <v>1</v>
      </c>
      <c r="G398" s="37"/>
      <c r="H398" s="86"/>
      <c r="I398" s="86">
        <v>46133</v>
      </c>
      <c r="J398" s="37" t="s">
        <v>4</v>
      </c>
      <c r="K398" s="38">
        <f t="shared" si="30"/>
        <v>1</v>
      </c>
      <c r="L398" s="39">
        <f t="shared" si="31"/>
        <v>0</v>
      </c>
      <c r="M398" s="40">
        <f t="shared" ca="1" si="32"/>
        <v>20</v>
      </c>
      <c r="N398">
        <f t="shared" si="33"/>
        <v>17</v>
      </c>
      <c r="O398" t="str">
        <f t="shared" si="34"/>
        <v>Switch</v>
      </c>
    </row>
    <row r="399" spans="1:16" ht="14.25" customHeight="1">
      <c r="A399">
        <v>289</v>
      </c>
      <c r="B399" s="35" t="s">
        <v>20</v>
      </c>
      <c r="C399" s="36" t="s">
        <v>349</v>
      </c>
      <c r="D399" s="36" t="s">
        <v>376</v>
      </c>
      <c r="E399" s="37" t="s">
        <v>80</v>
      </c>
      <c r="F399" s="37">
        <v>2</v>
      </c>
      <c r="G399" s="37"/>
      <c r="H399" s="86"/>
      <c r="I399" s="86">
        <v>46134</v>
      </c>
      <c r="J399" s="37" t="s">
        <v>4</v>
      </c>
      <c r="K399" s="38">
        <f t="shared" si="30"/>
        <v>2</v>
      </c>
      <c r="L399" s="39">
        <f t="shared" si="31"/>
        <v>0</v>
      </c>
      <c r="M399" s="40">
        <f t="shared" ca="1" si="32"/>
        <v>21</v>
      </c>
      <c r="N399">
        <f t="shared" si="33"/>
        <v>17</v>
      </c>
      <c r="O399" t="str">
        <f t="shared" si="34"/>
        <v>Switch</v>
      </c>
    </row>
    <row r="400" spans="1:16" ht="14.25" customHeight="1">
      <c r="A400">
        <v>288</v>
      </c>
      <c r="B400" s="35" t="s">
        <v>20</v>
      </c>
      <c r="C400" s="36" t="s">
        <v>349</v>
      </c>
      <c r="D400" s="36" t="s">
        <v>376</v>
      </c>
      <c r="E400" s="37" t="s">
        <v>140</v>
      </c>
      <c r="F400" s="37">
        <v>1</v>
      </c>
      <c r="G400" s="37"/>
      <c r="H400" s="86"/>
      <c r="I400" s="86">
        <v>46134</v>
      </c>
      <c r="J400" s="37" t="s">
        <v>4</v>
      </c>
      <c r="K400" s="38">
        <f t="shared" si="30"/>
        <v>1</v>
      </c>
      <c r="L400" s="39">
        <f t="shared" si="31"/>
        <v>0</v>
      </c>
      <c r="M400" s="40">
        <f t="shared" ca="1" si="32"/>
        <v>21</v>
      </c>
      <c r="N400">
        <f t="shared" si="33"/>
        <v>17</v>
      </c>
      <c r="O400" t="str">
        <f t="shared" si="34"/>
        <v>Switch</v>
      </c>
    </row>
    <row r="401" spans="1:16" ht="14.25" customHeight="1">
      <c r="A401">
        <v>274</v>
      </c>
      <c r="B401" s="35" t="s">
        <v>20</v>
      </c>
      <c r="C401" s="36" t="s">
        <v>352</v>
      </c>
      <c r="D401" s="37" t="s">
        <v>377</v>
      </c>
      <c r="E401" s="37" t="s">
        <v>80</v>
      </c>
      <c r="F401" s="37">
        <v>4</v>
      </c>
      <c r="G401" s="37"/>
      <c r="H401" s="86"/>
      <c r="I401" s="86">
        <v>46128</v>
      </c>
      <c r="J401" s="37" t="s">
        <v>4</v>
      </c>
      <c r="K401" s="38">
        <f t="shared" si="30"/>
        <v>4</v>
      </c>
      <c r="L401" s="39">
        <f t="shared" si="31"/>
        <v>0</v>
      </c>
      <c r="M401" s="40">
        <f t="shared" ca="1" si="32"/>
        <v>15</v>
      </c>
      <c r="N401">
        <f t="shared" si="33"/>
        <v>16</v>
      </c>
      <c r="O401" t="str">
        <f t="shared" si="34"/>
        <v>Switch</v>
      </c>
    </row>
    <row r="402" spans="1:16" ht="14.25" hidden="1" customHeight="1">
      <c r="A402">
        <v>30</v>
      </c>
      <c r="B402" s="35" t="s">
        <v>20</v>
      </c>
      <c r="C402" s="36" t="s">
        <v>138</v>
      </c>
      <c r="D402" s="37" t="s">
        <v>270</v>
      </c>
      <c r="E402" s="37" t="s">
        <v>78</v>
      </c>
      <c r="F402" s="37">
        <v>7</v>
      </c>
      <c r="G402" s="37">
        <v>7</v>
      </c>
      <c r="H402" s="86">
        <v>46071</v>
      </c>
      <c r="I402" s="86">
        <v>46071</v>
      </c>
      <c r="J402" s="37" t="s">
        <v>75</v>
      </c>
      <c r="K402" s="38">
        <f t="shared" si="30"/>
        <v>0</v>
      </c>
      <c r="L402" s="39">
        <f t="shared" si="31"/>
        <v>1</v>
      </c>
      <c r="M402" s="40">
        <f t="shared" ca="1" si="32"/>
        <v>-42</v>
      </c>
      <c r="N402">
        <f t="shared" si="33"/>
        <v>8</v>
      </c>
      <c r="O402" t="str">
        <f t="shared" si="34"/>
        <v>AP</v>
      </c>
      <c r="P402" s="41" t="s">
        <v>367</v>
      </c>
    </row>
    <row r="403" spans="1:16" ht="14.25" customHeight="1">
      <c r="A403">
        <v>273</v>
      </c>
      <c r="B403" s="35" t="s">
        <v>20</v>
      </c>
      <c r="C403" s="36" t="s">
        <v>352</v>
      </c>
      <c r="D403" s="37" t="s">
        <v>377</v>
      </c>
      <c r="E403" s="37" t="s">
        <v>74</v>
      </c>
      <c r="F403" s="37">
        <v>6</v>
      </c>
      <c r="G403" s="37"/>
      <c r="H403" s="86"/>
      <c r="I403" s="86">
        <v>46128</v>
      </c>
      <c r="J403" s="37" t="s">
        <v>4</v>
      </c>
      <c r="K403" s="38">
        <f t="shared" si="30"/>
        <v>6</v>
      </c>
      <c r="L403" s="39">
        <f t="shared" si="31"/>
        <v>0</v>
      </c>
      <c r="M403" s="40">
        <f t="shared" ca="1" si="32"/>
        <v>15</v>
      </c>
      <c r="N403">
        <f t="shared" si="33"/>
        <v>16</v>
      </c>
      <c r="O403" t="str">
        <f t="shared" si="34"/>
        <v>Switch</v>
      </c>
    </row>
    <row r="404" spans="1:16" ht="14.25" customHeight="1">
      <c r="A404">
        <v>297</v>
      </c>
      <c r="B404" s="35" t="s">
        <v>20</v>
      </c>
      <c r="C404" s="36" t="s">
        <v>378</v>
      </c>
      <c r="D404" s="36" t="s">
        <v>379</v>
      </c>
      <c r="E404" s="37" t="s">
        <v>140</v>
      </c>
      <c r="F404" s="37">
        <v>1</v>
      </c>
      <c r="G404" s="37"/>
      <c r="H404" s="86"/>
      <c r="I404" s="86">
        <v>46135</v>
      </c>
      <c r="J404" s="37" t="s">
        <v>4</v>
      </c>
      <c r="K404" s="38">
        <f t="shared" si="30"/>
        <v>1</v>
      </c>
      <c r="L404" s="39">
        <f t="shared" si="31"/>
        <v>0</v>
      </c>
      <c r="M404" s="40">
        <f t="shared" ca="1" si="32"/>
        <v>22</v>
      </c>
      <c r="N404">
        <f t="shared" si="33"/>
        <v>17</v>
      </c>
      <c r="O404" t="str">
        <f t="shared" si="34"/>
        <v>Switch</v>
      </c>
    </row>
    <row r="405" spans="1:16" ht="14.25" customHeight="1">
      <c r="A405">
        <v>298</v>
      </c>
      <c r="B405" s="35" t="s">
        <v>20</v>
      </c>
      <c r="C405" s="36" t="s">
        <v>380</v>
      </c>
      <c r="D405" s="37" t="s">
        <v>375</v>
      </c>
      <c r="E405" s="37" t="s">
        <v>74</v>
      </c>
      <c r="F405" s="37">
        <v>1</v>
      </c>
      <c r="G405" s="37"/>
      <c r="H405" s="86"/>
      <c r="I405" s="86">
        <v>46135</v>
      </c>
      <c r="J405" s="37" t="s">
        <v>4</v>
      </c>
      <c r="K405" s="38">
        <f t="shared" si="30"/>
        <v>1</v>
      </c>
      <c r="L405" s="39">
        <f t="shared" si="31"/>
        <v>0</v>
      </c>
      <c r="M405" s="40">
        <f t="shared" ca="1" si="32"/>
        <v>22</v>
      </c>
      <c r="N405">
        <f t="shared" si="33"/>
        <v>17</v>
      </c>
      <c r="O405" t="str">
        <f t="shared" si="34"/>
        <v>Switch</v>
      </c>
    </row>
    <row r="406" spans="1:16" ht="14.25" customHeight="1">
      <c r="A406">
        <v>266</v>
      </c>
      <c r="B406" s="35" t="s">
        <v>20</v>
      </c>
      <c r="C406" s="36" t="s">
        <v>355</v>
      </c>
      <c r="D406" s="37" t="s">
        <v>381</v>
      </c>
      <c r="E406" s="37" t="s">
        <v>80</v>
      </c>
      <c r="F406" s="37">
        <v>1</v>
      </c>
      <c r="G406" s="37"/>
      <c r="H406" s="86"/>
      <c r="I406" s="86">
        <v>46122</v>
      </c>
      <c r="J406" s="37" t="s">
        <v>4</v>
      </c>
      <c r="K406" s="38">
        <f t="shared" si="30"/>
        <v>1</v>
      </c>
      <c r="L406" s="39">
        <f t="shared" si="31"/>
        <v>0</v>
      </c>
      <c r="M406" s="40">
        <f t="shared" ca="1" si="32"/>
        <v>9</v>
      </c>
      <c r="N406">
        <f t="shared" si="33"/>
        <v>15</v>
      </c>
      <c r="O406" t="str">
        <f t="shared" si="34"/>
        <v>Switch</v>
      </c>
    </row>
    <row r="407" spans="1:16" ht="14.25" customHeight="1">
      <c r="A407">
        <v>268</v>
      </c>
      <c r="B407" s="35" t="s">
        <v>20</v>
      </c>
      <c r="C407" s="36" t="s">
        <v>355</v>
      </c>
      <c r="D407" s="36" t="s">
        <v>382</v>
      </c>
      <c r="E407" s="37" t="s">
        <v>80</v>
      </c>
      <c r="F407" s="37">
        <v>1</v>
      </c>
      <c r="G407" s="37"/>
      <c r="H407" s="86"/>
      <c r="I407" s="86">
        <v>46122</v>
      </c>
      <c r="J407" s="37" t="s">
        <v>4</v>
      </c>
      <c r="K407" s="38">
        <f t="shared" si="30"/>
        <v>1</v>
      </c>
      <c r="L407" s="39">
        <f t="shared" si="31"/>
        <v>0</v>
      </c>
      <c r="M407" s="40">
        <f t="shared" ca="1" si="32"/>
        <v>9</v>
      </c>
      <c r="N407">
        <f t="shared" si="33"/>
        <v>15</v>
      </c>
      <c r="O407" t="str">
        <f t="shared" si="34"/>
        <v>Switch</v>
      </c>
    </row>
    <row r="408" spans="1:16" ht="14.25" customHeight="1">
      <c r="A408">
        <v>267</v>
      </c>
      <c r="B408" s="35" t="s">
        <v>20</v>
      </c>
      <c r="C408" s="36" t="s">
        <v>355</v>
      </c>
      <c r="D408" s="36" t="s">
        <v>382</v>
      </c>
      <c r="E408" s="37" t="s">
        <v>74</v>
      </c>
      <c r="F408" s="37">
        <v>1</v>
      </c>
      <c r="G408" s="37"/>
      <c r="H408" s="86"/>
      <c r="I408" s="86">
        <v>46122</v>
      </c>
      <c r="J408" s="37" t="s">
        <v>4</v>
      </c>
      <c r="K408" s="38">
        <f t="shared" si="30"/>
        <v>1</v>
      </c>
      <c r="L408" s="39">
        <f t="shared" si="31"/>
        <v>0</v>
      </c>
      <c r="M408" s="40">
        <f t="shared" ca="1" si="32"/>
        <v>9</v>
      </c>
      <c r="N408">
        <f t="shared" si="33"/>
        <v>15</v>
      </c>
      <c r="O408" t="str">
        <f t="shared" si="34"/>
        <v>Switch</v>
      </c>
    </row>
    <row r="409" spans="1:16" ht="14.25" customHeight="1">
      <c r="A409">
        <v>271</v>
      </c>
      <c r="B409" s="35" t="s">
        <v>20</v>
      </c>
      <c r="C409" s="36" t="s">
        <v>355</v>
      </c>
      <c r="D409" s="36" t="s">
        <v>383</v>
      </c>
      <c r="E409" s="37" t="s">
        <v>80</v>
      </c>
      <c r="F409" s="37">
        <v>1</v>
      </c>
      <c r="G409" s="37"/>
      <c r="H409" s="86"/>
      <c r="I409" s="86">
        <v>46122</v>
      </c>
      <c r="J409" s="37" t="s">
        <v>4</v>
      </c>
      <c r="K409" s="38">
        <f t="shared" si="30"/>
        <v>1</v>
      </c>
      <c r="L409" s="39">
        <f t="shared" si="31"/>
        <v>0</v>
      </c>
      <c r="M409" s="40">
        <f t="shared" ca="1" si="32"/>
        <v>9</v>
      </c>
      <c r="N409">
        <f t="shared" si="33"/>
        <v>15</v>
      </c>
      <c r="O409" t="str">
        <f t="shared" si="34"/>
        <v>Switch</v>
      </c>
    </row>
    <row r="410" spans="1:16" ht="14.25" customHeight="1">
      <c r="A410">
        <v>270</v>
      </c>
      <c r="B410" s="35" t="s">
        <v>20</v>
      </c>
      <c r="C410" s="36" t="s">
        <v>355</v>
      </c>
      <c r="D410" s="36" t="s">
        <v>383</v>
      </c>
      <c r="E410" s="37" t="s">
        <v>74</v>
      </c>
      <c r="F410" s="37">
        <v>1</v>
      </c>
      <c r="G410" s="37"/>
      <c r="H410" s="86"/>
      <c r="I410" s="86">
        <v>46122</v>
      </c>
      <c r="J410" s="37" t="s">
        <v>4</v>
      </c>
      <c r="K410" s="38">
        <f t="shared" si="30"/>
        <v>1</v>
      </c>
      <c r="L410" s="39">
        <f t="shared" si="31"/>
        <v>0</v>
      </c>
      <c r="M410" s="40">
        <f t="shared" ca="1" si="32"/>
        <v>9</v>
      </c>
      <c r="N410">
        <f t="shared" si="33"/>
        <v>15</v>
      </c>
      <c r="O410" t="str">
        <f t="shared" si="34"/>
        <v>Switch</v>
      </c>
    </row>
    <row r="411" spans="1:16" ht="14.25" customHeight="1">
      <c r="A411">
        <v>269</v>
      </c>
      <c r="B411" s="35" t="s">
        <v>20</v>
      </c>
      <c r="C411" s="36" t="s">
        <v>355</v>
      </c>
      <c r="D411" s="36" t="s">
        <v>384</v>
      </c>
      <c r="E411" s="37" t="s">
        <v>74</v>
      </c>
      <c r="F411" s="37">
        <v>1</v>
      </c>
      <c r="G411" s="37"/>
      <c r="H411" s="86"/>
      <c r="I411" s="86">
        <v>46122</v>
      </c>
      <c r="J411" s="37" t="s">
        <v>4</v>
      </c>
      <c r="K411" s="38">
        <f t="shared" si="30"/>
        <v>1</v>
      </c>
      <c r="L411" s="39">
        <f t="shared" si="31"/>
        <v>0</v>
      </c>
      <c r="M411" s="40">
        <f t="shared" ca="1" si="32"/>
        <v>9</v>
      </c>
      <c r="N411">
        <f t="shared" si="33"/>
        <v>15</v>
      </c>
      <c r="O411" t="str">
        <f t="shared" si="34"/>
        <v>Switch</v>
      </c>
    </row>
    <row r="412" spans="1:16" ht="14.25" customHeight="1">
      <c r="A412">
        <v>3</v>
      </c>
      <c r="B412" s="35" t="s">
        <v>20</v>
      </c>
      <c r="C412" s="36" t="s">
        <v>138</v>
      </c>
      <c r="D412" s="37" t="s">
        <v>385</v>
      </c>
      <c r="E412" s="37" t="s">
        <v>74</v>
      </c>
      <c r="F412" s="37">
        <v>2</v>
      </c>
      <c r="G412" s="37"/>
      <c r="H412" s="86"/>
      <c r="I412" s="86">
        <v>46129</v>
      </c>
      <c r="J412" s="37" t="s">
        <v>4</v>
      </c>
      <c r="K412" s="38">
        <f t="shared" si="30"/>
        <v>2</v>
      </c>
      <c r="L412" s="39">
        <f t="shared" si="31"/>
        <v>0</v>
      </c>
      <c r="M412" s="40">
        <f t="shared" ca="1" si="32"/>
        <v>16</v>
      </c>
      <c r="N412">
        <f t="shared" si="33"/>
        <v>16</v>
      </c>
      <c r="O412" t="str">
        <f t="shared" si="34"/>
        <v>Switch</v>
      </c>
    </row>
    <row r="413" spans="1:16" ht="14.25" customHeight="1">
      <c r="A413">
        <v>6</v>
      </c>
      <c r="B413" s="35" t="s">
        <v>20</v>
      </c>
      <c r="C413" s="36" t="s">
        <v>138</v>
      </c>
      <c r="D413" s="37" t="s">
        <v>386</v>
      </c>
      <c r="E413" s="37" t="s">
        <v>80</v>
      </c>
      <c r="F413" s="37">
        <v>1</v>
      </c>
      <c r="G413" s="37"/>
      <c r="H413" s="86"/>
      <c r="I413" s="86">
        <v>46129</v>
      </c>
      <c r="J413" s="37" t="s">
        <v>4</v>
      </c>
      <c r="K413" s="38">
        <f t="shared" si="30"/>
        <v>1</v>
      </c>
      <c r="L413" s="39">
        <f t="shared" si="31"/>
        <v>0</v>
      </c>
      <c r="M413" s="40">
        <f t="shared" ca="1" si="32"/>
        <v>16</v>
      </c>
      <c r="N413">
        <f t="shared" si="33"/>
        <v>16</v>
      </c>
      <c r="O413" t="str">
        <f t="shared" si="34"/>
        <v>Switch</v>
      </c>
    </row>
    <row r="414" spans="1:16" ht="14.25" customHeight="1">
      <c r="A414">
        <v>5</v>
      </c>
      <c r="B414" s="35" t="s">
        <v>20</v>
      </c>
      <c r="C414" s="36" t="s">
        <v>138</v>
      </c>
      <c r="D414" s="37" t="s">
        <v>386</v>
      </c>
      <c r="E414" s="37" t="s">
        <v>140</v>
      </c>
      <c r="F414" s="37">
        <v>5</v>
      </c>
      <c r="G414" s="37"/>
      <c r="H414" s="86"/>
      <c r="I414" s="86">
        <v>46129</v>
      </c>
      <c r="J414" s="37" t="s">
        <v>4</v>
      </c>
      <c r="K414" s="38">
        <f t="shared" si="30"/>
        <v>5</v>
      </c>
      <c r="L414" s="39">
        <f t="shared" si="31"/>
        <v>0</v>
      </c>
      <c r="M414" s="40">
        <f t="shared" ca="1" si="32"/>
        <v>16</v>
      </c>
      <c r="N414">
        <f t="shared" si="33"/>
        <v>16</v>
      </c>
      <c r="O414" t="str">
        <f t="shared" si="34"/>
        <v>Switch</v>
      </c>
    </row>
    <row r="415" spans="1:16" ht="14.25" customHeight="1">
      <c r="A415">
        <v>36</v>
      </c>
      <c r="B415" s="35" t="s">
        <v>20</v>
      </c>
      <c r="C415" s="36" t="s">
        <v>138</v>
      </c>
      <c r="D415" s="36" t="s">
        <v>210</v>
      </c>
      <c r="E415" s="37" t="s">
        <v>74</v>
      </c>
      <c r="F415" s="37">
        <v>1</v>
      </c>
      <c r="G415" s="37">
        <v>1</v>
      </c>
      <c r="H415" s="86"/>
      <c r="I415" s="86">
        <v>46174</v>
      </c>
      <c r="J415" s="37" t="s">
        <v>5</v>
      </c>
      <c r="K415" s="38">
        <f t="shared" si="30"/>
        <v>0</v>
      </c>
      <c r="L415" s="39">
        <f t="shared" si="31"/>
        <v>1</v>
      </c>
      <c r="M415" s="40">
        <f t="shared" ca="1" si="32"/>
        <v>61</v>
      </c>
      <c r="N415">
        <f t="shared" si="33"/>
        <v>23</v>
      </c>
      <c r="O415" t="str">
        <f t="shared" si="34"/>
        <v>Switch</v>
      </c>
      <c r="P415" s="41" t="s">
        <v>387</v>
      </c>
    </row>
    <row r="416" spans="1:16" ht="14.25" customHeight="1">
      <c r="A416">
        <v>46</v>
      </c>
      <c r="B416" s="35" t="s">
        <v>20</v>
      </c>
      <c r="C416" s="36" t="s">
        <v>138</v>
      </c>
      <c r="D416" s="36" t="s">
        <v>388</v>
      </c>
      <c r="E416" s="37" t="s">
        <v>80</v>
      </c>
      <c r="F416" s="37">
        <v>1</v>
      </c>
      <c r="G416" s="37"/>
      <c r="H416" s="86"/>
      <c r="I416" s="86">
        <v>46132</v>
      </c>
      <c r="J416" s="37" t="s">
        <v>4</v>
      </c>
      <c r="K416" s="38">
        <f t="shared" si="30"/>
        <v>1</v>
      </c>
      <c r="L416" s="39">
        <f t="shared" si="31"/>
        <v>0</v>
      </c>
      <c r="M416" s="40">
        <f t="shared" ca="1" si="32"/>
        <v>19</v>
      </c>
      <c r="N416">
        <f t="shared" si="33"/>
        <v>17</v>
      </c>
      <c r="O416" t="str">
        <f t="shared" si="34"/>
        <v>Switch</v>
      </c>
    </row>
    <row r="417" spans="1:16" ht="14.25" customHeight="1">
      <c r="A417">
        <v>45</v>
      </c>
      <c r="B417" s="35" t="s">
        <v>20</v>
      </c>
      <c r="C417" s="36" t="s">
        <v>138</v>
      </c>
      <c r="D417" s="36" t="s">
        <v>388</v>
      </c>
      <c r="E417" s="37" t="s">
        <v>142</v>
      </c>
      <c r="F417" s="37">
        <v>1</v>
      </c>
      <c r="G417" s="37"/>
      <c r="H417" s="86"/>
      <c r="I417" s="86">
        <v>46132</v>
      </c>
      <c r="J417" s="37" t="s">
        <v>4</v>
      </c>
      <c r="K417" s="38">
        <f t="shared" si="30"/>
        <v>1</v>
      </c>
      <c r="L417" s="39">
        <f t="shared" si="31"/>
        <v>0</v>
      </c>
      <c r="M417" s="40">
        <f t="shared" ca="1" si="32"/>
        <v>19</v>
      </c>
      <c r="N417">
        <f t="shared" si="33"/>
        <v>17</v>
      </c>
      <c r="O417" t="str">
        <f t="shared" si="34"/>
        <v>Switch</v>
      </c>
    </row>
    <row r="418" spans="1:16" ht="14.25" customHeight="1">
      <c r="A418">
        <v>44</v>
      </c>
      <c r="B418" s="35" t="s">
        <v>20</v>
      </c>
      <c r="C418" s="36" t="s">
        <v>138</v>
      </c>
      <c r="D418" s="36" t="s">
        <v>388</v>
      </c>
      <c r="E418" s="37" t="s">
        <v>74</v>
      </c>
      <c r="F418" s="37">
        <v>5</v>
      </c>
      <c r="G418" s="37"/>
      <c r="H418" s="86"/>
      <c r="I418" s="86">
        <v>46132</v>
      </c>
      <c r="J418" s="37" t="s">
        <v>4</v>
      </c>
      <c r="K418" s="38">
        <f t="shared" si="30"/>
        <v>5</v>
      </c>
      <c r="L418" s="39">
        <f t="shared" si="31"/>
        <v>0</v>
      </c>
      <c r="M418" s="40">
        <f t="shared" ca="1" si="32"/>
        <v>19</v>
      </c>
      <c r="N418">
        <f t="shared" si="33"/>
        <v>17</v>
      </c>
      <c r="O418" t="str">
        <f t="shared" si="34"/>
        <v>Switch</v>
      </c>
    </row>
    <row r="419" spans="1:16" ht="14.25" customHeight="1">
      <c r="A419">
        <v>646</v>
      </c>
      <c r="B419" s="35" t="s">
        <v>23</v>
      </c>
      <c r="C419" s="37" t="s">
        <v>389</v>
      </c>
      <c r="D419" s="36" t="s">
        <v>390</v>
      </c>
      <c r="E419" s="37" t="s">
        <v>74</v>
      </c>
      <c r="F419" s="37">
        <v>1</v>
      </c>
      <c r="G419" s="37"/>
      <c r="H419" s="86"/>
      <c r="I419" s="86">
        <v>46178</v>
      </c>
      <c r="J419" s="37" t="s">
        <v>4</v>
      </c>
      <c r="K419" s="38">
        <f t="shared" si="30"/>
        <v>1</v>
      </c>
      <c r="L419" s="39">
        <f t="shared" si="31"/>
        <v>0</v>
      </c>
      <c r="M419" s="40">
        <f t="shared" ca="1" si="32"/>
        <v>65</v>
      </c>
      <c r="N419">
        <f t="shared" si="33"/>
        <v>23</v>
      </c>
      <c r="O419" t="str">
        <f t="shared" si="34"/>
        <v>Switch</v>
      </c>
    </row>
    <row r="420" spans="1:16" ht="14.25" hidden="1" customHeight="1">
      <c r="A420">
        <v>87</v>
      </c>
      <c r="B420" s="35" t="s">
        <v>23</v>
      </c>
      <c r="C420" s="37" t="s">
        <v>87</v>
      </c>
      <c r="D420" s="37" t="s">
        <v>23</v>
      </c>
      <c r="E420" s="37" t="s">
        <v>83</v>
      </c>
      <c r="F420" s="37">
        <v>2</v>
      </c>
      <c r="G420" s="37">
        <v>2</v>
      </c>
      <c r="H420" s="86">
        <v>46063</v>
      </c>
      <c r="I420" s="86">
        <v>46063</v>
      </c>
      <c r="J420" s="37" t="s">
        <v>75</v>
      </c>
      <c r="K420" s="38">
        <f t="shared" si="30"/>
        <v>0</v>
      </c>
      <c r="L420" s="39">
        <f t="shared" si="31"/>
        <v>1</v>
      </c>
      <c r="M420" s="40">
        <f t="shared" ca="1" si="32"/>
        <v>-50</v>
      </c>
      <c r="N420">
        <f t="shared" si="33"/>
        <v>7</v>
      </c>
      <c r="O420" t="str">
        <f t="shared" si="34"/>
        <v>Infra</v>
      </c>
      <c r="P420" s="43" t="s">
        <v>175</v>
      </c>
    </row>
    <row r="421" spans="1:16" ht="14.25" hidden="1" customHeight="1">
      <c r="A421">
        <v>581</v>
      </c>
      <c r="B421" s="35" t="s">
        <v>23</v>
      </c>
      <c r="C421" s="37" t="s">
        <v>391</v>
      </c>
      <c r="D421" s="37" t="s">
        <v>392</v>
      </c>
      <c r="E421" s="37" t="s">
        <v>90</v>
      </c>
      <c r="F421" s="37">
        <v>1</v>
      </c>
      <c r="G421" s="37"/>
      <c r="H421" s="86"/>
      <c r="I421" s="86">
        <v>46170</v>
      </c>
      <c r="J421" s="37" t="s">
        <v>4</v>
      </c>
      <c r="K421" s="38">
        <f t="shared" si="30"/>
        <v>1</v>
      </c>
      <c r="L421" s="39">
        <f t="shared" si="31"/>
        <v>0</v>
      </c>
      <c r="M421" s="40">
        <f t="shared" ca="1" si="32"/>
        <v>57</v>
      </c>
      <c r="N421">
        <f t="shared" si="33"/>
        <v>22</v>
      </c>
      <c r="O421" t="str">
        <f t="shared" si="34"/>
        <v>Switch</v>
      </c>
    </row>
    <row r="422" spans="1:16" ht="14.25" customHeight="1">
      <c r="A422">
        <v>580</v>
      </c>
      <c r="B422" s="35" t="s">
        <v>23</v>
      </c>
      <c r="C422" s="37" t="s">
        <v>391</v>
      </c>
      <c r="D422" s="37" t="s">
        <v>392</v>
      </c>
      <c r="E422" s="37" t="s">
        <v>80</v>
      </c>
      <c r="F422" s="37">
        <v>1</v>
      </c>
      <c r="G422" s="37"/>
      <c r="H422" s="86"/>
      <c r="I422" s="86">
        <v>46170</v>
      </c>
      <c r="J422" s="37" t="s">
        <v>4</v>
      </c>
      <c r="K422" s="38">
        <f t="shared" si="30"/>
        <v>1</v>
      </c>
      <c r="L422" s="39">
        <f t="shared" si="31"/>
        <v>0</v>
      </c>
      <c r="M422" s="40">
        <f t="shared" ca="1" si="32"/>
        <v>57</v>
      </c>
      <c r="N422">
        <f t="shared" si="33"/>
        <v>22</v>
      </c>
      <c r="O422" t="str">
        <f t="shared" si="34"/>
        <v>Switch</v>
      </c>
    </row>
    <row r="423" spans="1:16" ht="14.25" customHeight="1">
      <c r="A423">
        <v>579</v>
      </c>
      <c r="B423" s="35" t="s">
        <v>23</v>
      </c>
      <c r="C423" s="37" t="s">
        <v>391</v>
      </c>
      <c r="D423" s="37" t="s">
        <v>392</v>
      </c>
      <c r="E423" s="37" t="s">
        <v>74</v>
      </c>
      <c r="F423" s="37">
        <v>2</v>
      </c>
      <c r="G423" s="37"/>
      <c r="H423" s="86"/>
      <c r="I423" s="86">
        <v>46170</v>
      </c>
      <c r="J423" s="37" t="s">
        <v>4</v>
      </c>
      <c r="K423" s="38">
        <f t="shared" si="30"/>
        <v>2</v>
      </c>
      <c r="L423" s="39">
        <f t="shared" si="31"/>
        <v>0</v>
      </c>
      <c r="M423" s="40">
        <f t="shared" ca="1" si="32"/>
        <v>57</v>
      </c>
      <c r="N423">
        <f t="shared" si="33"/>
        <v>22</v>
      </c>
      <c r="O423" t="str">
        <f t="shared" si="34"/>
        <v>Switch</v>
      </c>
    </row>
    <row r="424" spans="1:16" ht="14.25" hidden="1" customHeight="1">
      <c r="A424">
        <v>584</v>
      </c>
      <c r="B424" s="35" t="s">
        <v>23</v>
      </c>
      <c r="C424" s="37" t="s">
        <v>391</v>
      </c>
      <c r="D424" s="37" t="s">
        <v>393</v>
      </c>
      <c r="E424" s="37" t="s">
        <v>118</v>
      </c>
      <c r="F424" s="37">
        <v>1</v>
      </c>
      <c r="G424" s="37"/>
      <c r="H424" s="86"/>
      <c r="I424" s="86">
        <v>46170</v>
      </c>
      <c r="J424" s="37" t="s">
        <v>4</v>
      </c>
      <c r="K424" s="38">
        <f t="shared" si="30"/>
        <v>1</v>
      </c>
      <c r="L424" s="39">
        <f t="shared" si="31"/>
        <v>0</v>
      </c>
      <c r="M424" s="40">
        <f t="shared" ca="1" si="32"/>
        <v>57</v>
      </c>
      <c r="N424">
        <f t="shared" si="33"/>
        <v>22</v>
      </c>
      <c r="O424" t="str">
        <f t="shared" si="34"/>
        <v>Switch</v>
      </c>
    </row>
    <row r="425" spans="1:16" ht="14.25" customHeight="1">
      <c r="A425">
        <v>583</v>
      </c>
      <c r="B425" s="35" t="s">
        <v>23</v>
      </c>
      <c r="C425" s="37" t="s">
        <v>391</v>
      </c>
      <c r="D425" s="37" t="s">
        <v>393</v>
      </c>
      <c r="E425" s="37" t="s">
        <v>80</v>
      </c>
      <c r="F425" s="37">
        <v>1</v>
      </c>
      <c r="G425" s="37"/>
      <c r="H425" s="86"/>
      <c r="I425" s="86">
        <v>46170</v>
      </c>
      <c r="J425" s="37" t="s">
        <v>4</v>
      </c>
      <c r="K425" s="38">
        <f t="shared" si="30"/>
        <v>1</v>
      </c>
      <c r="L425" s="39">
        <f t="shared" si="31"/>
        <v>0</v>
      </c>
      <c r="M425" s="40">
        <f t="shared" ca="1" si="32"/>
        <v>57</v>
      </c>
      <c r="N425">
        <f t="shared" si="33"/>
        <v>22</v>
      </c>
      <c r="O425" t="str">
        <f t="shared" si="34"/>
        <v>Switch</v>
      </c>
    </row>
    <row r="426" spans="1:16" ht="14.25" customHeight="1">
      <c r="A426">
        <v>582</v>
      </c>
      <c r="B426" s="35" t="s">
        <v>23</v>
      </c>
      <c r="C426" s="37" t="s">
        <v>391</v>
      </c>
      <c r="D426" s="37" t="s">
        <v>393</v>
      </c>
      <c r="E426" s="37" t="s">
        <v>74</v>
      </c>
      <c r="F426" s="37">
        <v>1</v>
      </c>
      <c r="G426" s="37"/>
      <c r="H426" s="86"/>
      <c r="I426" s="86">
        <v>46170</v>
      </c>
      <c r="J426" s="37" t="s">
        <v>4</v>
      </c>
      <c r="K426" s="38">
        <f t="shared" si="30"/>
        <v>1</v>
      </c>
      <c r="L426" s="39">
        <f t="shared" si="31"/>
        <v>0</v>
      </c>
      <c r="M426" s="40">
        <f t="shared" ca="1" si="32"/>
        <v>57</v>
      </c>
      <c r="N426">
        <f t="shared" si="33"/>
        <v>22</v>
      </c>
      <c r="O426" t="str">
        <f t="shared" si="34"/>
        <v>Switch</v>
      </c>
    </row>
    <row r="427" spans="1:16" ht="14.25" hidden="1" customHeight="1">
      <c r="A427">
        <v>587</v>
      </c>
      <c r="B427" s="35" t="s">
        <v>23</v>
      </c>
      <c r="C427" s="37" t="s">
        <v>391</v>
      </c>
      <c r="D427" s="37" t="s">
        <v>394</v>
      </c>
      <c r="E427" s="37" t="s">
        <v>118</v>
      </c>
      <c r="F427" s="37">
        <v>1</v>
      </c>
      <c r="G427" s="37"/>
      <c r="H427" s="86"/>
      <c r="I427" s="86">
        <v>46170</v>
      </c>
      <c r="J427" s="37" t="s">
        <v>4</v>
      </c>
      <c r="K427" s="38">
        <f t="shared" si="30"/>
        <v>1</v>
      </c>
      <c r="L427" s="39">
        <f t="shared" si="31"/>
        <v>0</v>
      </c>
      <c r="M427" s="40">
        <f t="shared" ca="1" si="32"/>
        <v>57</v>
      </c>
      <c r="N427">
        <f t="shared" si="33"/>
        <v>22</v>
      </c>
      <c r="O427" t="str">
        <f t="shared" si="34"/>
        <v>Switch</v>
      </c>
    </row>
    <row r="428" spans="1:16" ht="14.25" customHeight="1">
      <c r="A428">
        <v>586</v>
      </c>
      <c r="B428" s="35" t="s">
        <v>23</v>
      </c>
      <c r="C428" s="37" t="s">
        <v>391</v>
      </c>
      <c r="D428" s="37" t="s">
        <v>394</v>
      </c>
      <c r="E428" s="37" t="s">
        <v>80</v>
      </c>
      <c r="F428" s="37">
        <v>1</v>
      </c>
      <c r="G428" s="37"/>
      <c r="H428" s="86"/>
      <c r="I428" s="86">
        <v>46170</v>
      </c>
      <c r="J428" s="37" t="s">
        <v>4</v>
      </c>
      <c r="K428" s="38">
        <f t="shared" si="30"/>
        <v>1</v>
      </c>
      <c r="L428" s="39">
        <f t="shared" si="31"/>
        <v>0</v>
      </c>
      <c r="M428" s="40">
        <f t="shared" ca="1" si="32"/>
        <v>57</v>
      </c>
      <c r="N428">
        <f t="shared" si="33"/>
        <v>22</v>
      </c>
      <c r="O428" t="str">
        <f t="shared" si="34"/>
        <v>Switch</v>
      </c>
    </row>
    <row r="429" spans="1:16" ht="14.25" customHeight="1">
      <c r="A429">
        <v>585</v>
      </c>
      <c r="B429" s="35" t="s">
        <v>23</v>
      </c>
      <c r="C429" s="37" t="s">
        <v>391</v>
      </c>
      <c r="D429" s="37" t="s">
        <v>394</v>
      </c>
      <c r="E429" s="37" t="s">
        <v>74</v>
      </c>
      <c r="F429" s="37">
        <v>1</v>
      </c>
      <c r="G429" s="37"/>
      <c r="H429" s="86"/>
      <c r="I429" s="86">
        <v>46170</v>
      </c>
      <c r="J429" s="37" t="s">
        <v>4</v>
      </c>
      <c r="K429" s="38">
        <f t="shared" si="30"/>
        <v>1</v>
      </c>
      <c r="L429" s="39">
        <f t="shared" si="31"/>
        <v>0</v>
      </c>
      <c r="M429" s="40">
        <f t="shared" ca="1" si="32"/>
        <v>57</v>
      </c>
      <c r="N429">
        <f t="shared" si="33"/>
        <v>22</v>
      </c>
      <c r="O429" t="str">
        <f t="shared" si="34"/>
        <v>Switch</v>
      </c>
    </row>
    <row r="430" spans="1:16" ht="14.25" hidden="1" customHeight="1">
      <c r="A430">
        <v>590</v>
      </c>
      <c r="B430" s="35" t="s">
        <v>23</v>
      </c>
      <c r="C430" s="37" t="s">
        <v>391</v>
      </c>
      <c r="D430" s="37" t="s">
        <v>395</v>
      </c>
      <c r="E430" s="37" t="s">
        <v>118</v>
      </c>
      <c r="F430" s="37">
        <v>1</v>
      </c>
      <c r="G430" s="37"/>
      <c r="H430" s="86"/>
      <c r="I430" s="86">
        <v>46170</v>
      </c>
      <c r="J430" s="37" t="s">
        <v>4</v>
      </c>
      <c r="K430" s="38">
        <f t="shared" si="30"/>
        <v>1</v>
      </c>
      <c r="L430" s="39">
        <f t="shared" si="31"/>
        <v>0</v>
      </c>
      <c r="M430" s="40">
        <f t="shared" ca="1" si="32"/>
        <v>57</v>
      </c>
      <c r="N430">
        <f t="shared" si="33"/>
        <v>22</v>
      </c>
      <c r="O430" t="str">
        <f t="shared" si="34"/>
        <v>Switch</v>
      </c>
    </row>
    <row r="431" spans="1:16" ht="14.25" customHeight="1">
      <c r="A431">
        <v>589</v>
      </c>
      <c r="B431" s="35" t="s">
        <v>23</v>
      </c>
      <c r="C431" s="37" t="s">
        <v>391</v>
      </c>
      <c r="D431" s="37" t="s">
        <v>395</v>
      </c>
      <c r="E431" s="37" t="s">
        <v>80</v>
      </c>
      <c r="F431" s="37">
        <v>1</v>
      </c>
      <c r="G431" s="37"/>
      <c r="H431" s="86"/>
      <c r="I431" s="86">
        <v>46170</v>
      </c>
      <c r="J431" s="37" t="s">
        <v>4</v>
      </c>
      <c r="K431" s="38">
        <f t="shared" si="30"/>
        <v>1</v>
      </c>
      <c r="L431" s="39">
        <f t="shared" si="31"/>
        <v>0</v>
      </c>
      <c r="M431" s="40">
        <f t="shared" ca="1" si="32"/>
        <v>57</v>
      </c>
      <c r="N431">
        <f t="shared" si="33"/>
        <v>22</v>
      </c>
      <c r="O431" t="str">
        <f t="shared" si="34"/>
        <v>Switch</v>
      </c>
    </row>
    <row r="432" spans="1:16" ht="14.25" customHeight="1">
      <c r="A432">
        <v>588</v>
      </c>
      <c r="B432" s="35" t="s">
        <v>23</v>
      </c>
      <c r="C432" s="37" t="s">
        <v>391</v>
      </c>
      <c r="D432" s="37" t="s">
        <v>395</v>
      </c>
      <c r="E432" s="37" t="s">
        <v>74</v>
      </c>
      <c r="F432" s="37">
        <v>1</v>
      </c>
      <c r="G432" s="37"/>
      <c r="H432" s="86"/>
      <c r="I432" s="86">
        <v>46170</v>
      </c>
      <c r="J432" s="37" t="s">
        <v>4</v>
      </c>
      <c r="K432" s="38">
        <f t="shared" si="30"/>
        <v>1</v>
      </c>
      <c r="L432" s="39">
        <f t="shared" si="31"/>
        <v>0</v>
      </c>
      <c r="M432" s="40">
        <f t="shared" ca="1" si="32"/>
        <v>57</v>
      </c>
      <c r="N432">
        <f t="shared" si="33"/>
        <v>22</v>
      </c>
      <c r="O432" t="str">
        <f t="shared" si="34"/>
        <v>Switch</v>
      </c>
    </row>
    <row r="433" spans="1:15" ht="14.25" hidden="1" customHeight="1">
      <c r="A433">
        <v>593</v>
      </c>
      <c r="B433" s="35" t="s">
        <v>23</v>
      </c>
      <c r="C433" s="37" t="s">
        <v>391</v>
      </c>
      <c r="D433" s="37" t="s">
        <v>396</v>
      </c>
      <c r="E433" s="37" t="s">
        <v>118</v>
      </c>
      <c r="F433" s="37">
        <v>1</v>
      </c>
      <c r="G433" s="37"/>
      <c r="H433" s="86"/>
      <c r="I433" s="86">
        <v>46171</v>
      </c>
      <c r="J433" s="37" t="s">
        <v>4</v>
      </c>
      <c r="K433" s="38">
        <f t="shared" si="30"/>
        <v>1</v>
      </c>
      <c r="L433" s="39">
        <f t="shared" si="31"/>
        <v>0</v>
      </c>
      <c r="M433" s="40">
        <f t="shared" ca="1" si="32"/>
        <v>58</v>
      </c>
      <c r="N433">
        <f t="shared" si="33"/>
        <v>22</v>
      </c>
      <c r="O433" t="str">
        <f t="shared" si="34"/>
        <v>Switch</v>
      </c>
    </row>
    <row r="434" spans="1:15" ht="14.25" customHeight="1">
      <c r="A434">
        <v>592</v>
      </c>
      <c r="B434" s="35" t="s">
        <v>23</v>
      </c>
      <c r="C434" s="37" t="s">
        <v>391</v>
      </c>
      <c r="D434" s="37" t="s">
        <v>396</v>
      </c>
      <c r="E434" s="37" t="s">
        <v>80</v>
      </c>
      <c r="F434" s="37">
        <v>2</v>
      </c>
      <c r="G434" s="37"/>
      <c r="H434" s="86"/>
      <c r="I434" s="86">
        <v>46171</v>
      </c>
      <c r="J434" s="37" t="s">
        <v>4</v>
      </c>
      <c r="K434" s="38">
        <f t="shared" si="30"/>
        <v>2</v>
      </c>
      <c r="L434" s="39">
        <f t="shared" si="31"/>
        <v>0</v>
      </c>
      <c r="M434" s="40">
        <f t="shared" ca="1" si="32"/>
        <v>58</v>
      </c>
      <c r="N434">
        <f t="shared" si="33"/>
        <v>22</v>
      </c>
      <c r="O434" t="str">
        <f t="shared" si="34"/>
        <v>Switch</v>
      </c>
    </row>
    <row r="435" spans="1:15" ht="14.25" customHeight="1">
      <c r="A435">
        <v>591</v>
      </c>
      <c r="B435" s="35" t="s">
        <v>23</v>
      </c>
      <c r="C435" s="37" t="s">
        <v>391</v>
      </c>
      <c r="D435" s="37" t="s">
        <v>396</v>
      </c>
      <c r="E435" s="37" t="s">
        <v>74</v>
      </c>
      <c r="F435" s="37">
        <v>1</v>
      </c>
      <c r="G435" s="37"/>
      <c r="H435" s="86"/>
      <c r="I435" s="86">
        <v>46171</v>
      </c>
      <c r="J435" s="37" t="s">
        <v>4</v>
      </c>
      <c r="K435" s="38">
        <f t="shared" si="30"/>
        <v>1</v>
      </c>
      <c r="L435" s="39">
        <f t="shared" si="31"/>
        <v>0</v>
      </c>
      <c r="M435" s="40">
        <f t="shared" ca="1" si="32"/>
        <v>58</v>
      </c>
      <c r="N435">
        <f t="shared" si="33"/>
        <v>22</v>
      </c>
      <c r="O435" t="str">
        <f t="shared" si="34"/>
        <v>Switch</v>
      </c>
    </row>
    <row r="436" spans="1:15" ht="14.25" customHeight="1">
      <c r="A436">
        <v>595</v>
      </c>
      <c r="B436" s="35" t="s">
        <v>23</v>
      </c>
      <c r="C436" s="37" t="s">
        <v>391</v>
      </c>
      <c r="D436" s="37" t="s">
        <v>397</v>
      </c>
      <c r="E436" s="37" t="s">
        <v>80</v>
      </c>
      <c r="F436" s="37">
        <v>1</v>
      </c>
      <c r="G436" s="37"/>
      <c r="H436" s="86"/>
      <c r="I436" s="86">
        <v>46171</v>
      </c>
      <c r="J436" s="37" t="s">
        <v>4</v>
      </c>
      <c r="K436" s="38">
        <f t="shared" si="30"/>
        <v>1</v>
      </c>
      <c r="L436" s="39">
        <f t="shared" si="31"/>
        <v>0</v>
      </c>
      <c r="M436" s="40">
        <f t="shared" ca="1" si="32"/>
        <v>58</v>
      </c>
      <c r="N436">
        <f t="shared" si="33"/>
        <v>22</v>
      </c>
      <c r="O436" t="str">
        <f t="shared" si="34"/>
        <v>Switch</v>
      </c>
    </row>
    <row r="437" spans="1:15" ht="14.25" customHeight="1">
      <c r="A437">
        <v>594</v>
      </c>
      <c r="B437" s="35" t="s">
        <v>23</v>
      </c>
      <c r="C437" s="37" t="s">
        <v>391</v>
      </c>
      <c r="D437" s="37" t="s">
        <v>397</v>
      </c>
      <c r="E437" s="37" t="s">
        <v>74</v>
      </c>
      <c r="F437" s="37">
        <v>1</v>
      </c>
      <c r="G437" s="37"/>
      <c r="H437" s="86"/>
      <c r="I437" s="86">
        <v>46171</v>
      </c>
      <c r="J437" s="37" t="s">
        <v>4</v>
      </c>
      <c r="K437" s="38">
        <f t="shared" si="30"/>
        <v>1</v>
      </c>
      <c r="L437" s="39">
        <f t="shared" si="31"/>
        <v>0</v>
      </c>
      <c r="M437" s="40">
        <f t="shared" ca="1" si="32"/>
        <v>58</v>
      </c>
      <c r="N437">
        <f t="shared" si="33"/>
        <v>22</v>
      </c>
      <c r="O437" t="str">
        <f t="shared" si="34"/>
        <v>Switch</v>
      </c>
    </row>
    <row r="438" spans="1:15" ht="14.25" customHeight="1">
      <c r="A438">
        <v>597</v>
      </c>
      <c r="B438" s="35" t="s">
        <v>23</v>
      </c>
      <c r="C438" s="37" t="s">
        <v>391</v>
      </c>
      <c r="D438" s="37" t="s">
        <v>398</v>
      </c>
      <c r="E438" s="37" t="s">
        <v>80</v>
      </c>
      <c r="F438" s="37">
        <v>1</v>
      </c>
      <c r="G438" s="37"/>
      <c r="H438" s="86"/>
      <c r="I438" s="86">
        <v>46171</v>
      </c>
      <c r="J438" s="37" t="s">
        <v>4</v>
      </c>
      <c r="K438" s="38">
        <f t="shared" si="30"/>
        <v>1</v>
      </c>
      <c r="L438" s="39">
        <f t="shared" si="31"/>
        <v>0</v>
      </c>
      <c r="M438" s="40">
        <f t="shared" ca="1" si="32"/>
        <v>58</v>
      </c>
      <c r="N438">
        <f t="shared" si="33"/>
        <v>22</v>
      </c>
      <c r="O438" t="str">
        <f t="shared" si="34"/>
        <v>Switch</v>
      </c>
    </row>
    <row r="439" spans="1:15" ht="14.25" customHeight="1">
      <c r="A439">
        <v>596</v>
      </c>
      <c r="B439" s="35" t="s">
        <v>23</v>
      </c>
      <c r="C439" s="37" t="s">
        <v>391</v>
      </c>
      <c r="D439" s="37" t="s">
        <v>398</v>
      </c>
      <c r="E439" s="37" t="s">
        <v>74</v>
      </c>
      <c r="F439" s="37">
        <v>1</v>
      </c>
      <c r="G439" s="37"/>
      <c r="H439" s="86"/>
      <c r="I439" s="86">
        <v>46171</v>
      </c>
      <c r="J439" s="37" t="s">
        <v>4</v>
      </c>
      <c r="K439" s="38">
        <f t="shared" si="30"/>
        <v>1</v>
      </c>
      <c r="L439" s="39">
        <f t="shared" si="31"/>
        <v>0</v>
      </c>
      <c r="M439" s="40">
        <f t="shared" ca="1" si="32"/>
        <v>58</v>
      </c>
      <c r="N439">
        <f t="shared" si="33"/>
        <v>22</v>
      </c>
      <c r="O439" t="str">
        <f t="shared" si="34"/>
        <v>Switch</v>
      </c>
    </row>
    <row r="440" spans="1:15" ht="14.25" customHeight="1">
      <c r="A440">
        <v>599</v>
      </c>
      <c r="B440" s="35" t="s">
        <v>23</v>
      </c>
      <c r="C440" s="37" t="s">
        <v>391</v>
      </c>
      <c r="D440" s="37" t="s">
        <v>399</v>
      </c>
      <c r="E440" s="37" t="s">
        <v>80</v>
      </c>
      <c r="F440" s="37">
        <v>1</v>
      </c>
      <c r="G440" s="37"/>
      <c r="H440" s="86"/>
      <c r="I440" s="86">
        <v>46171</v>
      </c>
      <c r="J440" s="37" t="s">
        <v>4</v>
      </c>
      <c r="K440" s="38">
        <f t="shared" si="30"/>
        <v>1</v>
      </c>
      <c r="L440" s="39">
        <f t="shared" si="31"/>
        <v>0</v>
      </c>
      <c r="M440" s="40">
        <f t="shared" ca="1" si="32"/>
        <v>58</v>
      </c>
      <c r="N440">
        <f t="shared" si="33"/>
        <v>22</v>
      </c>
      <c r="O440" t="str">
        <f t="shared" si="34"/>
        <v>Switch</v>
      </c>
    </row>
    <row r="441" spans="1:15" ht="14.25" customHeight="1">
      <c r="A441">
        <v>598</v>
      </c>
      <c r="B441" s="35" t="s">
        <v>23</v>
      </c>
      <c r="C441" s="37" t="s">
        <v>391</v>
      </c>
      <c r="D441" s="37" t="s">
        <v>399</v>
      </c>
      <c r="E441" s="37" t="s">
        <v>74</v>
      </c>
      <c r="F441" s="37">
        <v>1</v>
      </c>
      <c r="G441" s="37"/>
      <c r="H441" s="86"/>
      <c r="I441" s="86">
        <v>46171</v>
      </c>
      <c r="J441" s="37" t="s">
        <v>4</v>
      </c>
      <c r="K441" s="38">
        <f t="shared" si="30"/>
        <v>1</v>
      </c>
      <c r="L441" s="39">
        <f t="shared" si="31"/>
        <v>0</v>
      </c>
      <c r="M441" s="40">
        <f t="shared" ca="1" si="32"/>
        <v>58</v>
      </c>
      <c r="N441">
        <f t="shared" si="33"/>
        <v>22</v>
      </c>
      <c r="O441" t="str">
        <f t="shared" si="34"/>
        <v>Switch</v>
      </c>
    </row>
    <row r="442" spans="1:15" ht="14.25" customHeight="1">
      <c r="A442">
        <v>601</v>
      </c>
      <c r="B442" s="35" t="s">
        <v>23</v>
      </c>
      <c r="C442" s="37" t="s">
        <v>391</v>
      </c>
      <c r="D442" s="37" t="s">
        <v>400</v>
      </c>
      <c r="E442" s="37" t="s">
        <v>80</v>
      </c>
      <c r="F442" s="37">
        <v>1</v>
      </c>
      <c r="G442" s="37"/>
      <c r="H442" s="86"/>
      <c r="I442" s="86">
        <v>46171</v>
      </c>
      <c r="J442" s="37" t="s">
        <v>4</v>
      </c>
      <c r="K442" s="38">
        <f t="shared" si="30"/>
        <v>1</v>
      </c>
      <c r="L442" s="39">
        <f t="shared" si="31"/>
        <v>0</v>
      </c>
      <c r="M442" s="40">
        <f t="shared" ca="1" si="32"/>
        <v>58</v>
      </c>
      <c r="N442">
        <f t="shared" si="33"/>
        <v>22</v>
      </c>
      <c r="O442" t="str">
        <f t="shared" si="34"/>
        <v>Switch</v>
      </c>
    </row>
    <row r="443" spans="1:15" ht="14.25" customHeight="1">
      <c r="A443">
        <v>600</v>
      </c>
      <c r="B443" s="35" t="s">
        <v>23</v>
      </c>
      <c r="C443" s="37" t="s">
        <v>391</v>
      </c>
      <c r="D443" s="37" t="s">
        <v>400</v>
      </c>
      <c r="E443" s="37" t="s">
        <v>74</v>
      </c>
      <c r="F443" s="37">
        <v>1</v>
      </c>
      <c r="G443" s="37"/>
      <c r="H443" s="86"/>
      <c r="I443" s="86">
        <v>46171</v>
      </c>
      <c r="J443" s="37" t="s">
        <v>4</v>
      </c>
      <c r="K443" s="38">
        <f t="shared" si="30"/>
        <v>1</v>
      </c>
      <c r="L443" s="39">
        <f t="shared" si="31"/>
        <v>0</v>
      </c>
      <c r="M443" s="40">
        <f t="shared" ca="1" si="32"/>
        <v>58</v>
      </c>
      <c r="N443">
        <f t="shared" si="33"/>
        <v>22</v>
      </c>
      <c r="O443" t="str">
        <f t="shared" si="34"/>
        <v>Switch</v>
      </c>
    </row>
    <row r="444" spans="1:15" ht="14.25" customHeight="1">
      <c r="A444">
        <v>603</v>
      </c>
      <c r="B444" s="35" t="s">
        <v>23</v>
      </c>
      <c r="C444" s="37" t="s">
        <v>391</v>
      </c>
      <c r="D444" s="37" t="s">
        <v>401</v>
      </c>
      <c r="E444" s="37" t="s">
        <v>80</v>
      </c>
      <c r="F444" s="37">
        <v>1</v>
      </c>
      <c r="G444" s="37"/>
      <c r="H444" s="86"/>
      <c r="I444" s="86">
        <v>46174</v>
      </c>
      <c r="J444" s="37" t="s">
        <v>4</v>
      </c>
      <c r="K444" s="38">
        <f t="shared" si="30"/>
        <v>1</v>
      </c>
      <c r="L444" s="39">
        <f t="shared" si="31"/>
        <v>0</v>
      </c>
      <c r="M444" s="40">
        <f t="shared" ca="1" si="32"/>
        <v>61</v>
      </c>
      <c r="N444">
        <f t="shared" si="33"/>
        <v>23</v>
      </c>
      <c r="O444" t="str">
        <f t="shared" si="34"/>
        <v>Switch</v>
      </c>
    </row>
    <row r="445" spans="1:15" ht="14.25" customHeight="1">
      <c r="A445">
        <v>602</v>
      </c>
      <c r="B445" s="35" t="s">
        <v>23</v>
      </c>
      <c r="C445" s="37" t="s">
        <v>391</v>
      </c>
      <c r="D445" s="37" t="s">
        <v>401</v>
      </c>
      <c r="E445" s="37" t="s">
        <v>74</v>
      </c>
      <c r="F445" s="37">
        <v>1</v>
      </c>
      <c r="G445" s="37"/>
      <c r="H445" s="86"/>
      <c r="I445" s="86">
        <v>46174</v>
      </c>
      <c r="J445" s="37" t="s">
        <v>4</v>
      </c>
      <c r="K445" s="38">
        <f t="shared" si="30"/>
        <v>1</v>
      </c>
      <c r="L445" s="39">
        <f t="shared" si="31"/>
        <v>0</v>
      </c>
      <c r="M445" s="40">
        <f t="shared" ca="1" si="32"/>
        <v>61</v>
      </c>
      <c r="N445">
        <f t="shared" si="33"/>
        <v>23</v>
      </c>
      <c r="O445" t="str">
        <f t="shared" si="34"/>
        <v>Switch</v>
      </c>
    </row>
    <row r="446" spans="1:15" ht="14.25" customHeight="1">
      <c r="A446">
        <v>605</v>
      </c>
      <c r="B446" s="35" t="s">
        <v>23</v>
      </c>
      <c r="C446" s="37" t="s">
        <v>391</v>
      </c>
      <c r="D446" s="37" t="s">
        <v>402</v>
      </c>
      <c r="E446" s="37" t="s">
        <v>80</v>
      </c>
      <c r="F446" s="37">
        <v>1</v>
      </c>
      <c r="G446" s="37"/>
      <c r="H446" s="86"/>
      <c r="I446" s="86">
        <v>46174</v>
      </c>
      <c r="J446" s="37" t="s">
        <v>4</v>
      </c>
      <c r="K446" s="38">
        <f t="shared" si="30"/>
        <v>1</v>
      </c>
      <c r="L446" s="39">
        <f t="shared" si="31"/>
        <v>0</v>
      </c>
      <c r="M446" s="40">
        <f t="shared" ca="1" si="32"/>
        <v>61</v>
      </c>
      <c r="N446">
        <f t="shared" si="33"/>
        <v>23</v>
      </c>
      <c r="O446" t="str">
        <f t="shared" si="34"/>
        <v>Switch</v>
      </c>
    </row>
    <row r="447" spans="1:15" ht="14.25" customHeight="1">
      <c r="A447">
        <v>604</v>
      </c>
      <c r="B447" s="35" t="s">
        <v>23</v>
      </c>
      <c r="C447" s="37" t="s">
        <v>391</v>
      </c>
      <c r="D447" s="37" t="s">
        <v>402</v>
      </c>
      <c r="E447" s="37" t="s">
        <v>74</v>
      </c>
      <c r="F447" s="37">
        <v>1</v>
      </c>
      <c r="G447" s="37"/>
      <c r="H447" s="86"/>
      <c r="I447" s="86">
        <v>46174</v>
      </c>
      <c r="J447" s="37" t="s">
        <v>4</v>
      </c>
      <c r="K447" s="38">
        <f t="shared" si="30"/>
        <v>1</v>
      </c>
      <c r="L447" s="39">
        <f t="shared" si="31"/>
        <v>0</v>
      </c>
      <c r="M447" s="40">
        <f t="shared" ca="1" si="32"/>
        <v>61</v>
      </c>
      <c r="N447">
        <f t="shared" si="33"/>
        <v>23</v>
      </c>
      <c r="O447" t="str">
        <f t="shared" si="34"/>
        <v>Switch</v>
      </c>
    </row>
    <row r="448" spans="1:15" ht="14.25" hidden="1" customHeight="1">
      <c r="A448">
        <v>608</v>
      </c>
      <c r="B448" s="35" t="s">
        <v>23</v>
      </c>
      <c r="C448" s="37" t="s">
        <v>391</v>
      </c>
      <c r="D448" s="37" t="s">
        <v>403</v>
      </c>
      <c r="E448" s="37" t="s">
        <v>118</v>
      </c>
      <c r="F448" s="37">
        <v>1</v>
      </c>
      <c r="G448" s="37"/>
      <c r="H448" s="86"/>
      <c r="I448" s="86">
        <v>46174</v>
      </c>
      <c r="J448" s="37" t="s">
        <v>4</v>
      </c>
      <c r="K448" s="38">
        <f t="shared" si="30"/>
        <v>1</v>
      </c>
      <c r="L448" s="39">
        <f t="shared" si="31"/>
        <v>0</v>
      </c>
      <c r="M448" s="40">
        <f t="shared" ca="1" si="32"/>
        <v>61</v>
      </c>
      <c r="N448">
        <f t="shared" si="33"/>
        <v>23</v>
      </c>
      <c r="O448" t="str">
        <f t="shared" si="34"/>
        <v>Switch</v>
      </c>
    </row>
    <row r="449" spans="1:15" ht="14.25" customHeight="1">
      <c r="A449">
        <v>607</v>
      </c>
      <c r="B449" s="35" t="s">
        <v>23</v>
      </c>
      <c r="C449" s="37" t="s">
        <v>391</v>
      </c>
      <c r="D449" s="37" t="s">
        <v>403</v>
      </c>
      <c r="E449" s="37" t="s">
        <v>80</v>
      </c>
      <c r="F449" s="37">
        <v>2</v>
      </c>
      <c r="G449" s="37"/>
      <c r="H449" s="86"/>
      <c r="I449" s="86">
        <v>46174</v>
      </c>
      <c r="J449" s="37" t="s">
        <v>4</v>
      </c>
      <c r="K449" s="38">
        <f t="shared" si="30"/>
        <v>2</v>
      </c>
      <c r="L449" s="39">
        <f t="shared" si="31"/>
        <v>0</v>
      </c>
      <c r="M449" s="40">
        <f t="shared" ca="1" si="32"/>
        <v>61</v>
      </c>
      <c r="N449">
        <f t="shared" si="33"/>
        <v>23</v>
      </c>
      <c r="O449" t="str">
        <f t="shared" si="34"/>
        <v>Switch</v>
      </c>
    </row>
    <row r="450" spans="1:15" ht="14.25" customHeight="1">
      <c r="A450">
        <v>606</v>
      </c>
      <c r="B450" s="35" t="s">
        <v>23</v>
      </c>
      <c r="C450" s="37" t="s">
        <v>391</v>
      </c>
      <c r="D450" s="37" t="s">
        <v>403</v>
      </c>
      <c r="E450" s="37" t="s">
        <v>74</v>
      </c>
      <c r="F450" s="37">
        <v>2</v>
      </c>
      <c r="G450" s="37"/>
      <c r="H450" s="86"/>
      <c r="I450" s="86">
        <v>46174</v>
      </c>
      <c r="J450" s="37" t="s">
        <v>4</v>
      </c>
      <c r="K450" s="38">
        <f t="shared" ref="K450:K513" si="35">F450-G450</f>
        <v>2</v>
      </c>
      <c r="L450" s="39">
        <f t="shared" ref="L450:L513" si="36">IF(F450=0,"",G450/F450)</f>
        <v>0</v>
      </c>
      <c r="M450" s="40">
        <f t="shared" ref="M450:M513" ca="1" si="37">I450-TODAY()</f>
        <v>61</v>
      </c>
      <c r="N450">
        <f t="shared" ref="N450:N513" si="38">_xlfn.ISOWEEKNUM(I450)</f>
        <v>23</v>
      </c>
      <c r="O450" t="str">
        <f t="shared" ref="O450:O513" si="39">IF(ISNUMBER(SEARCH("Access Point",E450)),"AP",IF(OR(ISNUMBER(SEARCH("Switch",E450)),ISNUMBER(SEARCH("Control Type",E450))),"Switch","Infra"))</f>
        <v>Switch</v>
      </c>
    </row>
    <row r="451" spans="1:15" ht="14.25" customHeight="1">
      <c r="A451">
        <v>610</v>
      </c>
      <c r="B451" s="35" t="s">
        <v>23</v>
      </c>
      <c r="C451" s="37" t="s">
        <v>391</v>
      </c>
      <c r="D451" s="37" t="s">
        <v>404</v>
      </c>
      <c r="E451" s="37" t="s">
        <v>80</v>
      </c>
      <c r="F451" s="37">
        <v>1</v>
      </c>
      <c r="G451" s="37"/>
      <c r="H451" s="86"/>
      <c r="I451" s="86">
        <v>46174</v>
      </c>
      <c r="J451" s="37" t="s">
        <v>4</v>
      </c>
      <c r="K451" s="38">
        <f t="shared" si="35"/>
        <v>1</v>
      </c>
      <c r="L451" s="39">
        <f t="shared" si="36"/>
        <v>0</v>
      </c>
      <c r="M451" s="40">
        <f t="shared" ca="1" si="37"/>
        <v>61</v>
      </c>
      <c r="N451">
        <f t="shared" si="38"/>
        <v>23</v>
      </c>
      <c r="O451" t="str">
        <f t="shared" si="39"/>
        <v>Switch</v>
      </c>
    </row>
    <row r="452" spans="1:15" ht="14.25" customHeight="1">
      <c r="A452">
        <v>609</v>
      </c>
      <c r="B452" s="35" t="s">
        <v>23</v>
      </c>
      <c r="C452" s="37" t="s">
        <v>391</v>
      </c>
      <c r="D452" s="37" t="s">
        <v>404</v>
      </c>
      <c r="E452" s="37" t="s">
        <v>74</v>
      </c>
      <c r="F452" s="37">
        <v>1</v>
      </c>
      <c r="G452" s="37"/>
      <c r="H452" s="86"/>
      <c r="I452" s="86">
        <v>46174</v>
      </c>
      <c r="J452" s="37" t="s">
        <v>4</v>
      </c>
      <c r="K452" s="38">
        <f t="shared" si="35"/>
        <v>1</v>
      </c>
      <c r="L452" s="39">
        <f t="shared" si="36"/>
        <v>0</v>
      </c>
      <c r="M452" s="40">
        <f t="shared" ca="1" si="37"/>
        <v>61</v>
      </c>
      <c r="N452">
        <f t="shared" si="38"/>
        <v>23</v>
      </c>
      <c r="O452" t="str">
        <f t="shared" si="39"/>
        <v>Switch</v>
      </c>
    </row>
    <row r="453" spans="1:15" ht="14.25" hidden="1" customHeight="1">
      <c r="A453">
        <v>613</v>
      </c>
      <c r="B453" s="35" t="s">
        <v>23</v>
      </c>
      <c r="C453" s="37" t="s">
        <v>405</v>
      </c>
      <c r="D453" s="37" t="s">
        <v>406</v>
      </c>
      <c r="E453" s="37" t="s">
        <v>118</v>
      </c>
      <c r="F453" s="37">
        <v>1</v>
      </c>
      <c r="G453" s="37"/>
      <c r="H453" s="86"/>
      <c r="I453" s="86">
        <v>46175</v>
      </c>
      <c r="J453" s="37" t="s">
        <v>4</v>
      </c>
      <c r="K453" s="38">
        <f t="shared" si="35"/>
        <v>1</v>
      </c>
      <c r="L453" s="39">
        <f t="shared" si="36"/>
        <v>0</v>
      </c>
      <c r="M453" s="40">
        <f t="shared" ca="1" si="37"/>
        <v>62</v>
      </c>
      <c r="N453">
        <f t="shared" si="38"/>
        <v>23</v>
      </c>
      <c r="O453" t="str">
        <f t="shared" si="39"/>
        <v>Switch</v>
      </c>
    </row>
    <row r="454" spans="1:15" ht="14.25" customHeight="1">
      <c r="A454">
        <v>612</v>
      </c>
      <c r="B454" s="35" t="s">
        <v>23</v>
      </c>
      <c r="C454" s="37" t="s">
        <v>405</v>
      </c>
      <c r="D454" s="37" t="s">
        <v>406</v>
      </c>
      <c r="E454" s="37" t="s">
        <v>80</v>
      </c>
      <c r="F454" s="37">
        <v>1</v>
      </c>
      <c r="G454" s="37"/>
      <c r="H454" s="86"/>
      <c r="I454" s="86">
        <v>46175</v>
      </c>
      <c r="J454" s="37" t="s">
        <v>4</v>
      </c>
      <c r="K454" s="38">
        <f t="shared" si="35"/>
        <v>1</v>
      </c>
      <c r="L454" s="39">
        <f t="shared" si="36"/>
        <v>0</v>
      </c>
      <c r="M454" s="40">
        <f t="shared" ca="1" si="37"/>
        <v>62</v>
      </c>
      <c r="N454">
        <f t="shared" si="38"/>
        <v>23</v>
      </c>
      <c r="O454" t="str">
        <f t="shared" si="39"/>
        <v>Switch</v>
      </c>
    </row>
    <row r="455" spans="1:15" ht="14.25" customHeight="1">
      <c r="A455">
        <v>611</v>
      </c>
      <c r="B455" s="35" t="s">
        <v>23</v>
      </c>
      <c r="C455" s="37" t="s">
        <v>405</v>
      </c>
      <c r="D455" s="37" t="s">
        <v>406</v>
      </c>
      <c r="E455" s="37" t="s">
        <v>74</v>
      </c>
      <c r="F455" s="37">
        <v>2</v>
      </c>
      <c r="G455" s="37"/>
      <c r="H455" s="86"/>
      <c r="I455" s="86">
        <v>46175</v>
      </c>
      <c r="J455" s="37" t="s">
        <v>4</v>
      </c>
      <c r="K455" s="38">
        <f t="shared" si="35"/>
        <v>2</v>
      </c>
      <c r="L455" s="39">
        <f t="shared" si="36"/>
        <v>0</v>
      </c>
      <c r="M455" s="40">
        <f t="shared" ca="1" si="37"/>
        <v>62</v>
      </c>
      <c r="N455">
        <f t="shared" si="38"/>
        <v>23</v>
      </c>
      <c r="O455" t="str">
        <f t="shared" si="39"/>
        <v>Switch</v>
      </c>
    </row>
    <row r="456" spans="1:15" ht="14.25" hidden="1" customHeight="1">
      <c r="A456">
        <v>616</v>
      </c>
      <c r="B456" s="35" t="s">
        <v>23</v>
      </c>
      <c r="C456" s="37" t="s">
        <v>405</v>
      </c>
      <c r="D456" s="37" t="s">
        <v>407</v>
      </c>
      <c r="E456" s="37" t="s">
        <v>118</v>
      </c>
      <c r="F456" s="37">
        <v>1</v>
      </c>
      <c r="G456" s="37"/>
      <c r="H456" s="86"/>
      <c r="I456" s="86">
        <v>46175</v>
      </c>
      <c r="J456" s="37" t="s">
        <v>4</v>
      </c>
      <c r="K456" s="38">
        <f t="shared" si="35"/>
        <v>1</v>
      </c>
      <c r="L456" s="39">
        <f t="shared" si="36"/>
        <v>0</v>
      </c>
      <c r="M456" s="40">
        <f t="shared" ca="1" si="37"/>
        <v>62</v>
      </c>
      <c r="N456">
        <f t="shared" si="38"/>
        <v>23</v>
      </c>
      <c r="O456" t="str">
        <f t="shared" si="39"/>
        <v>Switch</v>
      </c>
    </row>
    <row r="457" spans="1:15" ht="14.25" customHeight="1">
      <c r="A457">
        <v>615</v>
      </c>
      <c r="B457" s="35" t="s">
        <v>23</v>
      </c>
      <c r="C457" s="37" t="s">
        <v>405</v>
      </c>
      <c r="D457" s="37" t="s">
        <v>407</v>
      </c>
      <c r="E457" s="37" t="s">
        <v>80</v>
      </c>
      <c r="F457" s="37">
        <v>1</v>
      </c>
      <c r="G457" s="37"/>
      <c r="H457" s="86"/>
      <c r="I457" s="86">
        <v>46175</v>
      </c>
      <c r="J457" s="37" t="s">
        <v>4</v>
      </c>
      <c r="K457" s="38">
        <f t="shared" si="35"/>
        <v>1</v>
      </c>
      <c r="L457" s="39">
        <f t="shared" si="36"/>
        <v>0</v>
      </c>
      <c r="M457" s="40">
        <f t="shared" ca="1" si="37"/>
        <v>62</v>
      </c>
      <c r="N457">
        <f t="shared" si="38"/>
        <v>23</v>
      </c>
      <c r="O457" t="str">
        <f t="shared" si="39"/>
        <v>Switch</v>
      </c>
    </row>
    <row r="458" spans="1:15" ht="14.25" customHeight="1">
      <c r="A458">
        <v>614</v>
      </c>
      <c r="B458" s="35" t="s">
        <v>23</v>
      </c>
      <c r="C458" s="37" t="s">
        <v>405</v>
      </c>
      <c r="D458" s="37" t="s">
        <v>407</v>
      </c>
      <c r="E458" s="37" t="s">
        <v>74</v>
      </c>
      <c r="F458" s="37">
        <v>1</v>
      </c>
      <c r="G458" s="37"/>
      <c r="H458" s="86"/>
      <c r="I458" s="86">
        <v>46175</v>
      </c>
      <c r="J458" s="37" t="s">
        <v>4</v>
      </c>
      <c r="K458" s="38">
        <f t="shared" si="35"/>
        <v>1</v>
      </c>
      <c r="L458" s="39">
        <f t="shared" si="36"/>
        <v>0</v>
      </c>
      <c r="M458" s="40">
        <f t="shared" ca="1" si="37"/>
        <v>62</v>
      </c>
      <c r="N458">
        <f t="shared" si="38"/>
        <v>23</v>
      </c>
      <c r="O458" t="str">
        <f t="shared" si="39"/>
        <v>Switch</v>
      </c>
    </row>
    <row r="459" spans="1:15" ht="14.25" hidden="1" customHeight="1">
      <c r="A459">
        <v>619</v>
      </c>
      <c r="B459" s="35" t="s">
        <v>23</v>
      </c>
      <c r="C459" s="37" t="s">
        <v>405</v>
      </c>
      <c r="D459" s="37" t="s">
        <v>408</v>
      </c>
      <c r="E459" s="37" t="s">
        <v>118</v>
      </c>
      <c r="F459" s="37">
        <v>1</v>
      </c>
      <c r="G459" s="37"/>
      <c r="H459" s="86"/>
      <c r="I459" s="86">
        <v>46175</v>
      </c>
      <c r="J459" s="37" t="s">
        <v>4</v>
      </c>
      <c r="K459" s="38">
        <f t="shared" si="35"/>
        <v>1</v>
      </c>
      <c r="L459" s="39">
        <f t="shared" si="36"/>
        <v>0</v>
      </c>
      <c r="M459" s="40">
        <f t="shared" ca="1" si="37"/>
        <v>62</v>
      </c>
      <c r="N459">
        <f t="shared" si="38"/>
        <v>23</v>
      </c>
      <c r="O459" t="str">
        <f t="shared" si="39"/>
        <v>Switch</v>
      </c>
    </row>
    <row r="460" spans="1:15" ht="14.25" customHeight="1">
      <c r="A460">
        <v>618</v>
      </c>
      <c r="B460" s="35" t="s">
        <v>23</v>
      </c>
      <c r="C460" s="37" t="s">
        <v>405</v>
      </c>
      <c r="D460" s="37" t="s">
        <v>408</v>
      </c>
      <c r="E460" s="37" t="s">
        <v>80</v>
      </c>
      <c r="F460" s="37">
        <v>1</v>
      </c>
      <c r="G460" s="37"/>
      <c r="H460" s="86"/>
      <c r="I460" s="86">
        <v>46175</v>
      </c>
      <c r="J460" s="37" t="s">
        <v>4</v>
      </c>
      <c r="K460" s="38">
        <f t="shared" si="35"/>
        <v>1</v>
      </c>
      <c r="L460" s="39">
        <f t="shared" si="36"/>
        <v>0</v>
      </c>
      <c r="M460" s="40">
        <f t="shared" ca="1" si="37"/>
        <v>62</v>
      </c>
      <c r="N460">
        <f t="shared" si="38"/>
        <v>23</v>
      </c>
      <c r="O460" t="str">
        <f t="shared" si="39"/>
        <v>Switch</v>
      </c>
    </row>
    <row r="461" spans="1:15" ht="14.25" customHeight="1">
      <c r="A461">
        <v>617</v>
      </c>
      <c r="B461" s="35" t="s">
        <v>23</v>
      </c>
      <c r="C461" s="37" t="s">
        <v>405</v>
      </c>
      <c r="D461" s="37" t="s">
        <v>408</v>
      </c>
      <c r="E461" s="37" t="s">
        <v>74</v>
      </c>
      <c r="F461" s="37">
        <v>1</v>
      </c>
      <c r="G461" s="37"/>
      <c r="H461" s="86"/>
      <c r="I461" s="86">
        <v>46175</v>
      </c>
      <c r="J461" s="37" t="s">
        <v>4</v>
      </c>
      <c r="K461" s="38">
        <f t="shared" si="35"/>
        <v>1</v>
      </c>
      <c r="L461" s="39">
        <f t="shared" si="36"/>
        <v>0</v>
      </c>
      <c r="M461" s="40">
        <f t="shared" ca="1" si="37"/>
        <v>62</v>
      </c>
      <c r="N461">
        <f t="shared" si="38"/>
        <v>23</v>
      </c>
      <c r="O461" t="str">
        <f t="shared" si="39"/>
        <v>Switch</v>
      </c>
    </row>
    <row r="462" spans="1:15" ht="14.25" customHeight="1">
      <c r="A462">
        <v>621</v>
      </c>
      <c r="B462" s="35" t="s">
        <v>23</v>
      </c>
      <c r="C462" s="37" t="s">
        <v>405</v>
      </c>
      <c r="D462" s="37" t="s">
        <v>409</v>
      </c>
      <c r="E462" s="37" t="s">
        <v>80</v>
      </c>
      <c r="F462" s="37">
        <v>1</v>
      </c>
      <c r="G462" s="37"/>
      <c r="H462" s="86"/>
      <c r="I462" s="86">
        <v>46175</v>
      </c>
      <c r="J462" s="37" t="s">
        <v>4</v>
      </c>
      <c r="K462" s="38">
        <f t="shared" si="35"/>
        <v>1</v>
      </c>
      <c r="L462" s="39">
        <f t="shared" si="36"/>
        <v>0</v>
      </c>
      <c r="M462" s="40">
        <f t="shared" ca="1" si="37"/>
        <v>62</v>
      </c>
      <c r="N462">
        <f t="shared" si="38"/>
        <v>23</v>
      </c>
      <c r="O462" t="str">
        <f t="shared" si="39"/>
        <v>Switch</v>
      </c>
    </row>
    <row r="463" spans="1:15" ht="14.25" customHeight="1">
      <c r="A463">
        <v>620</v>
      </c>
      <c r="B463" s="35" t="s">
        <v>23</v>
      </c>
      <c r="C463" s="37" t="s">
        <v>405</v>
      </c>
      <c r="D463" s="37" t="s">
        <v>409</v>
      </c>
      <c r="E463" s="37" t="s">
        <v>74</v>
      </c>
      <c r="F463" s="37">
        <v>1</v>
      </c>
      <c r="G463" s="37"/>
      <c r="H463" s="86"/>
      <c r="I463" s="86">
        <v>46175</v>
      </c>
      <c r="J463" s="37" t="s">
        <v>4</v>
      </c>
      <c r="K463" s="38">
        <f t="shared" si="35"/>
        <v>1</v>
      </c>
      <c r="L463" s="39">
        <f t="shared" si="36"/>
        <v>0</v>
      </c>
      <c r="M463" s="40">
        <f t="shared" ca="1" si="37"/>
        <v>62</v>
      </c>
      <c r="N463">
        <f t="shared" si="38"/>
        <v>23</v>
      </c>
      <c r="O463" t="str">
        <f t="shared" si="39"/>
        <v>Switch</v>
      </c>
    </row>
    <row r="464" spans="1:15" ht="14.25" customHeight="1">
      <c r="A464">
        <v>623</v>
      </c>
      <c r="B464" s="35" t="s">
        <v>23</v>
      </c>
      <c r="C464" s="37" t="s">
        <v>405</v>
      </c>
      <c r="D464" s="37" t="s">
        <v>410</v>
      </c>
      <c r="E464" s="37" t="s">
        <v>80</v>
      </c>
      <c r="F464" s="37">
        <v>1</v>
      </c>
      <c r="G464" s="37"/>
      <c r="H464" s="86"/>
      <c r="I464" s="86">
        <v>46177</v>
      </c>
      <c r="J464" s="37" t="s">
        <v>4</v>
      </c>
      <c r="K464" s="38">
        <f t="shared" si="35"/>
        <v>1</v>
      </c>
      <c r="L464" s="39">
        <f t="shared" si="36"/>
        <v>0</v>
      </c>
      <c r="M464" s="40">
        <f t="shared" ca="1" si="37"/>
        <v>64</v>
      </c>
      <c r="N464">
        <f t="shared" si="38"/>
        <v>23</v>
      </c>
      <c r="O464" t="str">
        <f t="shared" si="39"/>
        <v>Switch</v>
      </c>
    </row>
    <row r="465" spans="1:15" ht="14.25" customHeight="1">
      <c r="A465">
        <v>622</v>
      </c>
      <c r="B465" s="35" t="s">
        <v>23</v>
      </c>
      <c r="C465" s="37" t="s">
        <v>405</v>
      </c>
      <c r="D465" s="37" t="s">
        <v>410</v>
      </c>
      <c r="E465" s="37" t="s">
        <v>74</v>
      </c>
      <c r="F465" s="37">
        <v>1</v>
      </c>
      <c r="G465" s="37"/>
      <c r="H465" s="86"/>
      <c r="I465" s="86">
        <v>46177</v>
      </c>
      <c r="J465" s="37" t="s">
        <v>4</v>
      </c>
      <c r="K465" s="38">
        <f t="shared" si="35"/>
        <v>1</v>
      </c>
      <c r="L465" s="39">
        <f t="shared" si="36"/>
        <v>0</v>
      </c>
      <c r="M465" s="40">
        <f t="shared" ca="1" si="37"/>
        <v>64</v>
      </c>
      <c r="N465">
        <f t="shared" si="38"/>
        <v>23</v>
      </c>
      <c r="O465" t="str">
        <f t="shared" si="39"/>
        <v>Switch</v>
      </c>
    </row>
    <row r="466" spans="1:15" ht="14.25" customHeight="1">
      <c r="A466">
        <v>625</v>
      </c>
      <c r="B466" s="35" t="s">
        <v>23</v>
      </c>
      <c r="C466" s="37" t="s">
        <v>405</v>
      </c>
      <c r="D466" s="37" t="s">
        <v>411</v>
      </c>
      <c r="E466" s="37" t="s">
        <v>80</v>
      </c>
      <c r="F466" s="37">
        <v>1</v>
      </c>
      <c r="G466" s="37"/>
      <c r="H466" s="86"/>
      <c r="I466" s="86">
        <v>46177</v>
      </c>
      <c r="J466" s="37" t="s">
        <v>4</v>
      </c>
      <c r="K466" s="38">
        <f t="shared" si="35"/>
        <v>1</v>
      </c>
      <c r="L466" s="39">
        <f t="shared" si="36"/>
        <v>0</v>
      </c>
      <c r="M466" s="40">
        <f t="shared" ca="1" si="37"/>
        <v>64</v>
      </c>
      <c r="N466">
        <f t="shared" si="38"/>
        <v>23</v>
      </c>
      <c r="O466" t="str">
        <f t="shared" si="39"/>
        <v>Switch</v>
      </c>
    </row>
    <row r="467" spans="1:15" ht="14.25" customHeight="1">
      <c r="A467">
        <v>624</v>
      </c>
      <c r="B467" s="35" t="s">
        <v>23</v>
      </c>
      <c r="C467" s="37" t="s">
        <v>405</v>
      </c>
      <c r="D467" s="37" t="s">
        <v>411</v>
      </c>
      <c r="E467" s="37" t="s">
        <v>74</v>
      </c>
      <c r="F467" s="37">
        <v>1</v>
      </c>
      <c r="G467" s="37"/>
      <c r="H467" s="86"/>
      <c r="I467" s="86">
        <v>46177</v>
      </c>
      <c r="J467" s="37" t="s">
        <v>4</v>
      </c>
      <c r="K467" s="38">
        <f t="shared" si="35"/>
        <v>1</v>
      </c>
      <c r="L467" s="39">
        <f t="shared" si="36"/>
        <v>0</v>
      </c>
      <c r="M467" s="40">
        <f t="shared" ca="1" si="37"/>
        <v>64</v>
      </c>
      <c r="N467">
        <f t="shared" si="38"/>
        <v>23</v>
      </c>
      <c r="O467" t="str">
        <f t="shared" si="39"/>
        <v>Switch</v>
      </c>
    </row>
    <row r="468" spans="1:15" ht="14.25" customHeight="1">
      <c r="A468">
        <v>627</v>
      </c>
      <c r="B468" s="35" t="s">
        <v>23</v>
      </c>
      <c r="C468" s="37" t="s">
        <v>405</v>
      </c>
      <c r="D468" s="37" t="s">
        <v>412</v>
      </c>
      <c r="E468" s="37" t="s">
        <v>80</v>
      </c>
      <c r="F468" s="37">
        <v>1</v>
      </c>
      <c r="G468" s="37"/>
      <c r="H468" s="86"/>
      <c r="I468" s="86">
        <v>46177</v>
      </c>
      <c r="J468" s="37" t="s">
        <v>4</v>
      </c>
      <c r="K468" s="38">
        <f t="shared" si="35"/>
        <v>1</v>
      </c>
      <c r="L468" s="39">
        <f t="shared" si="36"/>
        <v>0</v>
      </c>
      <c r="M468" s="40">
        <f t="shared" ca="1" si="37"/>
        <v>64</v>
      </c>
      <c r="N468">
        <f t="shared" si="38"/>
        <v>23</v>
      </c>
      <c r="O468" t="str">
        <f t="shared" si="39"/>
        <v>Switch</v>
      </c>
    </row>
    <row r="469" spans="1:15" ht="14.25" customHeight="1">
      <c r="A469">
        <v>626</v>
      </c>
      <c r="B469" s="35" t="s">
        <v>23</v>
      </c>
      <c r="C469" s="37" t="s">
        <v>405</v>
      </c>
      <c r="D469" s="37" t="s">
        <v>412</v>
      </c>
      <c r="E469" s="37" t="s">
        <v>74</v>
      </c>
      <c r="F469" s="37">
        <v>1</v>
      </c>
      <c r="G469" s="37"/>
      <c r="H469" s="86"/>
      <c r="I469" s="86">
        <v>46177</v>
      </c>
      <c r="J469" s="37" t="s">
        <v>4</v>
      </c>
      <c r="K469" s="38">
        <f t="shared" si="35"/>
        <v>1</v>
      </c>
      <c r="L469" s="39">
        <f t="shared" si="36"/>
        <v>0</v>
      </c>
      <c r="M469" s="40">
        <f t="shared" ca="1" si="37"/>
        <v>64</v>
      </c>
      <c r="N469">
        <f t="shared" si="38"/>
        <v>23</v>
      </c>
      <c r="O469" t="str">
        <f t="shared" si="39"/>
        <v>Switch</v>
      </c>
    </row>
    <row r="470" spans="1:15" ht="14.25" hidden="1" customHeight="1">
      <c r="A470">
        <v>630</v>
      </c>
      <c r="B470" s="35" t="s">
        <v>23</v>
      </c>
      <c r="C470" s="37" t="s">
        <v>405</v>
      </c>
      <c r="D470" s="37" t="s">
        <v>413</v>
      </c>
      <c r="E470" s="37" t="s">
        <v>118</v>
      </c>
      <c r="F470" s="37">
        <v>1</v>
      </c>
      <c r="G470" s="37"/>
      <c r="H470" s="86"/>
      <c r="I470" s="86">
        <v>46177</v>
      </c>
      <c r="J470" s="37" t="s">
        <v>4</v>
      </c>
      <c r="K470" s="38">
        <f t="shared" si="35"/>
        <v>1</v>
      </c>
      <c r="L470" s="39">
        <f t="shared" si="36"/>
        <v>0</v>
      </c>
      <c r="M470" s="40">
        <f t="shared" ca="1" si="37"/>
        <v>64</v>
      </c>
      <c r="N470">
        <f t="shared" si="38"/>
        <v>23</v>
      </c>
      <c r="O470" t="str">
        <f t="shared" si="39"/>
        <v>Switch</v>
      </c>
    </row>
    <row r="471" spans="1:15" ht="14.25" customHeight="1">
      <c r="A471">
        <v>629</v>
      </c>
      <c r="B471" s="35" t="s">
        <v>23</v>
      </c>
      <c r="C471" s="37" t="s">
        <v>405</v>
      </c>
      <c r="D471" s="37" t="s">
        <v>413</v>
      </c>
      <c r="E471" s="37" t="s">
        <v>80</v>
      </c>
      <c r="F471" s="37">
        <v>1</v>
      </c>
      <c r="G471" s="37"/>
      <c r="H471" s="86"/>
      <c r="I471" s="86">
        <v>46177</v>
      </c>
      <c r="J471" s="37" t="s">
        <v>4</v>
      </c>
      <c r="K471" s="38">
        <f t="shared" si="35"/>
        <v>1</v>
      </c>
      <c r="L471" s="39">
        <f t="shared" si="36"/>
        <v>0</v>
      </c>
      <c r="M471" s="40">
        <f t="shared" ca="1" si="37"/>
        <v>64</v>
      </c>
      <c r="N471">
        <f t="shared" si="38"/>
        <v>23</v>
      </c>
      <c r="O471" t="str">
        <f t="shared" si="39"/>
        <v>Switch</v>
      </c>
    </row>
    <row r="472" spans="1:15" ht="14.25" customHeight="1">
      <c r="A472">
        <v>628</v>
      </c>
      <c r="B472" s="35" t="s">
        <v>23</v>
      </c>
      <c r="C472" s="37" t="s">
        <v>405</v>
      </c>
      <c r="D472" s="37" t="s">
        <v>413</v>
      </c>
      <c r="E472" s="37" t="s">
        <v>74</v>
      </c>
      <c r="F472" s="37">
        <v>1</v>
      </c>
      <c r="G472" s="37"/>
      <c r="H472" s="86"/>
      <c r="I472" s="86">
        <v>46177</v>
      </c>
      <c r="J472" s="37" t="s">
        <v>4</v>
      </c>
      <c r="K472" s="38">
        <f t="shared" si="35"/>
        <v>1</v>
      </c>
      <c r="L472" s="39">
        <f t="shared" si="36"/>
        <v>0</v>
      </c>
      <c r="M472" s="40">
        <f t="shared" ca="1" si="37"/>
        <v>64</v>
      </c>
      <c r="N472">
        <f t="shared" si="38"/>
        <v>23</v>
      </c>
      <c r="O472" t="str">
        <f t="shared" si="39"/>
        <v>Switch</v>
      </c>
    </row>
    <row r="473" spans="1:15" ht="14.25" customHeight="1">
      <c r="A473">
        <v>632</v>
      </c>
      <c r="B473" s="35" t="s">
        <v>23</v>
      </c>
      <c r="C473" s="37" t="s">
        <v>405</v>
      </c>
      <c r="D473" s="37" t="s">
        <v>414</v>
      </c>
      <c r="E473" s="37" t="s">
        <v>80</v>
      </c>
      <c r="F473" s="37">
        <v>1</v>
      </c>
      <c r="G473" s="37"/>
      <c r="H473" s="86"/>
      <c r="I473" s="86">
        <v>46177</v>
      </c>
      <c r="J473" s="37" t="s">
        <v>4</v>
      </c>
      <c r="K473" s="38">
        <f t="shared" si="35"/>
        <v>1</v>
      </c>
      <c r="L473" s="39">
        <f t="shared" si="36"/>
        <v>0</v>
      </c>
      <c r="M473" s="40">
        <f t="shared" ca="1" si="37"/>
        <v>64</v>
      </c>
      <c r="N473">
        <f t="shared" si="38"/>
        <v>23</v>
      </c>
      <c r="O473" t="str">
        <f t="shared" si="39"/>
        <v>Switch</v>
      </c>
    </row>
    <row r="474" spans="1:15" ht="14.25" customHeight="1">
      <c r="A474">
        <v>631</v>
      </c>
      <c r="B474" s="35" t="s">
        <v>23</v>
      </c>
      <c r="C474" s="37" t="s">
        <v>405</v>
      </c>
      <c r="D474" s="37" t="s">
        <v>414</v>
      </c>
      <c r="E474" s="37" t="s">
        <v>74</v>
      </c>
      <c r="F474" s="37">
        <v>1</v>
      </c>
      <c r="G474" s="37"/>
      <c r="H474" s="86"/>
      <c r="I474" s="86">
        <v>46177</v>
      </c>
      <c r="J474" s="37" t="s">
        <v>4</v>
      </c>
      <c r="K474" s="38">
        <f t="shared" si="35"/>
        <v>1</v>
      </c>
      <c r="L474" s="39">
        <f t="shared" si="36"/>
        <v>0</v>
      </c>
      <c r="M474" s="40">
        <f t="shared" ca="1" si="37"/>
        <v>64</v>
      </c>
      <c r="N474">
        <f t="shared" si="38"/>
        <v>23</v>
      </c>
      <c r="O474" t="str">
        <f t="shared" si="39"/>
        <v>Switch</v>
      </c>
    </row>
    <row r="475" spans="1:15" ht="14.25" hidden="1" customHeight="1">
      <c r="A475">
        <v>524</v>
      </c>
      <c r="B475" s="35" t="s">
        <v>23</v>
      </c>
      <c r="C475" s="37" t="s">
        <v>415</v>
      </c>
      <c r="D475" s="37" t="s">
        <v>416</v>
      </c>
      <c r="E475" s="37" t="s">
        <v>118</v>
      </c>
      <c r="F475" s="37">
        <v>1</v>
      </c>
      <c r="G475" s="37"/>
      <c r="H475" s="86"/>
      <c r="I475" s="86">
        <v>46170</v>
      </c>
      <c r="J475" s="37" t="s">
        <v>4</v>
      </c>
      <c r="K475" s="38">
        <f t="shared" si="35"/>
        <v>1</v>
      </c>
      <c r="L475" s="39">
        <f t="shared" si="36"/>
        <v>0</v>
      </c>
      <c r="M475" s="40">
        <f t="shared" ca="1" si="37"/>
        <v>57</v>
      </c>
      <c r="N475">
        <f t="shared" si="38"/>
        <v>22</v>
      </c>
      <c r="O475" t="str">
        <f t="shared" si="39"/>
        <v>Switch</v>
      </c>
    </row>
    <row r="476" spans="1:15" ht="14.25" customHeight="1">
      <c r="A476">
        <v>523</v>
      </c>
      <c r="B476" s="35" t="s">
        <v>23</v>
      </c>
      <c r="C476" s="37" t="s">
        <v>415</v>
      </c>
      <c r="D476" s="37" t="s">
        <v>416</v>
      </c>
      <c r="E476" s="37" t="s">
        <v>80</v>
      </c>
      <c r="F476" s="37">
        <v>1</v>
      </c>
      <c r="G476" s="37"/>
      <c r="H476" s="86"/>
      <c r="I476" s="86">
        <v>46170</v>
      </c>
      <c r="J476" s="37" t="s">
        <v>4</v>
      </c>
      <c r="K476" s="38">
        <f t="shared" si="35"/>
        <v>1</v>
      </c>
      <c r="L476" s="39">
        <f t="shared" si="36"/>
        <v>0</v>
      </c>
      <c r="M476" s="40">
        <f t="shared" ca="1" si="37"/>
        <v>57</v>
      </c>
      <c r="N476">
        <f t="shared" si="38"/>
        <v>22</v>
      </c>
      <c r="O476" t="str">
        <f t="shared" si="39"/>
        <v>Switch</v>
      </c>
    </row>
    <row r="477" spans="1:15" ht="14.25" customHeight="1">
      <c r="A477">
        <v>522</v>
      </c>
      <c r="B477" s="35" t="s">
        <v>23</v>
      </c>
      <c r="C477" s="37" t="s">
        <v>415</v>
      </c>
      <c r="D477" s="37" t="s">
        <v>416</v>
      </c>
      <c r="E477" s="37" t="s">
        <v>74</v>
      </c>
      <c r="F477" s="37">
        <v>2</v>
      </c>
      <c r="G477" s="37"/>
      <c r="H477" s="86"/>
      <c r="I477" s="86">
        <v>46170</v>
      </c>
      <c r="J477" s="37" t="s">
        <v>4</v>
      </c>
      <c r="K477" s="38">
        <f t="shared" si="35"/>
        <v>2</v>
      </c>
      <c r="L477" s="39">
        <f t="shared" si="36"/>
        <v>0</v>
      </c>
      <c r="M477" s="40">
        <f t="shared" ca="1" si="37"/>
        <v>57</v>
      </c>
      <c r="N477">
        <f t="shared" si="38"/>
        <v>22</v>
      </c>
      <c r="O477" t="str">
        <f t="shared" si="39"/>
        <v>Switch</v>
      </c>
    </row>
    <row r="478" spans="1:15" ht="14.25" hidden="1" customHeight="1">
      <c r="A478">
        <v>527</v>
      </c>
      <c r="B478" s="35" t="s">
        <v>23</v>
      </c>
      <c r="C478" s="37" t="s">
        <v>415</v>
      </c>
      <c r="D478" s="37" t="s">
        <v>417</v>
      </c>
      <c r="E478" s="37" t="s">
        <v>90</v>
      </c>
      <c r="F478" s="37">
        <v>1</v>
      </c>
      <c r="G478" s="37"/>
      <c r="H478" s="86"/>
      <c r="I478" s="86">
        <v>46170</v>
      </c>
      <c r="J478" s="37" t="s">
        <v>4</v>
      </c>
      <c r="K478" s="38">
        <f t="shared" si="35"/>
        <v>1</v>
      </c>
      <c r="L478" s="39">
        <f t="shared" si="36"/>
        <v>0</v>
      </c>
      <c r="M478" s="40">
        <f t="shared" ca="1" si="37"/>
        <v>57</v>
      </c>
      <c r="N478">
        <f t="shared" si="38"/>
        <v>22</v>
      </c>
      <c r="O478" t="str">
        <f t="shared" si="39"/>
        <v>Switch</v>
      </c>
    </row>
    <row r="479" spans="1:15" ht="14.25" customHeight="1">
      <c r="A479">
        <v>526</v>
      </c>
      <c r="B479" s="35" t="s">
        <v>23</v>
      </c>
      <c r="C479" s="37" t="s">
        <v>415</v>
      </c>
      <c r="D479" s="37" t="s">
        <v>417</v>
      </c>
      <c r="E479" s="37" t="s">
        <v>80</v>
      </c>
      <c r="F479" s="37">
        <v>1</v>
      </c>
      <c r="G479" s="37"/>
      <c r="H479" s="86"/>
      <c r="I479" s="86">
        <v>46170</v>
      </c>
      <c r="J479" s="37" t="s">
        <v>4</v>
      </c>
      <c r="K479" s="38">
        <f t="shared" si="35"/>
        <v>1</v>
      </c>
      <c r="L479" s="39">
        <f t="shared" si="36"/>
        <v>0</v>
      </c>
      <c r="M479" s="40">
        <f t="shared" ca="1" si="37"/>
        <v>57</v>
      </c>
      <c r="N479">
        <f t="shared" si="38"/>
        <v>22</v>
      </c>
      <c r="O479" t="str">
        <f t="shared" si="39"/>
        <v>Switch</v>
      </c>
    </row>
    <row r="480" spans="1:15" ht="14.25" customHeight="1">
      <c r="A480">
        <v>525</v>
      </c>
      <c r="B480" s="35" t="s">
        <v>23</v>
      </c>
      <c r="C480" s="37" t="s">
        <v>415</v>
      </c>
      <c r="D480" s="37" t="s">
        <v>417</v>
      </c>
      <c r="E480" s="37" t="s">
        <v>74</v>
      </c>
      <c r="F480" s="37">
        <v>1</v>
      </c>
      <c r="G480" s="37"/>
      <c r="H480" s="86"/>
      <c r="I480" s="86">
        <v>46170</v>
      </c>
      <c r="J480" s="37" t="s">
        <v>4</v>
      </c>
      <c r="K480" s="38">
        <f t="shared" si="35"/>
        <v>1</v>
      </c>
      <c r="L480" s="39">
        <f t="shared" si="36"/>
        <v>0</v>
      </c>
      <c r="M480" s="40">
        <f t="shared" ca="1" si="37"/>
        <v>57</v>
      </c>
      <c r="N480">
        <f t="shared" si="38"/>
        <v>22</v>
      </c>
      <c r="O480" t="str">
        <f t="shared" si="39"/>
        <v>Switch</v>
      </c>
    </row>
    <row r="481" spans="1:15" ht="14.25" customHeight="1">
      <c r="A481">
        <v>528</v>
      </c>
      <c r="B481" s="35" t="s">
        <v>23</v>
      </c>
      <c r="C481" s="37" t="s">
        <v>415</v>
      </c>
      <c r="D481" s="37" t="s">
        <v>418</v>
      </c>
      <c r="E481" s="37" t="s">
        <v>74</v>
      </c>
      <c r="F481" s="37">
        <v>1</v>
      </c>
      <c r="G481" s="37"/>
      <c r="H481" s="86"/>
      <c r="I481" s="86">
        <v>46170</v>
      </c>
      <c r="J481" s="37" t="s">
        <v>4</v>
      </c>
      <c r="K481" s="38">
        <f t="shared" si="35"/>
        <v>1</v>
      </c>
      <c r="L481" s="39">
        <f t="shared" si="36"/>
        <v>0</v>
      </c>
      <c r="M481" s="40">
        <f t="shared" ca="1" si="37"/>
        <v>57</v>
      </c>
      <c r="N481">
        <f t="shared" si="38"/>
        <v>22</v>
      </c>
      <c r="O481" t="str">
        <f t="shared" si="39"/>
        <v>Switch</v>
      </c>
    </row>
    <row r="482" spans="1:15" ht="14.25" customHeight="1">
      <c r="A482">
        <v>530</v>
      </c>
      <c r="B482" s="35" t="s">
        <v>23</v>
      </c>
      <c r="C482" s="37" t="s">
        <v>415</v>
      </c>
      <c r="D482" s="37" t="s">
        <v>419</v>
      </c>
      <c r="E482" s="37" t="s">
        <v>80</v>
      </c>
      <c r="F482" s="37">
        <v>1</v>
      </c>
      <c r="G482" s="37"/>
      <c r="H482" s="86"/>
      <c r="I482" s="86">
        <v>46170</v>
      </c>
      <c r="J482" s="37" t="s">
        <v>4</v>
      </c>
      <c r="K482" s="38">
        <f t="shared" si="35"/>
        <v>1</v>
      </c>
      <c r="L482" s="39">
        <f t="shared" si="36"/>
        <v>0</v>
      </c>
      <c r="M482" s="40">
        <f t="shared" ca="1" si="37"/>
        <v>57</v>
      </c>
      <c r="N482">
        <f t="shared" si="38"/>
        <v>22</v>
      </c>
      <c r="O482" t="str">
        <f t="shared" si="39"/>
        <v>Switch</v>
      </c>
    </row>
    <row r="483" spans="1:15" ht="14.25" customHeight="1">
      <c r="A483">
        <v>529</v>
      </c>
      <c r="B483" s="35" t="s">
        <v>23</v>
      </c>
      <c r="C483" s="37" t="s">
        <v>415</v>
      </c>
      <c r="D483" s="37" t="s">
        <v>419</v>
      </c>
      <c r="E483" s="37" t="s">
        <v>74</v>
      </c>
      <c r="F483" s="37">
        <v>1</v>
      </c>
      <c r="G483" s="37"/>
      <c r="H483" s="86"/>
      <c r="I483" s="86">
        <v>46170</v>
      </c>
      <c r="J483" s="37" t="s">
        <v>4</v>
      </c>
      <c r="K483" s="38">
        <f t="shared" si="35"/>
        <v>1</v>
      </c>
      <c r="L483" s="39">
        <f t="shared" si="36"/>
        <v>0</v>
      </c>
      <c r="M483" s="40">
        <f t="shared" ca="1" si="37"/>
        <v>57</v>
      </c>
      <c r="N483">
        <f t="shared" si="38"/>
        <v>22</v>
      </c>
      <c r="O483" t="str">
        <f t="shared" si="39"/>
        <v>Switch</v>
      </c>
    </row>
    <row r="484" spans="1:15" ht="14.25" hidden="1" customHeight="1">
      <c r="A484">
        <v>533</v>
      </c>
      <c r="B484" s="35" t="s">
        <v>23</v>
      </c>
      <c r="C484" s="37" t="s">
        <v>415</v>
      </c>
      <c r="D484" s="37" t="s">
        <v>420</v>
      </c>
      <c r="E484" s="37" t="s">
        <v>90</v>
      </c>
      <c r="F484" s="37">
        <v>1</v>
      </c>
      <c r="G484" s="37"/>
      <c r="H484" s="86"/>
      <c r="I484" s="86">
        <v>46170</v>
      </c>
      <c r="J484" s="37" t="s">
        <v>4</v>
      </c>
      <c r="K484" s="38">
        <f t="shared" si="35"/>
        <v>1</v>
      </c>
      <c r="L484" s="39">
        <f t="shared" si="36"/>
        <v>0</v>
      </c>
      <c r="M484" s="40">
        <f t="shared" ca="1" si="37"/>
        <v>57</v>
      </c>
      <c r="N484">
        <f t="shared" si="38"/>
        <v>22</v>
      </c>
      <c r="O484" t="str">
        <f t="shared" si="39"/>
        <v>Switch</v>
      </c>
    </row>
    <row r="485" spans="1:15" ht="14.25" customHeight="1">
      <c r="A485">
        <v>532</v>
      </c>
      <c r="B485" s="35" t="s">
        <v>23</v>
      </c>
      <c r="C485" s="37" t="s">
        <v>415</v>
      </c>
      <c r="D485" s="37" t="s">
        <v>420</v>
      </c>
      <c r="E485" s="37" t="s">
        <v>80</v>
      </c>
      <c r="F485" s="37">
        <v>1</v>
      </c>
      <c r="G485" s="37"/>
      <c r="H485" s="86"/>
      <c r="I485" s="86">
        <v>46170</v>
      </c>
      <c r="J485" s="37" t="s">
        <v>4</v>
      </c>
      <c r="K485" s="38">
        <f t="shared" si="35"/>
        <v>1</v>
      </c>
      <c r="L485" s="39">
        <f t="shared" si="36"/>
        <v>0</v>
      </c>
      <c r="M485" s="40">
        <f t="shared" ca="1" si="37"/>
        <v>57</v>
      </c>
      <c r="N485">
        <f t="shared" si="38"/>
        <v>22</v>
      </c>
      <c r="O485" t="str">
        <f t="shared" si="39"/>
        <v>Switch</v>
      </c>
    </row>
    <row r="486" spans="1:15" ht="14.25" customHeight="1">
      <c r="A486">
        <v>531</v>
      </c>
      <c r="B486" s="35" t="s">
        <v>23</v>
      </c>
      <c r="C486" s="37" t="s">
        <v>415</v>
      </c>
      <c r="D486" s="37" t="s">
        <v>420</v>
      </c>
      <c r="E486" s="37" t="s">
        <v>74</v>
      </c>
      <c r="F486" s="37">
        <v>1</v>
      </c>
      <c r="G486" s="37"/>
      <c r="H486" s="86"/>
      <c r="I486" s="86">
        <v>46170</v>
      </c>
      <c r="J486" s="37" t="s">
        <v>4</v>
      </c>
      <c r="K486" s="38">
        <f t="shared" si="35"/>
        <v>1</v>
      </c>
      <c r="L486" s="39">
        <f t="shared" si="36"/>
        <v>0</v>
      </c>
      <c r="M486" s="40">
        <f t="shared" ca="1" si="37"/>
        <v>57</v>
      </c>
      <c r="N486">
        <f t="shared" si="38"/>
        <v>22</v>
      </c>
      <c r="O486" t="str">
        <f t="shared" si="39"/>
        <v>Switch</v>
      </c>
    </row>
    <row r="487" spans="1:15" ht="14.25" hidden="1" customHeight="1">
      <c r="A487">
        <v>536</v>
      </c>
      <c r="B487" s="35" t="s">
        <v>23</v>
      </c>
      <c r="C487" s="37" t="s">
        <v>415</v>
      </c>
      <c r="D487" s="37" t="s">
        <v>421</v>
      </c>
      <c r="E487" s="37" t="s">
        <v>90</v>
      </c>
      <c r="F487" s="37">
        <v>1</v>
      </c>
      <c r="G487" s="37"/>
      <c r="H487" s="86"/>
      <c r="I487" s="86">
        <v>46171</v>
      </c>
      <c r="J487" s="37" t="s">
        <v>4</v>
      </c>
      <c r="K487" s="38">
        <f t="shared" si="35"/>
        <v>1</v>
      </c>
      <c r="L487" s="39">
        <f t="shared" si="36"/>
        <v>0</v>
      </c>
      <c r="M487" s="40">
        <f t="shared" ca="1" si="37"/>
        <v>58</v>
      </c>
      <c r="N487">
        <f t="shared" si="38"/>
        <v>22</v>
      </c>
      <c r="O487" t="str">
        <f t="shared" si="39"/>
        <v>Switch</v>
      </c>
    </row>
    <row r="488" spans="1:15" ht="14.25" customHeight="1">
      <c r="A488">
        <v>535</v>
      </c>
      <c r="B488" s="35" t="s">
        <v>23</v>
      </c>
      <c r="C488" s="37" t="s">
        <v>415</v>
      </c>
      <c r="D488" s="37" t="s">
        <v>421</v>
      </c>
      <c r="E488" s="37" t="s">
        <v>80</v>
      </c>
      <c r="F488" s="37">
        <v>1</v>
      </c>
      <c r="G488" s="37"/>
      <c r="H488" s="86"/>
      <c r="I488" s="86">
        <v>46171</v>
      </c>
      <c r="J488" s="37" t="s">
        <v>4</v>
      </c>
      <c r="K488" s="38">
        <f t="shared" si="35"/>
        <v>1</v>
      </c>
      <c r="L488" s="39">
        <f t="shared" si="36"/>
        <v>0</v>
      </c>
      <c r="M488" s="40">
        <f t="shared" ca="1" si="37"/>
        <v>58</v>
      </c>
      <c r="N488">
        <f t="shared" si="38"/>
        <v>22</v>
      </c>
      <c r="O488" t="str">
        <f t="shared" si="39"/>
        <v>Switch</v>
      </c>
    </row>
    <row r="489" spans="1:15" ht="14.25" customHeight="1">
      <c r="A489">
        <v>534</v>
      </c>
      <c r="B489" s="35" t="s">
        <v>23</v>
      </c>
      <c r="C489" s="37" t="s">
        <v>415</v>
      </c>
      <c r="D489" s="37" t="s">
        <v>421</v>
      </c>
      <c r="E489" s="37" t="s">
        <v>74</v>
      </c>
      <c r="F489" s="37">
        <v>1</v>
      </c>
      <c r="G489" s="37"/>
      <c r="H489" s="86"/>
      <c r="I489" s="86">
        <v>46171</v>
      </c>
      <c r="J489" s="37" t="s">
        <v>4</v>
      </c>
      <c r="K489" s="38">
        <f t="shared" si="35"/>
        <v>1</v>
      </c>
      <c r="L489" s="39">
        <f t="shared" si="36"/>
        <v>0</v>
      </c>
      <c r="M489" s="40">
        <f t="shared" ca="1" si="37"/>
        <v>58</v>
      </c>
      <c r="N489">
        <f t="shared" si="38"/>
        <v>22</v>
      </c>
      <c r="O489" t="str">
        <f t="shared" si="39"/>
        <v>Switch</v>
      </c>
    </row>
    <row r="490" spans="1:15" ht="14.25" customHeight="1">
      <c r="A490">
        <v>537</v>
      </c>
      <c r="B490" s="35" t="s">
        <v>23</v>
      </c>
      <c r="C490" s="37" t="s">
        <v>415</v>
      </c>
      <c r="D490" s="37" t="s">
        <v>422</v>
      </c>
      <c r="E490" s="37" t="s">
        <v>74</v>
      </c>
      <c r="F490" s="37">
        <v>1</v>
      </c>
      <c r="G490" s="37"/>
      <c r="H490" s="86"/>
      <c r="I490" s="86">
        <v>46171</v>
      </c>
      <c r="J490" s="37" t="s">
        <v>4</v>
      </c>
      <c r="K490" s="38">
        <f t="shared" si="35"/>
        <v>1</v>
      </c>
      <c r="L490" s="39">
        <f t="shared" si="36"/>
        <v>0</v>
      </c>
      <c r="M490" s="40">
        <f t="shared" ca="1" si="37"/>
        <v>58</v>
      </c>
      <c r="N490">
        <f t="shared" si="38"/>
        <v>22</v>
      </c>
      <c r="O490" t="str">
        <f t="shared" si="39"/>
        <v>Switch</v>
      </c>
    </row>
    <row r="491" spans="1:15" ht="14.25" customHeight="1">
      <c r="A491">
        <v>539</v>
      </c>
      <c r="B491" s="35" t="s">
        <v>23</v>
      </c>
      <c r="C491" s="37" t="s">
        <v>415</v>
      </c>
      <c r="D491" s="37" t="s">
        <v>423</v>
      </c>
      <c r="E491" s="37" t="s">
        <v>80</v>
      </c>
      <c r="F491" s="37">
        <v>1</v>
      </c>
      <c r="G491" s="37"/>
      <c r="H491" s="86"/>
      <c r="I491" s="86">
        <v>46171</v>
      </c>
      <c r="J491" s="37" t="s">
        <v>4</v>
      </c>
      <c r="K491" s="38">
        <f t="shared" si="35"/>
        <v>1</v>
      </c>
      <c r="L491" s="39">
        <f t="shared" si="36"/>
        <v>0</v>
      </c>
      <c r="M491" s="40">
        <f t="shared" ca="1" si="37"/>
        <v>58</v>
      </c>
      <c r="N491">
        <f t="shared" si="38"/>
        <v>22</v>
      </c>
      <c r="O491" t="str">
        <f t="shared" si="39"/>
        <v>Switch</v>
      </c>
    </row>
    <row r="492" spans="1:15" ht="14.25" customHeight="1">
      <c r="A492">
        <v>538</v>
      </c>
      <c r="B492" s="35" t="s">
        <v>23</v>
      </c>
      <c r="C492" s="37" t="s">
        <v>415</v>
      </c>
      <c r="D492" s="37" t="s">
        <v>423</v>
      </c>
      <c r="E492" s="37" t="s">
        <v>74</v>
      </c>
      <c r="F492" s="37">
        <v>1</v>
      </c>
      <c r="G492" s="37"/>
      <c r="H492" s="86"/>
      <c r="I492" s="86">
        <v>46171</v>
      </c>
      <c r="J492" s="37" t="s">
        <v>4</v>
      </c>
      <c r="K492" s="38">
        <f t="shared" si="35"/>
        <v>1</v>
      </c>
      <c r="L492" s="39">
        <f t="shared" si="36"/>
        <v>0</v>
      </c>
      <c r="M492" s="40">
        <f t="shared" ca="1" si="37"/>
        <v>58</v>
      </c>
      <c r="N492">
        <f t="shared" si="38"/>
        <v>22</v>
      </c>
      <c r="O492" t="str">
        <f t="shared" si="39"/>
        <v>Switch</v>
      </c>
    </row>
    <row r="493" spans="1:15" ht="14.25" hidden="1" customHeight="1">
      <c r="A493">
        <v>542</v>
      </c>
      <c r="B493" s="35" t="s">
        <v>23</v>
      </c>
      <c r="C493" s="37" t="s">
        <v>415</v>
      </c>
      <c r="D493" s="37" t="s">
        <v>424</v>
      </c>
      <c r="E493" s="37" t="s">
        <v>90</v>
      </c>
      <c r="F493" s="37">
        <v>1</v>
      </c>
      <c r="G493" s="37"/>
      <c r="H493" s="86"/>
      <c r="I493" s="86">
        <v>46171</v>
      </c>
      <c r="J493" s="37" t="s">
        <v>4</v>
      </c>
      <c r="K493" s="38">
        <f t="shared" si="35"/>
        <v>1</v>
      </c>
      <c r="L493" s="39">
        <f t="shared" si="36"/>
        <v>0</v>
      </c>
      <c r="M493" s="40">
        <f t="shared" ca="1" si="37"/>
        <v>58</v>
      </c>
      <c r="N493">
        <f t="shared" si="38"/>
        <v>22</v>
      </c>
      <c r="O493" t="str">
        <f t="shared" si="39"/>
        <v>Switch</v>
      </c>
    </row>
    <row r="494" spans="1:15" ht="14.25" customHeight="1">
      <c r="A494">
        <v>541</v>
      </c>
      <c r="B494" s="35" t="s">
        <v>23</v>
      </c>
      <c r="C494" s="37" t="s">
        <v>415</v>
      </c>
      <c r="D494" s="37" t="s">
        <v>424</v>
      </c>
      <c r="E494" s="37" t="s">
        <v>80</v>
      </c>
      <c r="F494" s="37">
        <v>1</v>
      </c>
      <c r="G494" s="37"/>
      <c r="H494" s="86"/>
      <c r="I494" s="86">
        <v>46171</v>
      </c>
      <c r="J494" s="37" t="s">
        <v>4</v>
      </c>
      <c r="K494" s="38">
        <f t="shared" si="35"/>
        <v>1</v>
      </c>
      <c r="L494" s="39">
        <f t="shared" si="36"/>
        <v>0</v>
      </c>
      <c r="M494" s="40">
        <f t="shared" ca="1" si="37"/>
        <v>58</v>
      </c>
      <c r="N494">
        <f t="shared" si="38"/>
        <v>22</v>
      </c>
      <c r="O494" t="str">
        <f t="shared" si="39"/>
        <v>Switch</v>
      </c>
    </row>
    <row r="495" spans="1:15" ht="14.25" customHeight="1">
      <c r="A495">
        <v>540</v>
      </c>
      <c r="B495" s="35" t="s">
        <v>23</v>
      </c>
      <c r="C495" s="37" t="s">
        <v>415</v>
      </c>
      <c r="D495" s="37" t="s">
        <v>424</v>
      </c>
      <c r="E495" s="37" t="s">
        <v>74</v>
      </c>
      <c r="F495" s="37">
        <v>2</v>
      </c>
      <c r="G495" s="37"/>
      <c r="H495" s="86"/>
      <c r="I495" s="86">
        <v>46171</v>
      </c>
      <c r="J495" s="37" t="s">
        <v>4</v>
      </c>
      <c r="K495" s="38">
        <f t="shared" si="35"/>
        <v>2</v>
      </c>
      <c r="L495" s="39">
        <f t="shared" si="36"/>
        <v>0</v>
      </c>
      <c r="M495" s="40">
        <f t="shared" ca="1" si="37"/>
        <v>58</v>
      </c>
      <c r="N495">
        <f t="shared" si="38"/>
        <v>22</v>
      </c>
      <c r="O495" t="str">
        <f t="shared" si="39"/>
        <v>Switch</v>
      </c>
    </row>
    <row r="496" spans="1:15" ht="14.25" customHeight="1">
      <c r="A496">
        <v>544</v>
      </c>
      <c r="B496" s="35" t="s">
        <v>23</v>
      </c>
      <c r="C496" s="37" t="s">
        <v>415</v>
      </c>
      <c r="D496" s="37" t="s">
        <v>425</v>
      </c>
      <c r="E496" s="37" t="s">
        <v>80</v>
      </c>
      <c r="F496" s="37">
        <v>1</v>
      </c>
      <c r="G496" s="37"/>
      <c r="H496" s="86"/>
      <c r="I496" s="86">
        <v>46171</v>
      </c>
      <c r="J496" s="37" t="s">
        <v>4</v>
      </c>
      <c r="K496" s="38">
        <f t="shared" si="35"/>
        <v>1</v>
      </c>
      <c r="L496" s="39">
        <f t="shared" si="36"/>
        <v>0</v>
      </c>
      <c r="M496" s="40">
        <f t="shared" ca="1" si="37"/>
        <v>58</v>
      </c>
      <c r="N496">
        <f t="shared" si="38"/>
        <v>22</v>
      </c>
      <c r="O496" t="str">
        <f t="shared" si="39"/>
        <v>Switch</v>
      </c>
    </row>
    <row r="497" spans="1:15" ht="14.25" customHeight="1">
      <c r="A497">
        <v>543</v>
      </c>
      <c r="B497" s="35" t="s">
        <v>23</v>
      </c>
      <c r="C497" s="37" t="s">
        <v>415</v>
      </c>
      <c r="D497" s="37" t="s">
        <v>425</v>
      </c>
      <c r="E497" s="37" t="s">
        <v>74</v>
      </c>
      <c r="F497" s="37">
        <v>1</v>
      </c>
      <c r="G497" s="37"/>
      <c r="H497" s="86"/>
      <c r="I497" s="86">
        <v>46171</v>
      </c>
      <c r="J497" s="37" t="s">
        <v>4</v>
      </c>
      <c r="K497" s="38">
        <f t="shared" si="35"/>
        <v>1</v>
      </c>
      <c r="L497" s="39">
        <f t="shared" si="36"/>
        <v>0</v>
      </c>
      <c r="M497" s="40">
        <f t="shared" ca="1" si="37"/>
        <v>58</v>
      </c>
      <c r="N497">
        <f t="shared" si="38"/>
        <v>22</v>
      </c>
      <c r="O497" t="str">
        <f t="shared" si="39"/>
        <v>Switch</v>
      </c>
    </row>
    <row r="498" spans="1:15" ht="14.25" customHeight="1">
      <c r="A498">
        <v>546</v>
      </c>
      <c r="B498" s="35" t="s">
        <v>23</v>
      </c>
      <c r="C498" s="37" t="s">
        <v>415</v>
      </c>
      <c r="D498" s="37" t="s">
        <v>426</v>
      </c>
      <c r="E498" s="37" t="s">
        <v>80</v>
      </c>
      <c r="F498" s="37">
        <v>1</v>
      </c>
      <c r="G498" s="37"/>
      <c r="H498" s="86"/>
      <c r="I498" s="86">
        <v>46174</v>
      </c>
      <c r="J498" s="37" t="s">
        <v>4</v>
      </c>
      <c r="K498" s="38">
        <f t="shared" si="35"/>
        <v>1</v>
      </c>
      <c r="L498" s="39">
        <f t="shared" si="36"/>
        <v>0</v>
      </c>
      <c r="M498" s="40">
        <f t="shared" ca="1" si="37"/>
        <v>61</v>
      </c>
      <c r="N498">
        <f t="shared" si="38"/>
        <v>23</v>
      </c>
      <c r="O498" t="str">
        <f t="shared" si="39"/>
        <v>Switch</v>
      </c>
    </row>
    <row r="499" spans="1:15" ht="14.25" customHeight="1">
      <c r="A499">
        <v>545</v>
      </c>
      <c r="B499" s="35" t="s">
        <v>23</v>
      </c>
      <c r="C499" s="37" t="s">
        <v>415</v>
      </c>
      <c r="D499" s="37" t="s">
        <v>426</v>
      </c>
      <c r="E499" s="37" t="s">
        <v>74</v>
      </c>
      <c r="F499" s="37">
        <v>1</v>
      </c>
      <c r="G499" s="37"/>
      <c r="H499" s="86"/>
      <c r="I499" s="86">
        <v>46174</v>
      </c>
      <c r="J499" s="37" t="s">
        <v>4</v>
      </c>
      <c r="K499" s="38">
        <f t="shared" si="35"/>
        <v>1</v>
      </c>
      <c r="L499" s="39">
        <f t="shared" si="36"/>
        <v>0</v>
      </c>
      <c r="M499" s="40">
        <f t="shared" ca="1" si="37"/>
        <v>61</v>
      </c>
      <c r="N499">
        <f t="shared" si="38"/>
        <v>23</v>
      </c>
      <c r="O499" t="str">
        <f t="shared" si="39"/>
        <v>Switch</v>
      </c>
    </row>
    <row r="500" spans="1:15" ht="14.25" customHeight="1">
      <c r="A500">
        <v>548</v>
      </c>
      <c r="B500" s="35" t="s">
        <v>23</v>
      </c>
      <c r="C500" s="37" t="s">
        <v>415</v>
      </c>
      <c r="D500" s="37" t="s">
        <v>427</v>
      </c>
      <c r="E500" s="37" t="s">
        <v>80</v>
      </c>
      <c r="F500" s="37">
        <v>1</v>
      </c>
      <c r="G500" s="37"/>
      <c r="H500" s="86"/>
      <c r="I500" s="86">
        <v>46174</v>
      </c>
      <c r="J500" s="37" t="s">
        <v>4</v>
      </c>
      <c r="K500" s="38">
        <f t="shared" si="35"/>
        <v>1</v>
      </c>
      <c r="L500" s="39">
        <f t="shared" si="36"/>
        <v>0</v>
      </c>
      <c r="M500" s="40">
        <f t="shared" ca="1" si="37"/>
        <v>61</v>
      </c>
      <c r="N500">
        <f t="shared" si="38"/>
        <v>23</v>
      </c>
      <c r="O500" t="str">
        <f t="shared" si="39"/>
        <v>Switch</v>
      </c>
    </row>
    <row r="501" spans="1:15" ht="14.25" customHeight="1">
      <c r="A501">
        <v>547</v>
      </c>
      <c r="B501" s="35" t="s">
        <v>23</v>
      </c>
      <c r="C501" s="37" t="s">
        <v>415</v>
      </c>
      <c r="D501" s="37" t="s">
        <v>427</v>
      </c>
      <c r="E501" s="37" t="s">
        <v>74</v>
      </c>
      <c r="F501" s="37">
        <v>1</v>
      </c>
      <c r="G501" s="37"/>
      <c r="H501" s="86"/>
      <c r="I501" s="86">
        <v>46174</v>
      </c>
      <c r="J501" s="37" t="s">
        <v>4</v>
      </c>
      <c r="K501" s="38">
        <f t="shared" si="35"/>
        <v>1</v>
      </c>
      <c r="L501" s="39">
        <f t="shared" si="36"/>
        <v>0</v>
      </c>
      <c r="M501" s="40">
        <f t="shared" ca="1" si="37"/>
        <v>61</v>
      </c>
      <c r="N501">
        <f t="shared" si="38"/>
        <v>23</v>
      </c>
      <c r="O501" t="str">
        <f t="shared" si="39"/>
        <v>Switch</v>
      </c>
    </row>
    <row r="502" spans="1:15" ht="14.25" customHeight="1">
      <c r="A502">
        <v>550</v>
      </c>
      <c r="B502" s="35" t="s">
        <v>23</v>
      </c>
      <c r="C502" s="37" t="s">
        <v>415</v>
      </c>
      <c r="D502" s="37" t="s">
        <v>428</v>
      </c>
      <c r="E502" s="37" t="s">
        <v>80</v>
      </c>
      <c r="F502" s="37">
        <v>1</v>
      </c>
      <c r="G502" s="37"/>
      <c r="H502" s="86"/>
      <c r="I502" s="86">
        <v>46174</v>
      </c>
      <c r="J502" s="37" t="s">
        <v>4</v>
      </c>
      <c r="K502" s="38">
        <f t="shared" si="35"/>
        <v>1</v>
      </c>
      <c r="L502" s="39">
        <f t="shared" si="36"/>
        <v>0</v>
      </c>
      <c r="M502" s="40">
        <f t="shared" ca="1" si="37"/>
        <v>61</v>
      </c>
      <c r="N502">
        <f t="shared" si="38"/>
        <v>23</v>
      </c>
      <c r="O502" t="str">
        <f t="shared" si="39"/>
        <v>Switch</v>
      </c>
    </row>
    <row r="503" spans="1:15" ht="14.25" customHeight="1">
      <c r="A503">
        <v>549</v>
      </c>
      <c r="B503" s="35" t="s">
        <v>23</v>
      </c>
      <c r="C503" s="37" t="s">
        <v>415</v>
      </c>
      <c r="D503" s="37" t="s">
        <v>428</v>
      </c>
      <c r="E503" s="37" t="s">
        <v>74</v>
      </c>
      <c r="F503" s="37">
        <v>1</v>
      </c>
      <c r="G503" s="37"/>
      <c r="H503" s="86"/>
      <c r="I503" s="86">
        <v>46174</v>
      </c>
      <c r="J503" s="37" t="s">
        <v>4</v>
      </c>
      <c r="K503" s="38">
        <f t="shared" si="35"/>
        <v>1</v>
      </c>
      <c r="L503" s="39">
        <f t="shared" si="36"/>
        <v>0</v>
      </c>
      <c r="M503" s="40">
        <f t="shared" ca="1" si="37"/>
        <v>61</v>
      </c>
      <c r="N503">
        <f t="shared" si="38"/>
        <v>23</v>
      </c>
      <c r="O503" t="str">
        <f t="shared" si="39"/>
        <v>Switch</v>
      </c>
    </row>
    <row r="504" spans="1:15" ht="14.25" customHeight="1">
      <c r="A504">
        <v>552</v>
      </c>
      <c r="B504" s="35" t="s">
        <v>23</v>
      </c>
      <c r="C504" s="37" t="s">
        <v>415</v>
      </c>
      <c r="D504" s="37" t="s">
        <v>429</v>
      </c>
      <c r="E504" s="37" t="s">
        <v>80</v>
      </c>
      <c r="F504" s="37">
        <v>1</v>
      </c>
      <c r="G504" s="37"/>
      <c r="H504" s="86"/>
      <c r="I504" s="86">
        <v>46174</v>
      </c>
      <c r="J504" s="37" t="s">
        <v>4</v>
      </c>
      <c r="K504" s="38">
        <f t="shared" si="35"/>
        <v>1</v>
      </c>
      <c r="L504" s="39">
        <f t="shared" si="36"/>
        <v>0</v>
      </c>
      <c r="M504" s="40">
        <f t="shared" ca="1" si="37"/>
        <v>61</v>
      </c>
      <c r="N504">
        <f t="shared" si="38"/>
        <v>23</v>
      </c>
      <c r="O504" t="str">
        <f t="shared" si="39"/>
        <v>Switch</v>
      </c>
    </row>
    <row r="505" spans="1:15" ht="14.25" customHeight="1">
      <c r="A505">
        <v>551</v>
      </c>
      <c r="B505" s="35" t="s">
        <v>23</v>
      </c>
      <c r="C505" s="37" t="s">
        <v>415</v>
      </c>
      <c r="D505" s="37" t="s">
        <v>429</v>
      </c>
      <c r="E505" s="37" t="s">
        <v>74</v>
      </c>
      <c r="F505" s="37">
        <v>1</v>
      </c>
      <c r="G505" s="37"/>
      <c r="H505" s="86"/>
      <c r="I505" s="86">
        <v>46174</v>
      </c>
      <c r="J505" s="37" t="s">
        <v>4</v>
      </c>
      <c r="K505" s="38">
        <f t="shared" si="35"/>
        <v>1</v>
      </c>
      <c r="L505" s="39">
        <f t="shared" si="36"/>
        <v>0</v>
      </c>
      <c r="M505" s="40">
        <f t="shared" ca="1" si="37"/>
        <v>61</v>
      </c>
      <c r="N505">
        <f t="shared" si="38"/>
        <v>23</v>
      </c>
      <c r="O505" t="str">
        <f t="shared" si="39"/>
        <v>Switch</v>
      </c>
    </row>
    <row r="506" spans="1:15" ht="14.25" customHeight="1">
      <c r="A506">
        <v>554</v>
      </c>
      <c r="B506" s="35" t="s">
        <v>23</v>
      </c>
      <c r="C506" s="37" t="s">
        <v>415</v>
      </c>
      <c r="D506" s="37" t="s">
        <v>430</v>
      </c>
      <c r="E506" s="37" t="s">
        <v>80</v>
      </c>
      <c r="F506" s="37">
        <v>1</v>
      </c>
      <c r="G506" s="37"/>
      <c r="H506" s="86"/>
      <c r="I506" s="86">
        <v>46174</v>
      </c>
      <c r="J506" s="37" t="s">
        <v>4</v>
      </c>
      <c r="K506" s="38">
        <f t="shared" si="35"/>
        <v>1</v>
      </c>
      <c r="L506" s="39">
        <f t="shared" si="36"/>
        <v>0</v>
      </c>
      <c r="M506" s="40">
        <f t="shared" ca="1" si="37"/>
        <v>61</v>
      </c>
      <c r="N506">
        <f t="shared" si="38"/>
        <v>23</v>
      </c>
      <c r="O506" t="str">
        <f t="shared" si="39"/>
        <v>Switch</v>
      </c>
    </row>
    <row r="507" spans="1:15" ht="14.25" customHeight="1">
      <c r="A507">
        <v>553</v>
      </c>
      <c r="B507" s="35" t="s">
        <v>23</v>
      </c>
      <c r="C507" s="37" t="s">
        <v>415</v>
      </c>
      <c r="D507" s="37" t="s">
        <v>430</v>
      </c>
      <c r="E507" s="37" t="s">
        <v>74</v>
      </c>
      <c r="F507" s="37">
        <v>1</v>
      </c>
      <c r="G507" s="37"/>
      <c r="H507" s="86"/>
      <c r="I507" s="86">
        <v>46174</v>
      </c>
      <c r="J507" s="37" t="s">
        <v>4</v>
      </c>
      <c r="K507" s="38">
        <f t="shared" si="35"/>
        <v>1</v>
      </c>
      <c r="L507" s="39">
        <f t="shared" si="36"/>
        <v>0</v>
      </c>
      <c r="M507" s="40">
        <f t="shared" ca="1" si="37"/>
        <v>61</v>
      </c>
      <c r="N507">
        <f t="shared" si="38"/>
        <v>23</v>
      </c>
      <c r="O507" t="str">
        <f t="shared" si="39"/>
        <v>Switch</v>
      </c>
    </row>
    <row r="508" spans="1:15" ht="14.25" customHeight="1">
      <c r="A508">
        <v>555</v>
      </c>
      <c r="B508" s="35" t="s">
        <v>23</v>
      </c>
      <c r="C508" s="37" t="s">
        <v>415</v>
      </c>
      <c r="D508" s="37" t="s">
        <v>431</v>
      </c>
      <c r="E508" s="37" t="s">
        <v>74</v>
      </c>
      <c r="F508" s="37">
        <v>1</v>
      </c>
      <c r="G508" s="37"/>
      <c r="H508" s="86"/>
      <c r="I508" s="86">
        <v>46174</v>
      </c>
      <c r="J508" s="37" t="s">
        <v>4</v>
      </c>
      <c r="K508" s="38">
        <f t="shared" si="35"/>
        <v>1</v>
      </c>
      <c r="L508" s="39">
        <f t="shared" si="36"/>
        <v>0</v>
      </c>
      <c r="M508" s="40">
        <f t="shared" ca="1" si="37"/>
        <v>61</v>
      </c>
      <c r="N508">
        <f t="shared" si="38"/>
        <v>23</v>
      </c>
      <c r="O508" t="str">
        <f t="shared" si="39"/>
        <v>Switch</v>
      </c>
    </row>
    <row r="509" spans="1:15" ht="14.25" customHeight="1">
      <c r="A509">
        <v>556</v>
      </c>
      <c r="B509" s="35" t="s">
        <v>23</v>
      </c>
      <c r="C509" s="37" t="s">
        <v>415</v>
      </c>
      <c r="D509" s="37" t="s">
        <v>432</v>
      </c>
      <c r="E509" s="37" t="s">
        <v>74</v>
      </c>
      <c r="F509" s="37">
        <v>1</v>
      </c>
      <c r="G509" s="37"/>
      <c r="H509" s="86"/>
      <c r="I509" s="86">
        <v>46175</v>
      </c>
      <c r="J509" s="37" t="s">
        <v>4</v>
      </c>
      <c r="K509" s="38">
        <f t="shared" si="35"/>
        <v>1</v>
      </c>
      <c r="L509" s="39">
        <f t="shared" si="36"/>
        <v>0</v>
      </c>
      <c r="M509" s="40">
        <f t="shared" ca="1" si="37"/>
        <v>62</v>
      </c>
      <c r="N509">
        <f t="shared" si="38"/>
        <v>23</v>
      </c>
      <c r="O509" t="str">
        <f t="shared" si="39"/>
        <v>Switch</v>
      </c>
    </row>
    <row r="510" spans="1:15" ht="14.25" customHeight="1">
      <c r="A510">
        <v>557</v>
      </c>
      <c r="B510" s="35" t="s">
        <v>23</v>
      </c>
      <c r="C510" s="37" t="s">
        <v>415</v>
      </c>
      <c r="D510" s="37" t="s">
        <v>433</v>
      </c>
      <c r="E510" s="37" t="s">
        <v>74</v>
      </c>
      <c r="F510" s="37">
        <v>1</v>
      </c>
      <c r="G510" s="37"/>
      <c r="H510" s="86"/>
      <c r="I510" s="86">
        <v>46175</v>
      </c>
      <c r="J510" s="37" t="s">
        <v>4</v>
      </c>
      <c r="K510" s="38">
        <f t="shared" si="35"/>
        <v>1</v>
      </c>
      <c r="L510" s="39">
        <f t="shared" si="36"/>
        <v>0</v>
      </c>
      <c r="M510" s="40">
        <f t="shared" ca="1" si="37"/>
        <v>62</v>
      </c>
      <c r="N510">
        <f t="shared" si="38"/>
        <v>23</v>
      </c>
      <c r="O510" t="str">
        <f t="shared" si="39"/>
        <v>Switch</v>
      </c>
    </row>
    <row r="511" spans="1:15" ht="14.25" customHeight="1">
      <c r="A511">
        <v>559</v>
      </c>
      <c r="B511" s="35" t="s">
        <v>23</v>
      </c>
      <c r="C511" s="37" t="s">
        <v>415</v>
      </c>
      <c r="D511" s="37" t="s">
        <v>434</v>
      </c>
      <c r="E511" s="37" t="s">
        <v>80</v>
      </c>
      <c r="F511" s="37">
        <v>1</v>
      </c>
      <c r="G511" s="37"/>
      <c r="H511" s="86"/>
      <c r="I511" s="86">
        <v>46175</v>
      </c>
      <c r="J511" s="37" t="s">
        <v>4</v>
      </c>
      <c r="K511" s="38">
        <f t="shared" si="35"/>
        <v>1</v>
      </c>
      <c r="L511" s="39">
        <f t="shared" si="36"/>
        <v>0</v>
      </c>
      <c r="M511" s="40">
        <f t="shared" ca="1" si="37"/>
        <v>62</v>
      </c>
      <c r="N511">
        <f t="shared" si="38"/>
        <v>23</v>
      </c>
      <c r="O511" t="str">
        <f t="shared" si="39"/>
        <v>Switch</v>
      </c>
    </row>
    <row r="512" spans="1:15" ht="14.25" customHeight="1">
      <c r="A512">
        <v>558</v>
      </c>
      <c r="B512" s="35" t="s">
        <v>23</v>
      </c>
      <c r="C512" s="37" t="s">
        <v>415</v>
      </c>
      <c r="D512" s="37" t="s">
        <v>434</v>
      </c>
      <c r="E512" s="37" t="s">
        <v>74</v>
      </c>
      <c r="F512" s="37">
        <v>1</v>
      </c>
      <c r="G512" s="37"/>
      <c r="H512" s="86"/>
      <c r="I512" s="86">
        <v>46175</v>
      </c>
      <c r="J512" s="37" t="s">
        <v>4</v>
      </c>
      <c r="K512" s="38">
        <f t="shared" si="35"/>
        <v>1</v>
      </c>
      <c r="L512" s="39">
        <f t="shared" si="36"/>
        <v>0</v>
      </c>
      <c r="M512" s="40">
        <f t="shared" ca="1" si="37"/>
        <v>62</v>
      </c>
      <c r="N512">
        <f t="shared" si="38"/>
        <v>23</v>
      </c>
      <c r="O512" t="str">
        <f t="shared" si="39"/>
        <v>Switch</v>
      </c>
    </row>
    <row r="513" spans="1:15" ht="14.25" hidden="1" customHeight="1">
      <c r="A513">
        <v>562</v>
      </c>
      <c r="B513" s="35" t="s">
        <v>23</v>
      </c>
      <c r="C513" s="37" t="s">
        <v>415</v>
      </c>
      <c r="D513" s="37" t="s">
        <v>435</v>
      </c>
      <c r="E513" s="37" t="s">
        <v>90</v>
      </c>
      <c r="F513" s="37">
        <v>1</v>
      </c>
      <c r="G513" s="37"/>
      <c r="H513" s="86"/>
      <c r="I513" s="86">
        <v>46175</v>
      </c>
      <c r="J513" s="37" t="s">
        <v>4</v>
      </c>
      <c r="K513" s="38">
        <f t="shared" si="35"/>
        <v>1</v>
      </c>
      <c r="L513" s="39">
        <f t="shared" si="36"/>
        <v>0</v>
      </c>
      <c r="M513" s="40">
        <f t="shared" ca="1" si="37"/>
        <v>62</v>
      </c>
      <c r="N513">
        <f t="shared" si="38"/>
        <v>23</v>
      </c>
      <c r="O513" t="str">
        <f t="shared" si="39"/>
        <v>Switch</v>
      </c>
    </row>
    <row r="514" spans="1:15" ht="14.25" customHeight="1">
      <c r="A514">
        <v>561</v>
      </c>
      <c r="B514" s="35" t="s">
        <v>23</v>
      </c>
      <c r="C514" s="37" t="s">
        <v>415</v>
      </c>
      <c r="D514" s="37" t="s">
        <v>435</v>
      </c>
      <c r="E514" s="37" t="s">
        <v>80</v>
      </c>
      <c r="F514" s="37">
        <v>1</v>
      </c>
      <c r="G514" s="37"/>
      <c r="H514" s="86"/>
      <c r="I514" s="86">
        <v>46175</v>
      </c>
      <c r="J514" s="37" t="s">
        <v>4</v>
      </c>
      <c r="K514" s="38">
        <f t="shared" ref="K514:K577" si="40">F514-G514</f>
        <v>1</v>
      </c>
      <c r="L514" s="39">
        <f t="shared" ref="L514:L577" si="41">IF(F514=0,"",G514/F514)</f>
        <v>0</v>
      </c>
      <c r="M514" s="40">
        <f t="shared" ref="M514:M577" ca="1" si="42">I514-TODAY()</f>
        <v>62</v>
      </c>
      <c r="N514">
        <f t="shared" ref="N514:N577" si="43">_xlfn.ISOWEEKNUM(I514)</f>
        <v>23</v>
      </c>
      <c r="O514" t="str">
        <f t="shared" ref="O514:O577" si="44">IF(ISNUMBER(SEARCH("Access Point",E514)),"AP",IF(OR(ISNUMBER(SEARCH("Switch",E514)),ISNUMBER(SEARCH("Control Type",E514))),"Switch","Infra"))</f>
        <v>Switch</v>
      </c>
    </row>
    <row r="515" spans="1:15" ht="14.25" customHeight="1">
      <c r="A515">
        <v>560</v>
      </c>
      <c r="B515" s="35" t="s">
        <v>23</v>
      </c>
      <c r="C515" s="37" t="s">
        <v>415</v>
      </c>
      <c r="D515" s="37" t="s">
        <v>435</v>
      </c>
      <c r="E515" s="37" t="s">
        <v>74</v>
      </c>
      <c r="F515" s="37">
        <v>1</v>
      </c>
      <c r="G515" s="37"/>
      <c r="H515" s="86"/>
      <c r="I515" s="86">
        <v>46175</v>
      </c>
      <c r="J515" s="37" t="s">
        <v>4</v>
      </c>
      <c r="K515" s="38">
        <f t="shared" si="40"/>
        <v>1</v>
      </c>
      <c r="L515" s="39">
        <f t="shared" si="41"/>
        <v>0</v>
      </c>
      <c r="M515" s="40">
        <f t="shared" ca="1" si="42"/>
        <v>62</v>
      </c>
      <c r="N515">
        <f t="shared" si="43"/>
        <v>23</v>
      </c>
      <c r="O515" t="str">
        <f t="shared" si="44"/>
        <v>Switch</v>
      </c>
    </row>
    <row r="516" spans="1:15" ht="14.25" hidden="1" customHeight="1">
      <c r="A516">
        <v>564</v>
      </c>
      <c r="B516" s="35" t="s">
        <v>23</v>
      </c>
      <c r="C516" s="37" t="s">
        <v>415</v>
      </c>
      <c r="D516" s="37" t="s">
        <v>436</v>
      </c>
      <c r="E516" s="37" t="s">
        <v>118</v>
      </c>
      <c r="F516" s="37">
        <v>1</v>
      </c>
      <c r="G516" s="37"/>
      <c r="H516" s="86"/>
      <c r="I516" s="86">
        <v>46175</v>
      </c>
      <c r="J516" s="37" t="s">
        <v>4</v>
      </c>
      <c r="K516" s="38">
        <f t="shared" si="40"/>
        <v>1</v>
      </c>
      <c r="L516" s="39">
        <f t="shared" si="41"/>
        <v>0</v>
      </c>
      <c r="M516" s="40">
        <f t="shared" ca="1" si="42"/>
        <v>62</v>
      </c>
      <c r="N516">
        <f t="shared" si="43"/>
        <v>23</v>
      </c>
      <c r="O516" t="str">
        <f t="shared" si="44"/>
        <v>Switch</v>
      </c>
    </row>
    <row r="517" spans="1:15" ht="14.25" customHeight="1">
      <c r="A517">
        <v>563</v>
      </c>
      <c r="B517" s="35" t="s">
        <v>23</v>
      </c>
      <c r="C517" s="37" t="s">
        <v>415</v>
      </c>
      <c r="D517" s="37" t="s">
        <v>436</v>
      </c>
      <c r="E517" s="37" t="s">
        <v>74</v>
      </c>
      <c r="F517" s="37">
        <v>1</v>
      </c>
      <c r="G517" s="37"/>
      <c r="H517" s="86"/>
      <c r="I517" s="86">
        <v>46175</v>
      </c>
      <c r="J517" s="37" t="s">
        <v>4</v>
      </c>
      <c r="K517" s="38">
        <f t="shared" si="40"/>
        <v>1</v>
      </c>
      <c r="L517" s="39">
        <f t="shared" si="41"/>
        <v>0</v>
      </c>
      <c r="M517" s="40">
        <f t="shared" ca="1" si="42"/>
        <v>62</v>
      </c>
      <c r="N517">
        <f t="shared" si="43"/>
        <v>23</v>
      </c>
      <c r="O517" t="str">
        <f t="shared" si="44"/>
        <v>Switch</v>
      </c>
    </row>
    <row r="518" spans="1:15" ht="14.25" hidden="1" customHeight="1">
      <c r="A518">
        <v>566</v>
      </c>
      <c r="B518" s="35" t="s">
        <v>23</v>
      </c>
      <c r="C518" s="37" t="s">
        <v>415</v>
      </c>
      <c r="D518" s="37" t="s">
        <v>437</v>
      </c>
      <c r="E518" s="37" t="s">
        <v>118</v>
      </c>
      <c r="F518" s="37">
        <v>1</v>
      </c>
      <c r="G518" s="37"/>
      <c r="H518" s="86"/>
      <c r="I518" s="86">
        <v>46175</v>
      </c>
      <c r="J518" s="37" t="s">
        <v>4</v>
      </c>
      <c r="K518" s="38">
        <f t="shared" si="40"/>
        <v>1</v>
      </c>
      <c r="L518" s="39">
        <f t="shared" si="41"/>
        <v>0</v>
      </c>
      <c r="M518" s="40">
        <f t="shared" ca="1" si="42"/>
        <v>62</v>
      </c>
      <c r="N518">
        <f t="shared" si="43"/>
        <v>23</v>
      </c>
      <c r="O518" t="str">
        <f t="shared" si="44"/>
        <v>Switch</v>
      </c>
    </row>
    <row r="519" spans="1:15" ht="14.25" customHeight="1">
      <c r="A519">
        <v>565</v>
      </c>
      <c r="B519" s="35" t="s">
        <v>23</v>
      </c>
      <c r="C519" s="37" t="s">
        <v>415</v>
      </c>
      <c r="D519" s="37" t="s">
        <v>437</v>
      </c>
      <c r="E519" s="37" t="s">
        <v>74</v>
      </c>
      <c r="F519" s="37">
        <v>1</v>
      </c>
      <c r="G519" s="37"/>
      <c r="H519" s="86"/>
      <c r="I519" s="86">
        <v>46175</v>
      </c>
      <c r="J519" s="37" t="s">
        <v>4</v>
      </c>
      <c r="K519" s="38">
        <f t="shared" si="40"/>
        <v>1</v>
      </c>
      <c r="L519" s="39">
        <f t="shared" si="41"/>
        <v>0</v>
      </c>
      <c r="M519" s="40">
        <f t="shared" ca="1" si="42"/>
        <v>62</v>
      </c>
      <c r="N519">
        <f t="shared" si="43"/>
        <v>23</v>
      </c>
      <c r="O519" t="str">
        <f t="shared" si="44"/>
        <v>Switch</v>
      </c>
    </row>
    <row r="520" spans="1:15" ht="14.25" hidden="1" customHeight="1">
      <c r="A520">
        <v>568</v>
      </c>
      <c r="B520" s="35" t="s">
        <v>23</v>
      </c>
      <c r="C520" s="37" t="s">
        <v>415</v>
      </c>
      <c r="D520" s="37" t="s">
        <v>438</v>
      </c>
      <c r="E520" s="37" t="s">
        <v>118</v>
      </c>
      <c r="F520" s="37">
        <v>1</v>
      </c>
      <c r="G520" s="37"/>
      <c r="H520" s="86"/>
      <c r="I520" s="86">
        <v>46175</v>
      </c>
      <c r="J520" s="37" t="s">
        <v>4</v>
      </c>
      <c r="K520" s="38">
        <f t="shared" si="40"/>
        <v>1</v>
      </c>
      <c r="L520" s="39">
        <f t="shared" si="41"/>
        <v>0</v>
      </c>
      <c r="M520" s="40">
        <f t="shared" ca="1" si="42"/>
        <v>62</v>
      </c>
      <c r="N520">
        <f t="shared" si="43"/>
        <v>23</v>
      </c>
      <c r="O520" t="str">
        <f t="shared" si="44"/>
        <v>Switch</v>
      </c>
    </row>
    <row r="521" spans="1:15" ht="14.25" customHeight="1">
      <c r="A521">
        <v>567</v>
      </c>
      <c r="B521" s="35" t="s">
        <v>23</v>
      </c>
      <c r="C521" s="37" t="s">
        <v>415</v>
      </c>
      <c r="D521" s="37" t="s">
        <v>438</v>
      </c>
      <c r="E521" s="37" t="s">
        <v>74</v>
      </c>
      <c r="F521" s="37">
        <v>1</v>
      </c>
      <c r="G521" s="37"/>
      <c r="H521" s="86"/>
      <c r="I521" s="86">
        <v>46175</v>
      </c>
      <c r="J521" s="37" t="s">
        <v>4</v>
      </c>
      <c r="K521" s="38">
        <f t="shared" si="40"/>
        <v>1</v>
      </c>
      <c r="L521" s="39">
        <f t="shared" si="41"/>
        <v>0</v>
      </c>
      <c r="M521" s="40">
        <f t="shared" ca="1" si="42"/>
        <v>62</v>
      </c>
      <c r="N521">
        <f t="shared" si="43"/>
        <v>23</v>
      </c>
      <c r="O521" t="str">
        <f t="shared" si="44"/>
        <v>Switch</v>
      </c>
    </row>
    <row r="522" spans="1:15" ht="14.25" hidden="1" customHeight="1">
      <c r="A522">
        <v>571</v>
      </c>
      <c r="B522" s="35" t="s">
        <v>23</v>
      </c>
      <c r="C522" s="37" t="s">
        <v>415</v>
      </c>
      <c r="D522" s="37" t="s">
        <v>439</v>
      </c>
      <c r="E522" s="37" t="s">
        <v>118</v>
      </c>
      <c r="F522" s="37">
        <v>1</v>
      </c>
      <c r="G522" s="37"/>
      <c r="H522" s="86"/>
      <c r="I522" s="86">
        <v>46177</v>
      </c>
      <c r="J522" s="37" t="s">
        <v>4</v>
      </c>
      <c r="K522" s="38">
        <f t="shared" si="40"/>
        <v>1</v>
      </c>
      <c r="L522" s="39">
        <f t="shared" si="41"/>
        <v>0</v>
      </c>
      <c r="M522" s="40">
        <f t="shared" ca="1" si="42"/>
        <v>64</v>
      </c>
      <c r="N522">
        <f t="shared" si="43"/>
        <v>23</v>
      </c>
      <c r="O522" t="str">
        <f t="shared" si="44"/>
        <v>Switch</v>
      </c>
    </row>
    <row r="523" spans="1:15" ht="14.25" customHeight="1">
      <c r="A523">
        <v>570</v>
      </c>
      <c r="B523" s="35" t="s">
        <v>23</v>
      </c>
      <c r="C523" s="37" t="s">
        <v>415</v>
      </c>
      <c r="D523" s="37" t="s">
        <v>439</v>
      </c>
      <c r="E523" s="37" t="s">
        <v>80</v>
      </c>
      <c r="F523" s="37">
        <v>1</v>
      </c>
      <c r="G523" s="37"/>
      <c r="H523" s="86"/>
      <c r="I523" s="86">
        <v>46177</v>
      </c>
      <c r="J523" s="37" t="s">
        <v>4</v>
      </c>
      <c r="K523" s="38">
        <f t="shared" si="40"/>
        <v>1</v>
      </c>
      <c r="L523" s="39">
        <f t="shared" si="41"/>
        <v>0</v>
      </c>
      <c r="M523" s="40">
        <f t="shared" ca="1" si="42"/>
        <v>64</v>
      </c>
      <c r="N523">
        <f t="shared" si="43"/>
        <v>23</v>
      </c>
      <c r="O523" t="str">
        <f t="shared" si="44"/>
        <v>Switch</v>
      </c>
    </row>
    <row r="524" spans="1:15" ht="14.25" customHeight="1">
      <c r="A524">
        <v>569</v>
      </c>
      <c r="B524" s="35" t="s">
        <v>23</v>
      </c>
      <c r="C524" s="37" t="s">
        <v>415</v>
      </c>
      <c r="D524" s="37" t="s">
        <v>439</v>
      </c>
      <c r="E524" s="37" t="s">
        <v>74</v>
      </c>
      <c r="F524" s="37">
        <v>1</v>
      </c>
      <c r="G524" s="37"/>
      <c r="H524" s="86"/>
      <c r="I524" s="86">
        <v>46177</v>
      </c>
      <c r="J524" s="37" t="s">
        <v>4</v>
      </c>
      <c r="K524" s="38">
        <f t="shared" si="40"/>
        <v>1</v>
      </c>
      <c r="L524" s="39">
        <f t="shared" si="41"/>
        <v>0</v>
      </c>
      <c r="M524" s="40">
        <f t="shared" ca="1" si="42"/>
        <v>64</v>
      </c>
      <c r="N524">
        <f t="shared" si="43"/>
        <v>23</v>
      </c>
      <c r="O524" t="str">
        <f t="shared" si="44"/>
        <v>Switch</v>
      </c>
    </row>
    <row r="525" spans="1:15" ht="14.25" customHeight="1">
      <c r="A525">
        <v>573</v>
      </c>
      <c r="B525" s="35" t="s">
        <v>23</v>
      </c>
      <c r="C525" s="37" t="s">
        <v>415</v>
      </c>
      <c r="D525" s="37" t="s">
        <v>440</v>
      </c>
      <c r="E525" s="37" t="s">
        <v>80</v>
      </c>
      <c r="F525" s="37">
        <v>1</v>
      </c>
      <c r="G525" s="37"/>
      <c r="H525" s="86"/>
      <c r="I525" s="86">
        <v>46177</v>
      </c>
      <c r="J525" s="37" t="s">
        <v>4</v>
      </c>
      <c r="K525" s="38">
        <f t="shared" si="40"/>
        <v>1</v>
      </c>
      <c r="L525" s="39">
        <f t="shared" si="41"/>
        <v>0</v>
      </c>
      <c r="M525" s="40">
        <f t="shared" ca="1" si="42"/>
        <v>64</v>
      </c>
      <c r="N525">
        <f t="shared" si="43"/>
        <v>23</v>
      </c>
      <c r="O525" t="str">
        <f t="shared" si="44"/>
        <v>Switch</v>
      </c>
    </row>
    <row r="526" spans="1:15" ht="14.25" customHeight="1">
      <c r="A526">
        <v>572</v>
      </c>
      <c r="B526" s="35" t="s">
        <v>23</v>
      </c>
      <c r="C526" s="37" t="s">
        <v>415</v>
      </c>
      <c r="D526" s="37" t="s">
        <v>440</v>
      </c>
      <c r="E526" s="37" t="s">
        <v>74</v>
      </c>
      <c r="F526" s="37">
        <v>1</v>
      </c>
      <c r="G526" s="37"/>
      <c r="H526" s="86"/>
      <c r="I526" s="86">
        <v>46177</v>
      </c>
      <c r="J526" s="37" t="s">
        <v>4</v>
      </c>
      <c r="K526" s="38">
        <f t="shared" si="40"/>
        <v>1</v>
      </c>
      <c r="L526" s="39">
        <f t="shared" si="41"/>
        <v>0</v>
      </c>
      <c r="M526" s="40">
        <f t="shared" ca="1" si="42"/>
        <v>64</v>
      </c>
      <c r="N526">
        <f t="shared" si="43"/>
        <v>23</v>
      </c>
      <c r="O526" t="str">
        <f t="shared" si="44"/>
        <v>Switch</v>
      </c>
    </row>
    <row r="527" spans="1:15" ht="14.25" customHeight="1">
      <c r="A527">
        <v>574</v>
      </c>
      <c r="B527" s="35" t="s">
        <v>23</v>
      </c>
      <c r="C527" s="37" t="s">
        <v>415</v>
      </c>
      <c r="D527" s="37" t="s">
        <v>441</v>
      </c>
      <c r="E527" s="37" t="s">
        <v>74</v>
      </c>
      <c r="F527" s="37">
        <v>1</v>
      </c>
      <c r="G527" s="37"/>
      <c r="H527" s="86"/>
      <c r="I527" s="86">
        <v>46177</v>
      </c>
      <c r="J527" s="37" t="s">
        <v>4</v>
      </c>
      <c r="K527" s="38">
        <f t="shared" si="40"/>
        <v>1</v>
      </c>
      <c r="L527" s="39">
        <f t="shared" si="41"/>
        <v>0</v>
      </c>
      <c r="M527" s="40">
        <f t="shared" ca="1" si="42"/>
        <v>64</v>
      </c>
      <c r="N527">
        <f t="shared" si="43"/>
        <v>23</v>
      </c>
      <c r="O527" t="str">
        <f t="shared" si="44"/>
        <v>Switch</v>
      </c>
    </row>
    <row r="528" spans="1:15" ht="14.25" customHeight="1">
      <c r="A528">
        <v>575</v>
      </c>
      <c r="B528" s="35" t="s">
        <v>23</v>
      </c>
      <c r="C528" s="37" t="s">
        <v>415</v>
      </c>
      <c r="D528" s="37" t="s">
        <v>442</v>
      </c>
      <c r="E528" s="37" t="s">
        <v>74</v>
      </c>
      <c r="F528" s="37">
        <v>1</v>
      </c>
      <c r="G528" s="37"/>
      <c r="H528" s="86"/>
      <c r="I528" s="86">
        <v>46177</v>
      </c>
      <c r="J528" s="37" t="s">
        <v>4</v>
      </c>
      <c r="K528" s="38">
        <f t="shared" si="40"/>
        <v>1</v>
      </c>
      <c r="L528" s="39">
        <f t="shared" si="41"/>
        <v>0</v>
      </c>
      <c r="M528" s="40">
        <f t="shared" ca="1" si="42"/>
        <v>64</v>
      </c>
      <c r="N528">
        <f t="shared" si="43"/>
        <v>23</v>
      </c>
      <c r="O528" t="str">
        <f t="shared" si="44"/>
        <v>Switch</v>
      </c>
    </row>
    <row r="529" spans="1:15" ht="14.25" customHeight="1">
      <c r="A529">
        <v>576</v>
      </c>
      <c r="B529" s="35" t="s">
        <v>23</v>
      </c>
      <c r="C529" s="37" t="s">
        <v>415</v>
      </c>
      <c r="D529" s="37" t="s">
        <v>443</v>
      </c>
      <c r="E529" s="37" t="s">
        <v>74</v>
      </c>
      <c r="F529" s="37">
        <v>1</v>
      </c>
      <c r="G529" s="37"/>
      <c r="H529" s="86"/>
      <c r="I529" s="86">
        <v>46177</v>
      </c>
      <c r="J529" s="37" t="s">
        <v>4</v>
      </c>
      <c r="K529" s="38">
        <f t="shared" si="40"/>
        <v>1</v>
      </c>
      <c r="L529" s="39">
        <f t="shared" si="41"/>
        <v>0</v>
      </c>
      <c r="M529" s="40">
        <f t="shared" ca="1" si="42"/>
        <v>64</v>
      </c>
      <c r="N529">
        <f t="shared" si="43"/>
        <v>23</v>
      </c>
      <c r="O529" t="str">
        <f t="shared" si="44"/>
        <v>Switch</v>
      </c>
    </row>
    <row r="530" spans="1:15" ht="14.25" customHeight="1">
      <c r="A530">
        <v>578</v>
      </c>
      <c r="B530" s="35" t="s">
        <v>23</v>
      </c>
      <c r="C530" s="37" t="s">
        <v>415</v>
      </c>
      <c r="D530" s="37" t="s">
        <v>444</v>
      </c>
      <c r="E530" s="37" t="s">
        <v>80</v>
      </c>
      <c r="F530" s="37">
        <v>1</v>
      </c>
      <c r="G530" s="37"/>
      <c r="H530" s="86"/>
      <c r="I530" s="86">
        <v>46177</v>
      </c>
      <c r="J530" s="37" t="s">
        <v>4</v>
      </c>
      <c r="K530" s="38">
        <f t="shared" si="40"/>
        <v>1</v>
      </c>
      <c r="L530" s="39">
        <f t="shared" si="41"/>
        <v>0</v>
      </c>
      <c r="M530" s="40">
        <f t="shared" ca="1" si="42"/>
        <v>64</v>
      </c>
      <c r="N530">
        <f t="shared" si="43"/>
        <v>23</v>
      </c>
      <c r="O530" t="str">
        <f t="shared" si="44"/>
        <v>Switch</v>
      </c>
    </row>
    <row r="531" spans="1:15" ht="14.25" customHeight="1">
      <c r="A531">
        <v>577</v>
      </c>
      <c r="B531" s="35" t="s">
        <v>23</v>
      </c>
      <c r="C531" s="37" t="s">
        <v>415</v>
      </c>
      <c r="D531" s="37" t="s">
        <v>444</v>
      </c>
      <c r="E531" s="37" t="s">
        <v>74</v>
      </c>
      <c r="F531" s="37">
        <v>1</v>
      </c>
      <c r="G531" s="37"/>
      <c r="H531" s="86"/>
      <c r="I531" s="86">
        <v>46177</v>
      </c>
      <c r="J531" s="37" t="s">
        <v>4</v>
      </c>
      <c r="K531" s="38">
        <f t="shared" si="40"/>
        <v>1</v>
      </c>
      <c r="L531" s="39">
        <f t="shared" si="41"/>
        <v>0</v>
      </c>
      <c r="M531" s="40">
        <f t="shared" ca="1" si="42"/>
        <v>64</v>
      </c>
      <c r="N531">
        <f t="shared" si="43"/>
        <v>23</v>
      </c>
      <c r="O531" t="str">
        <f t="shared" si="44"/>
        <v>Switch</v>
      </c>
    </row>
    <row r="532" spans="1:15" ht="14.25" customHeight="1">
      <c r="A532">
        <v>643</v>
      </c>
      <c r="B532" s="35" t="s">
        <v>23</v>
      </c>
      <c r="C532" s="37" t="s">
        <v>445</v>
      </c>
      <c r="D532" s="37" t="s">
        <v>445</v>
      </c>
      <c r="E532" s="37" t="s">
        <v>80</v>
      </c>
      <c r="F532" s="37">
        <v>1</v>
      </c>
      <c r="G532" s="37"/>
      <c r="H532" s="86"/>
      <c r="I532" s="86">
        <v>46178</v>
      </c>
      <c r="J532" s="37" t="s">
        <v>4</v>
      </c>
      <c r="K532" s="38">
        <f t="shared" si="40"/>
        <v>1</v>
      </c>
      <c r="L532" s="39">
        <f t="shared" si="41"/>
        <v>0</v>
      </c>
      <c r="M532" s="40">
        <f t="shared" ca="1" si="42"/>
        <v>65</v>
      </c>
      <c r="N532">
        <f t="shared" si="43"/>
        <v>23</v>
      </c>
      <c r="O532" t="str">
        <f t="shared" si="44"/>
        <v>Switch</v>
      </c>
    </row>
    <row r="533" spans="1:15" ht="14.25" customHeight="1">
      <c r="A533">
        <v>642</v>
      </c>
      <c r="B533" s="35" t="s">
        <v>23</v>
      </c>
      <c r="C533" s="37" t="s">
        <v>445</v>
      </c>
      <c r="D533" s="37" t="s">
        <v>445</v>
      </c>
      <c r="E533" s="37" t="s">
        <v>74</v>
      </c>
      <c r="F533" s="37">
        <v>1</v>
      </c>
      <c r="G533" s="37"/>
      <c r="H533" s="86"/>
      <c r="I533" s="86">
        <v>46178</v>
      </c>
      <c r="J533" s="37" t="s">
        <v>4</v>
      </c>
      <c r="K533" s="38">
        <f t="shared" si="40"/>
        <v>1</v>
      </c>
      <c r="L533" s="39">
        <f t="shared" si="41"/>
        <v>0</v>
      </c>
      <c r="M533" s="40">
        <f t="shared" ca="1" si="42"/>
        <v>65</v>
      </c>
      <c r="N533">
        <f t="shared" si="43"/>
        <v>23</v>
      </c>
      <c r="O533" t="str">
        <f t="shared" si="44"/>
        <v>Switch</v>
      </c>
    </row>
    <row r="534" spans="1:15" ht="14.25" customHeight="1">
      <c r="A534">
        <v>645</v>
      </c>
      <c r="B534" s="35" t="s">
        <v>23</v>
      </c>
      <c r="C534" s="36" t="s">
        <v>446</v>
      </c>
      <c r="D534" s="37" t="s">
        <v>447</v>
      </c>
      <c r="E534" s="37" t="s">
        <v>80</v>
      </c>
      <c r="F534" s="37">
        <v>1</v>
      </c>
      <c r="G534" s="37"/>
      <c r="H534" s="86"/>
      <c r="I534" s="86">
        <v>46178</v>
      </c>
      <c r="J534" s="37" t="s">
        <v>4</v>
      </c>
      <c r="K534" s="38">
        <f t="shared" si="40"/>
        <v>1</v>
      </c>
      <c r="L534" s="39">
        <f t="shared" si="41"/>
        <v>0</v>
      </c>
      <c r="M534" s="40">
        <f t="shared" ca="1" si="42"/>
        <v>65</v>
      </c>
      <c r="N534">
        <f t="shared" si="43"/>
        <v>23</v>
      </c>
      <c r="O534" t="str">
        <f t="shared" si="44"/>
        <v>Switch</v>
      </c>
    </row>
    <row r="535" spans="1:15" ht="14.25" customHeight="1">
      <c r="A535">
        <v>644</v>
      </c>
      <c r="B535" s="35" t="s">
        <v>23</v>
      </c>
      <c r="C535" s="36" t="s">
        <v>446</v>
      </c>
      <c r="D535" s="37" t="s">
        <v>447</v>
      </c>
      <c r="E535" s="37" t="s">
        <v>74</v>
      </c>
      <c r="F535" s="37">
        <v>1</v>
      </c>
      <c r="G535" s="37"/>
      <c r="H535" s="86"/>
      <c r="I535" s="86">
        <v>46178</v>
      </c>
      <c r="J535" s="37" t="s">
        <v>4</v>
      </c>
      <c r="K535" s="38">
        <f t="shared" si="40"/>
        <v>1</v>
      </c>
      <c r="L535" s="39">
        <f t="shared" si="41"/>
        <v>0</v>
      </c>
      <c r="M535" s="40">
        <f t="shared" ca="1" si="42"/>
        <v>65</v>
      </c>
      <c r="N535">
        <f t="shared" si="43"/>
        <v>23</v>
      </c>
      <c r="O535" t="str">
        <f t="shared" si="44"/>
        <v>Switch</v>
      </c>
    </row>
    <row r="536" spans="1:15" ht="14.25" customHeight="1">
      <c r="A536">
        <v>641</v>
      </c>
      <c r="B536" s="35" t="s">
        <v>23</v>
      </c>
      <c r="C536" s="36" t="s">
        <v>448</v>
      </c>
      <c r="D536" s="37" t="s">
        <v>447</v>
      </c>
      <c r="E536" s="37" t="s">
        <v>80</v>
      </c>
      <c r="F536" s="37">
        <v>1</v>
      </c>
      <c r="G536" s="37"/>
      <c r="H536" s="86"/>
      <c r="I536" s="86">
        <v>46177</v>
      </c>
      <c r="J536" s="37" t="s">
        <v>4</v>
      </c>
      <c r="K536" s="38">
        <f t="shared" si="40"/>
        <v>1</v>
      </c>
      <c r="L536" s="39">
        <f t="shared" si="41"/>
        <v>0</v>
      </c>
      <c r="M536" s="40">
        <f t="shared" ca="1" si="42"/>
        <v>64</v>
      </c>
      <c r="N536">
        <f t="shared" si="43"/>
        <v>23</v>
      </c>
      <c r="O536" t="str">
        <f t="shared" si="44"/>
        <v>Switch</v>
      </c>
    </row>
    <row r="537" spans="1:15" ht="14.25" customHeight="1">
      <c r="A537">
        <v>640</v>
      </c>
      <c r="B537" s="35" t="s">
        <v>23</v>
      </c>
      <c r="C537" s="36" t="s">
        <v>448</v>
      </c>
      <c r="D537" s="37" t="s">
        <v>447</v>
      </c>
      <c r="E537" s="37" t="s">
        <v>74</v>
      </c>
      <c r="F537" s="37">
        <v>2</v>
      </c>
      <c r="G537" s="37"/>
      <c r="H537" s="86"/>
      <c r="I537" s="86">
        <v>46177</v>
      </c>
      <c r="J537" s="37" t="s">
        <v>4</v>
      </c>
      <c r="K537" s="38">
        <f t="shared" si="40"/>
        <v>2</v>
      </c>
      <c r="L537" s="39">
        <f t="shared" si="41"/>
        <v>0</v>
      </c>
      <c r="M537" s="40">
        <f t="shared" ca="1" si="42"/>
        <v>64</v>
      </c>
      <c r="N537">
        <f t="shared" si="43"/>
        <v>23</v>
      </c>
      <c r="O537" t="str">
        <f t="shared" si="44"/>
        <v>Switch</v>
      </c>
    </row>
    <row r="538" spans="1:15" ht="14.25" customHeight="1">
      <c r="A538">
        <v>647</v>
      </c>
      <c r="B538" s="35" t="s">
        <v>23</v>
      </c>
      <c r="C538" s="36" t="s">
        <v>449</v>
      </c>
      <c r="D538" s="37" t="s">
        <v>450</v>
      </c>
      <c r="E538" s="37" t="s">
        <v>74</v>
      </c>
      <c r="F538" s="37">
        <v>1</v>
      </c>
      <c r="G538" s="37"/>
      <c r="H538" s="86"/>
      <c r="I538" s="86">
        <v>46178</v>
      </c>
      <c r="J538" s="37" t="s">
        <v>4</v>
      </c>
      <c r="K538" s="38">
        <f t="shared" si="40"/>
        <v>1</v>
      </c>
      <c r="L538" s="39">
        <f t="shared" si="41"/>
        <v>0</v>
      </c>
      <c r="M538" s="40">
        <f t="shared" ca="1" si="42"/>
        <v>65</v>
      </c>
      <c r="N538">
        <f t="shared" si="43"/>
        <v>23</v>
      </c>
      <c r="O538" t="str">
        <f t="shared" si="44"/>
        <v>Switch</v>
      </c>
    </row>
    <row r="539" spans="1:15" ht="14.25" customHeight="1">
      <c r="A539">
        <v>648</v>
      </c>
      <c r="B539" s="35" t="s">
        <v>23</v>
      </c>
      <c r="C539" s="36" t="s">
        <v>451</v>
      </c>
      <c r="D539" s="37" t="s">
        <v>452</v>
      </c>
      <c r="E539" s="37" t="s">
        <v>74</v>
      </c>
      <c r="F539" s="37">
        <v>1</v>
      </c>
      <c r="G539" s="37"/>
      <c r="H539" s="86"/>
      <c r="I539" s="86">
        <v>46178</v>
      </c>
      <c r="J539" s="37" t="s">
        <v>4</v>
      </c>
      <c r="K539" s="38">
        <f t="shared" si="40"/>
        <v>1</v>
      </c>
      <c r="L539" s="39">
        <f t="shared" si="41"/>
        <v>0</v>
      </c>
      <c r="M539" s="40">
        <f t="shared" ca="1" si="42"/>
        <v>65</v>
      </c>
      <c r="N539">
        <f t="shared" si="43"/>
        <v>23</v>
      </c>
      <c r="O539" t="str">
        <f t="shared" si="44"/>
        <v>Switch</v>
      </c>
    </row>
    <row r="540" spans="1:15" ht="14.25" hidden="1" customHeight="1">
      <c r="A540">
        <v>633</v>
      </c>
      <c r="B540" s="35" t="s">
        <v>23</v>
      </c>
      <c r="C540" s="36" t="s">
        <v>453</v>
      </c>
      <c r="D540" s="37" t="s">
        <v>77</v>
      </c>
      <c r="E540" s="37" t="s">
        <v>78</v>
      </c>
      <c r="F540" s="37">
        <v>11</v>
      </c>
      <c r="G540" s="37"/>
      <c r="H540" s="86"/>
      <c r="I540" s="86">
        <v>46177</v>
      </c>
      <c r="J540" s="37" t="s">
        <v>4</v>
      </c>
      <c r="K540" s="38">
        <f t="shared" si="40"/>
        <v>11</v>
      </c>
      <c r="L540" s="39">
        <f t="shared" si="41"/>
        <v>0</v>
      </c>
      <c r="M540" s="40">
        <f t="shared" ca="1" si="42"/>
        <v>64</v>
      </c>
      <c r="N540">
        <f t="shared" si="43"/>
        <v>23</v>
      </c>
      <c r="O540" t="str">
        <f t="shared" si="44"/>
        <v>AP</v>
      </c>
    </row>
    <row r="541" spans="1:15" ht="14.25" hidden="1" customHeight="1">
      <c r="A541">
        <v>634</v>
      </c>
      <c r="B541" s="35" t="s">
        <v>23</v>
      </c>
      <c r="C541" s="36" t="s">
        <v>453</v>
      </c>
      <c r="D541" s="37" t="s">
        <v>356</v>
      </c>
      <c r="E541" s="37" t="s">
        <v>118</v>
      </c>
      <c r="F541" s="37">
        <v>1</v>
      </c>
      <c r="G541" s="37"/>
      <c r="H541" s="86"/>
      <c r="I541" s="86">
        <v>46178</v>
      </c>
      <c r="J541" s="37" t="s">
        <v>4</v>
      </c>
      <c r="K541" s="38">
        <f t="shared" si="40"/>
        <v>1</v>
      </c>
      <c r="L541" s="39">
        <f t="shared" si="41"/>
        <v>0</v>
      </c>
      <c r="M541" s="40">
        <f t="shared" ca="1" si="42"/>
        <v>65</v>
      </c>
      <c r="N541">
        <f t="shared" si="43"/>
        <v>23</v>
      </c>
      <c r="O541" t="str">
        <f t="shared" si="44"/>
        <v>Switch</v>
      </c>
    </row>
    <row r="542" spans="1:15" ht="14.25" customHeight="1">
      <c r="A542">
        <v>635</v>
      </c>
      <c r="B542" s="35" t="s">
        <v>23</v>
      </c>
      <c r="C542" s="36" t="s">
        <v>453</v>
      </c>
      <c r="D542" s="37" t="s">
        <v>290</v>
      </c>
      <c r="E542" s="37" t="s">
        <v>74</v>
      </c>
      <c r="F542" s="37">
        <v>1</v>
      </c>
      <c r="G542" s="37"/>
      <c r="H542" s="86"/>
      <c r="I542" s="86">
        <v>46178</v>
      </c>
      <c r="J542" s="37" t="s">
        <v>4</v>
      </c>
      <c r="K542" s="38">
        <f t="shared" si="40"/>
        <v>1</v>
      </c>
      <c r="L542" s="39">
        <f t="shared" si="41"/>
        <v>0</v>
      </c>
      <c r="M542" s="40">
        <f t="shared" ca="1" si="42"/>
        <v>65</v>
      </c>
      <c r="N542">
        <f t="shared" si="43"/>
        <v>23</v>
      </c>
      <c r="O542" t="str">
        <f t="shared" si="44"/>
        <v>Switch</v>
      </c>
    </row>
    <row r="543" spans="1:15" ht="14.25" customHeight="1">
      <c r="A543">
        <v>637</v>
      </c>
      <c r="B543" s="35" t="s">
        <v>23</v>
      </c>
      <c r="C543" s="36" t="s">
        <v>453</v>
      </c>
      <c r="D543" s="37" t="s">
        <v>454</v>
      </c>
      <c r="E543" s="37" t="s">
        <v>80</v>
      </c>
      <c r="F543" s="37">
        <v>1</v>
      </c>
      <c r="G543" s="37"/>
      <c r="H543" s="86"/>
      <c r="I543" s="86">
        <v>46181</v>
      </c>
      <c r="J543" s="37" t="s">
        <v>4</v>
      </c>
      <c r="K543" s="38">
        <f t="shared" si="40"/>
        <v>1</v>
      </c>
      <c r="L543" s="39">
        <f t="shared" si="41"/>
        <v>0</v>
      </c>
      <c r="M543" s="40">
        <f t="shared" ca="1" si="42"/>
        <v>68</v>
      </c>
      <c r="N543">
        <f t="shared" si="43"/>
        <v>24</v>
      </c>
      <c r="O543" t="str">
        <f t="shared" si="44"/>
        <v>Switch</v>
      </c>
    </row>
    <row r="544" spans="1:15" ht="14.25" customHeight="1">
      <c r="A544">
        <v>636</v>
      </c>
      <c r="B544" s="35" t="s">
        <v>23</v>
      </c>
      <c r="C544" s="36" t="s">
        <v>453</v>
      </c>
      <c r="D544" s="37" t="s">
        <v>454</v>
      </c>
      <c r="E544" s="37" t="s">
        <v>74</v>
      </c>
      <c r="F544" s="37">
        <v>1</v>
      </c>
      <c r="G544" s="37"/>
      <c r="H544" s="86"/>
      <c r="I544" s="86">
        <v>46181</v>
      </c>
      <c r="J544" s="37" t="s">
        <v>4</v>
      </c>
      <c r="K544" s="38">
        <f t="shared" si="40"/>
        <v>1</v>
      </c>
      <c r="L544" s="39">
        <f t="shared" si="41"/>
        <v>0</v>
      </c>
      <c r="M544" s="40">
        <f t="shared" ca="1" si="42"/>
        <v>68</v>
      </c>
      <c r="N544">
        <f t="shared" si="43"/>
        <v>24</v>
      </c>
      <c r="O544" t="str">
        <f t="shared" si="44"/>
        <v>Switch</v>
      </c>
    </row>
    <row r="545" spans="1:15" ht="14.25" customHeight="1">
      <c r="A545">
        <v>639</v>
      </c>
      <c r="B545" s="35" t="s">
        <v>23</v>
      </c>
      <c r="C545" s="36" t="s">
        <v>453</v>
      </c>
      <c r="D545" s="37" t="s">
        <v>455</v>
      </c>
      <c r="E545" s="37" t="s">
        <v>80</v>
      </c>
      <c r="F545" s="37">
        <v>1</v>
      </c>
      <c r="G545" s="37"/>
      <c r="H545" s="86"/>
      <c r="I545" s="86">
        <v>46181</v>
      </c>
      <c r="J545" s="37" t="s">
        <v>4</v>
      </c>
      <c r="K545" s="38">
        <f t="shared" si="40"/>
        <v>1</v>
      </c>
      <c r="L545" s="39">
        <f t="shared" si="41"/>
        <v>0</v>
      </c>
      <c r="M545" s="40">
        <f t="shared" ca="1" si="42"/>
        <v>68</v>
      </c>
      <c r="N545">
        <f t="shared" si="43"/>
        <v>24</v>
      </c>
      <c r="O545" t="str">
        <f t="shared" si="44"/>
        <v>Switch</v>
      </c>
    </row>
    <row r="546" spans="1:15" ht="14.25" customHeight="1">
      <c r="A546">
        <v>638</v>
      </c>
      <c r="B546" s="35" t="s">
        <v>23</v>
      </c>
      <c r="C546" s="36" t="s">
        <v>453</v>
      </c>
      <c r="D546" s="37" t="s">
        <v>455</v>
      </c>
      <c r="E546" s="37" t="s">
        <v>74</v>
      </c>
      <c r="F546" s="37">
        <v>1</v>
      </c>
      <c r="G546" s="37"/>
      <c r="H546" s="86"/>
      <c r="I546" s="86">
        <v>46181</v>
      </c>
      <c r="J546" s="37" t="s">
        <v>4</v>
      </c>
      <c r="K546" s="38">
        <f t="shared" si="40"/>
        <v>1</v>
      </c>
      <c r="L546" s="39">
        <f t="shared" si="41"/>
        <v>0</v>
      </c>
      <c r="M546" s="40">
        <f t="shared" ca="1" si="42"/>
        <v>68</v>
      </c>
      <c r="N546">
        <f t="shared" si="43"/>
        <v>24</v>
      </c>
      <c r="O546" t="str">
        <f t="shared" si="44"/>
        <v>Switch</v>
      </c>
    </row>
    <row r="547" spans="1:15" ht="14.25" customHeight="1">
      <c r="A547">
        <v>736</v>
      </c>
      <c r="B547" s="35" t="s">
        <v>26</v>
      </c>
      <c r="C547" s="37" t="s">
        <v>456</v>
      </c>
      <c r="D547" s="37" t="s">
        <v>457</v>
      </c>
      <c r="E547" s="37" t="s">
        <v>74</v>
      </c>
      <c r="F547" s="37">
        <v>2</v>
      </c>
      <c r="G547" s="37"/>
      <c r="H547" s="86"/>
      <c r="I547" s="86">
        <v>46196</v>
      </c>
      <c r="J547" s="37" t="s">
        <v>4</v>
      </c>
      <c r="K547" s="38">
        <f t="shared" si="40"/>
        <v>2</v>
      </c>
      <c r="L547" s="39">
        <f t="shared" si="41"/>
        <v>0</v>
      </c>
      <c r="M547" s="40">
        <f t="shared" ca="1" si="42"/>
        <v>83</v>
      </c>
      <c r="N547">
        <f t="shared" si="43"/>
        <v>26</v>
      </c>
      <c r="O547" t="str">
        <f t="shared" si="44"/>
        <v>Switch</v>
      </c>
    </row>
    <row r="548" spans="1:15" ht="14.25" customHeight="1">
      <c r="A548">
        <v>733</v>
      </c>
      <c r="B548" s="35" t="s">
        <v>26</v>
      </c>
      <c r="C548" s="37" t="s">
        <v>26</v>
      </c>
      <c r="D548" s="37" t="s">
        <v>296</v>
      </c>
      <c r="E548" s="37" t="s">
        <v>74</v>
      </c>
      <c r="F548" s="37">
        <v>2</v>
      </c>
      <c r="G548" s="37"/>
      <c r="H548" s="86"/>
      <c r="I548" s="86">
        <v>46196</v>
      </c>
      <c r="J548" s="37" t="s">
        <v>4</v>
      </c>
      <c r="K548" s="38">
        <f t="shared" si="40"/>
        <v>2</v>
      </c>
      <c r="L548" s="39">
        <f t="shared" si="41"/>
        <v>0</v>
      </c>
      <c r="M548" s="40">
        <f t="shared" ca="1" si="42"/>
        <v>83</v>
      </c>
      <c r="N548">
        <f t="shared" si="43"/>
        <v>26</v>
      </c>
      <c r="O548" t="str">
        <f t="shared" si="44"/>
        <v>Switch</v>
      </c>
    </row>
    <row r="549" spans="1:15" ht="14.25" hidden="1" customHeight="1">
      <c r="A549">
        <v>735</v>
      </c>
      <c r="B549" s="35" t="s">
        <v>26</v>
      </c>
      <c r="C549" s="37" t="s">
        <v>26</v>
      </c>
      <c r="D549" s="37" t="s">
        <v>458</v>
      </c>
      <c r="E549" s="37" t="s">
        <v>83</v>
      </c>
      <c r="F549" s="37">
        <v>2</v>
      </c>
      <c r="G549" s="37">
        <v>2</v>
      </c>
      <c r="H549" s="86">
        <v>46063</v>
      </c>
      <c r="I549" s="86">
        <v>46063</v>
      </c>
      <c r="J549" s="37" t="s">
        <v>75</v>
      </c>
      <c r="K549" s="38">
        <f t="shared" si="40"/>
        <v>0</v>
      </c>
      <c r="L549" s="39">
        <f t="shared" si="41"/>
        <v>1</v>
      </c>
      <c r="M549" s="40">
        <f t="shared" ca="1" si="42"/>
        <v>-50</v>
      </c>
      <c r="N549">
        <f t="shared" si="43"/>
        <v>7</v>
      </c>
      <c r="O549" t="str">
        <f t="shared" si="44"/>
        <v>Infra</v>
      </c>
    </row>
    <row r="550" spans="1:15" ht="14.25" hidden="1" customHeight="1">
      <c r="A550">
        <v>734</v>
      </c>
      <c r="B550" s="35" t="s">
        <v>26</v>
      </c>
      <c r="C550" s="37" t="s">
        <v>26</v>
      </c>
      <c r="D550" s="37" t="s">
        <v>458</v>
      </c>
      <c r="E550" s="37" t="s">
        <v>176</v>
      </c>
      <c r="F550" s="37">
        <v>2</v>
      </c>
      <c r="G550" s="37"/>
      <c r="H550" s="86"/>
      <c r="I550" s="86">
        <v>46196</v>
      </c>
      <c r="J550" s="37" t="s">
        <v>4</v>
      </c>
      <c r="K550" s="38">
        <f t="shared" si="40"/>
        <v>2</v>
      </c>
      <c r="L550" s="39">
        <f t="shared" si="41"/>
        <v>0</v>
      </c>
      <c r="M550" s="40">
        <f t="shared" ca="1" si="42"/>
        <v>83</v>
      </c>
      <c r="N550">
        <f t="shared" si="43"/>
        <v>26</v>
      </c>
      <c r="O550" t="str">
        <f t="shared" si="44"/>
        <v>Switch</v>
      </c>
    </row>
    <row r="551" spans="1:15" ht="14.25" customHeight="1">
      <c r="A551">
        <v>677</v>
      </c>
      <c r="B551" s="35" t="s">
        <v>24</v>
      </c>
      <c r="C551" s="37" t="s">
        <v>459</v>
      </c>
      <c r="D551" s="37" t="s">
        <v>460</v>
      </c>
      <c r="E551" s="37" t="s">
        <v>74</v>
      </c>
      <c r="F551" s="37">
        <v>2</v>
      </c>
      <c r="G551" s="37"/>
      <c r="H551" s="86"/>
      <c r="I551" s="86">
        <v>46184</v>
      </c>
      <c r="J551" s="37" t="s">
        <v>4</v>
      </c>
      <c r="K551" s="38">
        <f t="shared" si="40"/>
        <v>2</v>
      </c>
      <c r="L551" s="39">
        <f t="shared" si="41"/>
        <v>0</v>
      </c>
      <c r="M551" s="40">
        <f t="shared" ca="1" si="42"/>
        <v>71</v>
      </c>
      <c r="N551">
        <f t="shared" si="43"/>
        <v>24</v>
      </c>
      <c r="O551" t="str">
        <f t="shared" si="44"/>
        <v>Switch</v>
      </c>
    </row>
    <row r="552" spans="1:15" ht="14.25" customHeight="1">
      <c r="A552">
        <v>678</v>
      </c>
      <c r="B552" s="35" t="s">
        <v>24</v>
      </c>
      <c r="C552" s="37" t="s">
        <v>461</v>
      </c>
      <c r="D552" s="37" t="s">
        <v>462</v>
      </c>
      <c r="E552" s="37" t="s">
        <v>74</v>
      </c>
      <c r="F552" s="37">
        <v>2</v>
      </c>
      <c r="G552" s="37"/>
      <c r="H552" s="86"/>
      <c r="I552" s="86">
        <v>46184</v>
      </c>
      <c r="J552" s="37" t="s">
        <v>4</v>
      </c>
      <c r="K552" s="38">
        <f t="shared" si="40"/>
        <v>2</v>
      </c>
      <c r="L552" s="39">
        <f t="shared" si="41"/>
        <v>0</v>
      </c>
      <c r="M552" s="40">
        <f t="shared" ca="1" si="42"/>
        <v>71</v>
      </c>
      <c r="N552">
        <f t="shared" si="43"/>
        <v>24</v>
      </c>
      <c r="O552" t="str">
        <f t="shared" si="44"/>
        <v>Switch</v>
      </c>
    </row>
    <row r="553" spans="1:15" ht="14.25" customHeight="1">
      <c r="A553">
        <v>680</v>
      </c>
      <c r="B553" s="35" t="s">
        <v>24</v>
      </c>
      <c r="C553" s="37" t="s">
        <v>463</v>
      </c>
      <c r="D553" s="37" t="s">
        <v>327</v>
      </c>
      <c r="E553" s="37" t="s">
        <v>74</v>
      </c>
      <c r="F553" s="37">
        <v>2</v>
      </c>
      <c r="G553" s="37"/>
      <c r="H553" s="86"/>
      <c r="I553" s="86">
        <v>46184</v>
      </c>
      <c r="J553" s="37" t="s">
        <v>4</v>
      </c>
      <c r="K553" s="38">
        <f t="shared" si="40"/>
        <v>2</v>
      </c>
      <c r="L553" s="39">
        <f t="shared" si="41"/>
        <v>0</v>
      </c>
      <c r="M553" s="40">
        <f t="shared" ca="1" si="42"/>
        <v>71</v>
      </c>
      <c r="N553">
        <f t="shared" si="43"/>
        <v>24</v>
      </c>
      <c r="O553" t="str">
        <f t="shared" si="44"/>
        <v>Switch</v>
      </c>
    </row>
    <row r="554" spans="1:15" ht="14.25" customHeight="1">
      <c r="A554">
        <v>679</v>
      </c>
      <c r="B554" s="35" t="s">
        <v>24</v>
      </c>
      <c r="C554" s="37" t="s">
        <v>464</v>
      </c>
      <c r="D554" s="37" t="s">
        <v>465</v>
      </c>
      <c r="E554" s="37" t="s">
        <v>74</v>
      </c>
      <c r="F554" s="37">
        <v>2</v>
      </c>
      <c r="G554" s="37"/>
      <c r="H554" s="86"/>
      <c r="I554" s="86">
        <v>46184</v>
      </c>
      <c r="J554" s="37" t="s">
        <v>4</v>
      </c>
      <c r="K554" s="38">
        <f t="shared" si="40"/>
        <v>2</v>
      </c>
      <c r="L554" s="39">
        <f t="shared" si="41"/>
        <v>0</v>
      </c>
      <c r="M554" s="40">
        <f t="shared" ca="1" si="42"/>
        <v>71</v>
      </c>
      <c r="N554">
        <f t="shared" si="43"/>
        <v>24</v>
      </c>
      <c r="O554" t="str">
        <f t="shared" si="44"/>
        <v>Switch</v>
      </c>
    </row>
    <row r="555" spans="1:15" ht="14.25" customHeight="1">
      <c r="A555">
        <v>681</v>
      </c>
      <c r="B555" s="35" t="s">
        <v>24</v>
      </c>
      <c r="C555" s="37" t="s">
        <v>466</v>
      </c>
      <c r="D555" s="37" t="s">
        <v>467</v>
      </c>
      <c r="E555" s="37" t="s">
        <v>74</v>
      </c>
      <c r="F555" s="37">
        <v>2</v>
      </c>
      <c r="G555" s="37"/>
      <c r="H555" s="86"/>
      <c r="I555" s="86">
        <v>46185</v>
      </c>
      <c r="J555" s="37" t="s">
        <v>4</v>
      </c>
      <c r="K555" s="38">
        <f t="shared" si="40"/>
        <v>2</v>
      </c>
      <c r="L555" s="39">
        <f t="shared" si="41"/>
        <v>0</v>
      </c>
      <c r="M555" s="40">
        <f t="shared" ca="1" si="42"/>
        <v>72</v>
      </c>
      <c r="N555">
        <f t="shared" si="43"/>
        <v>24</v>
      </c>
      <c r="O555" t="str">
        <f t="shared" si="44"/>
        <v>Switch</v>
      </c>
    </row>
    <row r="556" spans="1:15" ht="14.25" customHeight="1">
      <c r="A556">
        <v>682</v>
      </c>
      <c r="B556" s="35" t="s">
        <v>24</v>
      </c>
      <c r="C556" s="37" t="s">
        <v>468</v>
      </c>
      <c r="D556" s="37" t="s">
        <v>290</v>
      </c>
      <c r="E556" s="37" t="s">
        <v>74</v>
      </c>
      <c r="F556" s="37">
        <v>2</v>
      </c>
      <c r="G556" s="37"/>
      <c r="H556" s="86"/>
      <c r="I556" s="86">
        <v>46185</v>
      </c>
      <c r="J556" s="37" t="s">
        <v>4</v>
      </c>
      <c r="K556" s="38">
        <f t="shared" si="40"/>
        <v>2</v>
      </c>
      <c r="L556" s="39">
        <f t="shared" si="41"/>
        <v>0</v>
      </c>
      <c r="M556" s="40">
        <f t="shared" ca="1" si="42"/>
        <v>72</v>
      </c>
      <c r="N556">
        <f t="shared" si="43"/>
        <v>24</v>
      </c>
      <c r="O556" t="str">
        <f t="shared" si="44"/>
        <v>Switch</v>
      </c>
    </row>
    <row r="557" spans="1:15" ht="14.25" hidden="1" customHeight="1">
      <c r="A557">
        <v>673</v>
      </c>
      <c r="B557" s="35" t="s">
        <v>24</v>
      </c>
      <c r="C557" s="37" t="s">
        <v>469</v>
      </c>
      <c r="D557" s="37" t="s">
        <v>77</v>
      </c>
      <c r="E557" s="37" t="s">
        <v>78</v>
      </c>
      <c r="F557" s="37">
        <v>1</v>
      </c>
      <c r="G557" s="37"/>
      <c r="H557" s="86"/>
      <c r="I557" s="86">
        <v>46183</v>
      </c>
      <c r="J557" s="37" t="s">
        <v>4</v>
      </c>
      <c r="K557" s="38">
        <f t="shared" si="40"/>
        <v>1</v>
      </c>
      <c r="L557" s="39">
        <f t="shared" si="41"/>
        <v>0</v>
      </c>
      <c r="M557" s="40">
        <f t="shared" ca="1" si="42"/>
        <v>70</v>
      </c>
      <c r="N557">
        <f t="shared" si="43"/>
        <v>24</v>
      </c>
      <c r="O557" t="str">
        <f t="shared" si="44"/>
        <v>AP</v>
      </c>
    </row>
    <row r="558" spans="1:15" ht="14.25" customHeight="1">
      <c r="A558">
        <v>674</v>
      </c>
      <c r="B558" s="35" t="s">
        <v>24</v>
      </c>
      <c r="C558" s="37" t="s">
        <v>469</v>
      </c>
      <c r="D558" s="37" t="s">
        <v>460</v>
      </c>
      <c r="E558" s="37" t="s">
        <v>74</v>
      </c>
      <c r="F558" s="37">
        <v>2</v>
      </c>
      <c r="G558" s="37"/>
      <c r="H558" s="86"/>
      <c r="I558" s="86">
        <v>46184</v>
      </c>
      <c r="J558" s="37" t="s">
        <v>4</v>
      </c>
      <c r="K558" s="38">
        <f t="shared" si="40"/>
        <v>2</v>
      </c>
      <c r="L558" s="39">
        <f t="shared" si="41"/>
        <v>0</v>
      </c>
      <c r="M558" s="40">
        <f t="shared" ca="1" si="42"/>
        <v>71</v>
      </c>
      <c r="N558">
        <f t="shared" si="43"/>
        <v>24</v>
      </c>
      <c r="O558" t="str">
        <f t="shared" si="44"/>
        <v>Switch</v>
      </c>
    </row>
    <row r="559" spans="1:15" ht="14.25" customHeight="1">
      <c r="A559">
        <v>683</v>
      </c>
      <c r="B559" s="35" t="s">
        <v>24</v>
      </c>
      <c r="C559" s="37" t="s">
        <v>470</v>
      </c>
      <c r="D559" s="37" t="s">
        <v>471</v>
      </c>
      <c r="E559" s="37" t="s">
        <v>74</v>
      </c>
      <c r="F559" s="37">
        <v>2</v>
      </c>
      <c r="G559" s="37"/>
      <c r="H559" s="86"/>
      <c r="I559" s="86">
        <v>46185</v>
      </c>
      <c r="J559" s="37" t="s">
        <v>4</v>
      </c>
      <c r="K559" s="38">
        <f t="shared" si="40"/>
        <v>2</v>
      </c>
      <c r="L559" s="39">
        <f t="shared" si="41"/>
        <v>0</v>
      </c>
      <c r="M559" s="40">
        <f t="shared" ca="1" si="42"/>
        <v>72</v>
      </c>
      <c r="N559">
        <f t="shared" si="43"/>
        <v>24</v>
      </c>
      <c r="O559" t="str">
        <f t="shared" si="44"/>
        <v>Switch</v>
      </c>
    </row>
    <row r="560" spans="1:15" ht="14.25" hidden="1" customHeight="1">
      <c r="A560">
        <v>649</v>
      </c>
      <c r="B560" s="35" t="s">
        <v>24</v>
      </c>
      <c r="C560" s="37" t="s">
        <v>24</v>
      </c>
      <c r="D560" s="37" t="s">
        <v>77</v>
      </c>
      <c r="E560" s="37" t="s">
        <v>78</v>
      </c>
      <c r="F560" s="37">
        <v>25</v>
      </c>
      <c r="G560" s="37"/>
      <c r="H560" s="86"/>
      <c r="I560" s="86">
        <v>46182</v>
      </c>
      <c r="J560" s="37" t="s">
        <v>4</v>
      </c>
      <c r="K560" s="38">
        <f t="shared" si="40"/>
        <v>25</v>
      </c>
      <c r="L560" s="39">
        <f t="shared" si="41"/>
        <v>0</v>
      </c>
      <c r="M560" s="40">
        <f t="shared" ca="1" si="42"/>
        <v>69</v>
      </c>
      <c r="N560">
        <f t="shared" si="43"/>
        <v>24</v>
      </c>
      <c r="O560" t="str">
        <f t="shared" si="44"/>
        <v>AP</v>
      </c>
    </row>
    <row r="561" spans="1:15" ht="14.25" customHeight="1">
      <c r="A561">
        <v>650</v>
      </c>
      <c r="B561" s="35" t="s">
        <v>24</v>
      </c>
      <c r="C561" s="37" t="s">
        <v>24</v>
      </c>
      <c r="D561" s="37" t="s">
        <v>472</v>
      </c>
      <c r="E561" s="37" t="s">
        <v>74</v>
      </c>
      <c r="F561" s="37">
        <v>2</v>
      </c>
      <c r="G561" s="37"/>
      <c r="H561" s="86"/>
      <c r="I561" s="86">
        <v>46184</v>
      </c>
      <c r="J561" s="37" t="s">
        <v>4</v>
      </c>
      <c r="K561" s="38">
        <f t="shared" si="40"/>
        <v>2</v>
      </c>
      <c r="L561" s="39">
        <f t="shared" si="41"/>
        <v>0</v>
      </c>
      <c r="M561" s="40">
        <f t="shared" ca="1" si="42"/>
        <v>71</v>
      </c>
      <c r="N561">
        <f t="shared" si="43"/>
        <v>24</v>
      </c>
      <c r="O561" t="str">
        <f t="shared" si="44"/>
        <v>Switch</v>
      </c>
    </row>
    <row r="562" spans="1:15" ht="14.25" customHeight="1">
      <c r="A562">
        <v>651</v>
      </c>
      <c r="B562" s="35" t="s">
        <v>24</v>
      </c>
      <c r="C562" s="37" t="s">
        <v>24</v>
      </c>
      <c r="D562" s="37" t="s">
        <v>473</v>
      </c>
      <c r="E562" s="37" t="s">
        <v>74</v>
      </c>
      <c r="F562" s="37">
        <v>4</v>
      </c>
      <c r="G562" s="37"/>
      <c r="H562" s="86"/>
      <c r="I562" s="86">
        <v>46184</v>
      </c>
      <c r="J562" s="37" t="s">
        <v>4</v>
      </c>
      <c r="K562" s="38">
        <f t="shared" si="40"/>
        <v>4</v>
      </c>
      <c r="L562" s="39">
        <f t="shared" si="41"/>
        <v>0</v>
      </c>
      <c r="M562" s="40">
        <f t="shared" ca="1" si="42"/>
        <v>71</v>
      </c>
      <c r="N562">
        <f t="shared" si="43"/>
        <v>24</v>
      </c>
      <c r="O562" t="str">
        <f t="shared" si="44"/>
        <v>Switch</v>
      </c>
    </row>
    <row r="563" spans="1:15" ht="14.25" customHeight="1">
      <c r="A563">
        <v>652</v>
      </c>
      <c r="B563" s="35" t="s">
        <v>24</v>
      </c>
      <c r="C563" s="37" t="s">
        <v>24</v>
      </c>
      <c r="D563" s="37" t="s">
        <v>474</v>
      </c>
      <c r="E563" s="37" t="s">
        <v>80</v>
      </c>
      <c r="F563" s="37">
        <v>3</v>
      </c>
      <c r="G563" s="37"/>
      <c r="H563" s="86"/>
      <c r="I563" s="86">
        <v>46184</v>
      </c>
      <c r="J563" s="37" t="s">
        <v>4</v>
      </c>
      <c r="K563" s="38">
        <f t="shared" si="40"/>
        <v>3</v>
      </c>
      <c r="L563" s="39">
        <f t="shared" si="41"/>
        <v>0</v>
      </c>
      <c r="M563" s="40">
        <f t="shared" ca="1" si="42"/>
        <v>71</v>
      </c>
      <c r="N563">
        <f t="shared" si="43"/>
        <v>24</v>
      </c>
      <c r="O563" t="str">
        <f t="shared" si="44"/>
        <v>Switch</v>
      </c>
    </row>
    <row r="564" spans="1:15" ht="14.25" customHeight="1">
      <c r="A564">
        <v>653</v>
      </c>
      <c r="B564" s="35" t="s">
        <v>24</v>
      </c>
      <c r="C564" s="37" t="s">
        <v>24</v>
      </c>
      <c r="D564" s="37" t="s">
        <v>475</v>
      </c>
      <c r="E564" s="37" t="s">
        <v>80</v>
      </c>
      <c r="F564" s="37">
        <v>1</v>
      </c>
      <c r="G564" s="37"/>
      <c r="H564" s="86"/>
      <c r="I564" s="86">
        <v>46184</v>
      </c>
      <c r="J564" s="37" t="s">
        <v>4</v>
      </c>
      <c r="K564" s="38">
        <f t="shared" si="40"/>
        <v>1</v>
      </c>
      <c r="L564" s="39">
        <f t="shared" si="41"/>
        <v>0</v>
      </c>
      <c r="M564" s="40">
        <f t="shared" ca="1" si="42"/>
        <v>71</v>
      </c>
      <c r="N564">
        <f t="shared" si="43"/>
        <v>24</v>
      </c>
      <c r="O564" t="str">
        <f t="shared" si="44"/>
        <v>Switch</v>
      </c>
    </row>
    <row r="565" spans="1:15" ht="14.25" hidden="1" customHeight="1">
      <c r="A565">
        <v>654</v>
      </c>
      <c r="B565" s="35" t="s">
        <v>24</v>
      </c>
      <c r="C565" s="37" t="s">
        <v>24</v>
      </c>
      <c r="D565" s="37" t="s">
        <v>476</v>
      </c>
      <c r="E565" s="37" t="s">
        <v>84</v>
      </c>
      <c r="F565" s="37">
        <v>2</v>
      </c>
      <c r="G565" s="37"/>
      <c r="H565" s="86"/>
      <c r="I565" s="86">
        <v>46184</v>
      </c>
      <c r="J565" s="37" t="s">
        <v>4</v>
      </c>
      <c r="K565" s="38">
        <f t="shared" si="40"/>
        <v>2</v>
      </c>
      <c r="L565" s="39">
        <f t="shared" si="41"/>
        <v>0</v>
      </c>
      <c r="M565" s="40">
        <f t="shared" ca="1" si="42"/>
        <v>71</v>
      </c>
      <c r="N565">
        <f t="shared" si="43"/>
        <v>24</v>
      </c>
      <c r="O565" t="str">
        <f t="shared" si="44"/>
        <v>Switch</v>
      </c>
    </row>
    <row r="566" spans="1:15" ht="14.25" hidden="1" customHeight="1">
      <c r="A566">
        <v>656</v>
      </c>
      <c r="B566" s="35" t="s">
        <v>24</v>
      </c>
      <c r="C566" s="37" t="s">
        <v>24</v>
      </c>
      <c r="D566" s="37" t="s">
        <v>477</v>
      </c>
      <c r="E566" s="37" t="s">
        <v>83</v>
      </c>
      <c r="F566" s="37">
        <v>2</v>
      </c>
      <c r="G566" s="37">
        <v>2</v>
      </c>
      <c r="H566" s="86">
        <v>46063</v>
      </c>
      <c r="I566" s="86">
        <v>46063</v>
      </c>
      <c r="J566" s="37" t="s">
        <v>75</v>
      </c>
      <c r="K566" s="38">
        <f t="shared" si="40"/>
        <v>0</v>
      </c>
      <c r="L566" s="39">
        <f t="shared" si="41"/>
        <v>1</v>
      </c>
      <c r="M566" s="40">
        <f t="shared" ca="1" si="42"/>
        <v>-50</v>
      </c>
      <c r="N566">
        <f t="shared" si="43"/>
        <v>7</v>
      </c>
      <c r="O566" t="str">
        <f t="shared" si="44"/>
        <v>Infra</v>
      </c>
    </row>
    <row r="567" spans="1:15" ht="14.25" customHeight="1">
      <c r="A567">
        <v>655</v>
      </c>
      <c r="B567" s="35" t="s">
        <v>24</v>
      </c>
      <c r="C567" s="37" t="s">
        <v>24</v>
      </c>
      <c r="D567" s="37" t="s">
        <v>477</v>
      </c>
      <c r="E567" s="37" t="s">
        <v>140</v>
      </c>
      <c r="F567" s="37">
        <v>1</v>
      </c>
      <c r="G567" s="37"/>
      <c r="H567" s="86"/>
      <c r="I567" s="86">
        <v>46185</v>
      </c>
      <c r="J567" s="37" t="s">
        <v>4</v>
      </c>
      <c r="K567" s="38">
        <f t="shared" si="40"/>
        <v>1</v>
      </c>
      <c r="L567" s="39">
        <f t="shared" si="41"/>
        <v>0</v>
      </c>
      <c r="M567" s="40">
        <f t="shared" ca="1" si="42"/>
        <v>72</v>
      </c>
      <c r="N567">
        <f t="shared" si="43"/>
        <v>24</v>
      </c>
      <c r="O567" t="str">
        <f t="shared" si="44"/>
        <v>Switch</v>
      </c>
    </row>
    <row r="568" spans="1:15" ht="14.25" customHeight="1">
      <c r="A568">
        <v>657</v>
      </c>
      <c r="B568" s="35" t="s">
        <v>24</v>
      </c>
      <c r="C568" s="37" t="s">
        <v>24</v>
      </c>
      <c r="D568" s="37" t="s">
        <v>478</v>
      </c>
      <c r="E568" s="37" t="s">
        <v>140</v>
      </c>
      <c r="F568" s="37">
        <v>2</v>
      </c>
      <c r="G568" s="37"/>
      <c r="H568" s="86"/>
      <c r="I568" s="86">
        <v>46185</v>
      </c>
      <c r="J568" s="37" t="s">
        <v>4</v>
      </c>
      <c r="K568" s="38">
        <f t="shared" si="40"/>
        <v>2</v>
      </c>
      <c r="L568" s="39">
        <f t="shared" si="41"/>
        <v>0</v>
      </c>
      <c r="M568" s="40">
        <f t="shared" ca="1" si="42"/>
        <v>72</v>
      </c>
      <c r="N568">
        <f t="shared" si="43"/>
        <v>24</v>
      </c>
      <c r="O568" t="str">
        <f t="shared" si="44"/>
        <v>Switch</v>
      </c>
    </row>
    <row r="569" spans="1:15" ht="14.25" customHeight="1">
      <c r="A569">
        <v>658</v>
      </c>
      <c r="B569" s="35" t="s">
        <v>24</v>
      </c>
      <c r="C569" s="37" t="s">
        <v>24</v>
      </c>
      <c r="D569" s="36" t="s">
        <v>479</v>
      </c>
      <c r="E569" s="37" t="s">
        <v>80</v>
      </c>
      <c r="F569" s="37">
        <v>1</v>
      </c>
      <c r="G569" s="37"/>
      <c r="H569" s="86"/>
      <c r="I569" s="86">
        <v>46185</v>
      </c>
      <c r="J569" s="37" t="s">
        <v>4</v>
      </c>
      <c r="K569" s="38">
        <f t="shared" si="40"/>
        <v>1</v>
      </c>
      <c r="L569" s="39">
        <f t="shared" si="41"/>
        <v>0</v>
      </c>
      <c r="M569" s="40">
        <f t="shared" ca="1" si="42"/>
        <v>72</v>
      </c>
      <c r="N569">
        <f t="shared" si="43"/>
        <v>24</v>
      </c>
      <c r="O569" t="str">
        <f t="shared" si="44"/>
        <v>Switch</v>
      </c>
    </row>
    <row r="570" spans="1:15" ht="14.25" hidden="1" customHeight="1">
      <c r="A570">
        <v>659</v>
      </c>
      <c r="B570" s="35" t="s">
        <v>24</v>
      </c>
      <c r="C570" s="37" t="s">
        <v>24</v>
      </c>
      <c r="D570" s="36" t="s">
        <v>480</v>
      </c>
      <c r="E570" s="37" t="s">
        <v>90</v>
      </c>
      <c r="F570" s="37">
        <v>1</v>
      </c>
      <c r="G570" s="37"/>
      <c r="H570" s="86"/>
      <c r="I570" s="86">
        <v>46185</v>
      </c>
      <c r="J570" s="37" t="s">
        <v>4</v>
      </c>
      <c r="K570" s="38">
        <f t="shared" si="40"/>
        <v>1</v>
      </c>
      <c r="L570" s="39">
        <f t="shared" si="41"/>
        <v>0</v>
      </c>
      <c r="M570" s="40">
        <f t="shared" ca="1" si="42"/>
        <v>72</v>
      </c>
      <c r="N570">
        <f t="shared" si="43"/>
        <v>24</v>
      </c>
      <c r="O570" t="str">
        <f t="shared" si="44"/>
        <v>Switch</v>
      </c>
    </row>
    <row r="571" spans="1:15" ht="14.25" customHeight="1">
      <c r="A571">
        <v>662</v>
      </c>
      <c r="B571" s="35" t="s">
        <v>24</v>
      </c>
      <c r="C571" s="37" t="s">
        <v>24</v>
      </c>
      <c r="D571" s="36" t="s">
        <v>481</v>
      </c>
      <c r="E571" s="37" t="s">
        <v>80</v>
      </c>
      <c r="F571" s="37">
        <v>2</v>
      </c>
      <c r="G571" s="37"/>
      <c r="H571" s="86"/>
      <c r="I571" s="86">
        <v>46185</v>
      </c>
      <c r="J571" s="37" t="s">
        <v>4</v>
      </c>
      <c r="K571" s="38">
        <f t="shared" si="40"/>
        <v>2</v>
      </c>
      <c r="L571" s="39">
        <f t="shared" si="41"/>
        <v>0</v>
      </c>
      <c r="M571" s="40">
        <f t="shared" ca="1" si="42"/>
        <v>72</v>
      </c>
      <c r="N571">
        <f t="shared" si="43"/>
        <v>24</v>
      </c>
      <c r="O571" t="str">
        <f t="shared" si="44"/>
        <v>Switch</v>
      </c>
    </row>
    <row r="572" spans="1:15" ht="14.25" customHeight="1">
      <c r="A572">
        <v>663</v>
      </c>
      <c r="B572" s="35" t="s">
        <v>24</v>
      </c>
      <c r="C572" s="37" t="s">
        <v>24</v>
      </c>
      <c r="D572" s="36" t="s">
        <v>482</v>
      </c>
      <c r="E572" s="37" t="s">
        <v>80</v>
      </c>
      <c r="F572" s="37">
        <v>1</v>
      </c>
      <c r="G572" s="37"/>
      <c r="H572" s="86"/>
      <c r="I572" s="86">
        <v>46188</v>
      </c>
      <c r="J572" s="37" t="s">
        <v>4</v>
      </c>
      <c r="K572" s="38">
        <f t="shared" si="40"/>
        <v>1</v>
      </c>
      <c r="L572" s="39">
        <f t="shared" si="41"/>
        <v>0</v>
      </c>
      <c r="M572" s="40">
        <f t="shared" ca="1" si="42"/>
        <v>75</v>
      </c>
      <c r="N572">
        <f t="shared" si="43"/>
        <v>25</v>
      </c>
      <c r="O572" t="str">
        <f t="shared" si="44"/>
        <v>Switch</v>
      </c>
    </row>
    <row r="573" spans="1:15" ht="14.25" customHeight="1">
      <c r="A573">
        <v>660</v>
      </c>
      <c r="B573" s="35" t="s">
        <v>24</v>
      </c>
      <c r="C573" s="37" t="s">
        <v>24</v>
      </c>
      <c r="D573" s="36" t="s">
        <v>483</v>
      </c>
      <c r="E573" s="37" t="s">
        <v>80</v>
      </c>
      <c r="F573" s="37">
        <v>1</v>
      </c>
      <c r="G573" s="37"/>
      <c r="H573" s="86"/>
      <c r="I573" s="86">
        <v>46185</v>
      </c>
      <c r="J573" s="37" t="s">
        <v>4</v>
      </c>
      <c r="K573" s="38">
        <f t="shared" si="40"/>
        <v>1</v>
      </c>
      <c r="L573" s="39">
        <f t="shared" si="41"/>
        <v>0</v>
      </c>
      <c r="M573" s="40">
        <f t="shared" ca="1" si="42"/>
        <v>72</v>
      </c>
      <c r="N573">
        <f t="shared" si="43"/>
        <v>24</v>
      </c>
      <c r="O573" t="str">
        <f t="shared" si="44"/>
        <v>Switch</v>
      </c>
    </row>
    <row r="574" spans="1:15" ht="14.25" customHeight="1">
      <c r="A574">
        <v>661</v>
      </c>
      <c r="B574" s="35" t="s">
        <v>24</v>
      </c>
      <c r="C574" s="37" t="s">
        <v>24</v>
      </c>
      <c r="D574" s="36" t="s">
        <v>484</v>
      </c>
      <c r="E574" s="37" t="s">
        <v>80</v>
      </c>
      <c r="F574" s="37">
        <v>1</v>
      </c>
      <c r="G574" s="37"/>
      <c r="H574" s="86"/>
      <c r="I574" s="86">
        <v>46185</v>
      </c>
      <c r="J574" s="37" t="s">
        <v>4</v>
      </c>
      <c r="K574" s="38">
        <f t="shared" si="40"/>
        <v>1</v>
      </c>
      <c r="L574" s="39">
        <f t="shared" si="41"/>
        <v>0</v>
      </c>
      <c r="M574" s="40">
        <f t="shared" ca="1" si="42"/>
        <v>72</v>
      </c>
      <c r="N574">
        <f t="shared" si="43"/>
        <v>24</v>
      </c>
      <c r="O574" t="str">
        <f t="shared" si="44"/>
        <v>Switch</v>
      </c>
    </row>
    <row r="575" spans="1:15" ht="14.25" customHeight="1">
      <c r="A575">
        <v>685</v>
      </c>
      <c r="B575" s="35" t="s">
        <v>24</v>
      </c>
      <c r="C575" s="37" t="s">
        <v>485</v>
      </c>
      <c r="D575" s="37" t="s">
        <v>486</v>
      </c>
      <c r="E575" s="37" t="s">
        <v>74</v>
      </c>
      <c r="F575" s="37">
        <v>2</v>
      </c>
      <c r="G575" s="37"/>
      <c r="H575" s="86"/>
      <c r="I575" s="86">
        <v>46185</v>
      </c>
      <c r="J575" s="37" t="s">
        <v>4</v>
      </c>
      <c r="K575" s="38">
        <f t="shared" si="40"/>
        <v>2</v>
      </c>
      <c r="L575" s="39">
        <f t="shared" si="41"/>
        <v>0</v>
      </c>
      <c r="M575" s="40">
        <f t="shared" ca="1" si="42"/>
        <v>72</v>
      </c>
      <c r="N575">
        <f t="shared" si="43"/>
        <v>24</v>
      </c>
      <c r="O575" t="str">
        <f t="shared" si="44"/>
        <v>Switch</v>
      </c>
    </row>
    <row r="576" spans="1:15" ht="14.25" customHeight="1">
      <c r="A576">
        <v>686</v>
      </c>
      <c r="B576" s="35" t="s">
        <v>24</v>
      </c>
      <c r="C576" s="37" t="s">
        <v>487</v>
      </c>
      <c r="D576" s="37" t="s">
        <v>488</v>
      </c>
      <c r="E576" s="37" t="s">
        <v>74</v>
      </c>
      <c r="F576" s="37">
        <v>2</v>
      </c>
      <c r="G576" s="37"/>
      <c r="H576" s="86"/>
      <c r="I576" s="86">
        <v>46185</v>
      </c>
      <c r="J576" s="37" t="s">
        <v>4</v>
      </c>
      <c r="K576" s="38">
        <f t="shared" si="40"/>
        <v>2</v>
      </c>
      <c r="L576" s="39">
        <f t="shared" si="41"/>
        <v>0</v>
      </c>
      <c r="M576" s="40">
        <f t="shared" ca="1" si="42"/>
        <v>72</v>
      </c>
      <c r="N576">
        <f t="shared" si="43"/>
        <v>24</v>
      </c>
      <c r="O576" t="str">
        <f t="shared" si="44"/>
        <v>Switch</v>
      </c>
    </row>
    <row r="577" spans="1:15" ht="14.25" customHeight="1">
      <c r="A577">
        <v>684</v>
      </c>
      <c r="B577" s="35" t="s">
        <v>24</v>
      </c>
      <c r="C577" s="37" t="s">
        <v>489</v>
      </c>
      <c r="D577" s="37" t="s">
        <v>490</v>
      </c>
      <c r="E577" s="37" t="s">
        <v>74</v>
      </c>
      <c r="F577" s="37">
        <v>2</v>
      </c>
      <c r="G577" s="37"/>
      <c r="H577" s="86"/>
      <c r="I577" s="86">
        <v>46185</v>
      </c>
      <c r="J577" s="37" t="s">
        <v>4</v>
      </c>
      <c r="K577" s="38">
        <f t="shared" si="40"/>
        <v>2</v>
      </c>
      <c r="L577" s="39">
        <f t="shared" si="41"/>
        <v>0</v>
      </c>
      <c r="M577" s="40">
        <f t="shared" ca="1" si="42"/>
        <v>72</v>
      </c>
      <c r="N577">
        <f t="shared" si="43"/>
        <v>24</v>
      </c>
      <c r="O577" t="str">
        <f t="shared" si="44"/>
        <v>Switch</v>
      </c>
    </row>
    <row r="578" spans="1:15" ht="14.25" customHeight="1">
      <c r="A578">
        <v>687</v>
      </c>
      <c r="B578" s="35" t="s">
        <v>24</v>
      </c>
      <c r="C578" s="37" t="s">
        <v>491</v>
      </c>
      <c r="D578" s="37" t="s">
        <v>492</v>
      </c>
      <c r="E578" s="37" t="s">
        <v>74</v>
      </c>
      <c r="F578" s="37">
        <v>1</v>
      </c>
      <c r="G578" s="37"/>
      <c r="H578" s="86"/>
      <c r="I578" s="86">
        <v>46188</v>
      </c>
      <c r="J578" s="37" t="s">
        <v>4</v>
      </c>
      <c r="K578" s="38">
        <f t="shared" ref="K578:K641" si="45">F578-G578</f>
        <v>1</v>
      </c>
      <c r="L578" s="39">
        <f t="shared" ref="L578:L641" si="46">IF(F578=0,"",G578/F578)</f>
        <v>0</v>
      </c>
      <c r="M578" s="40">
        <f t="shared" ref="M578:M641" ca="1" si="47">I578-TODAY()</f>
        <v>75</v>
      </c>
      <c r="N578">
        <f t="shared" ref="N578:N641" si="48">_xlfn.ISOWEEKNUM(I578)</f>
        <v>25</v>
      </c>
      <c r="O578" t="str">
        <f t="shared" ref="O578:O641" si="49">IF(ISNUMBER(SEARCH("Access Point",E578)),"AP",IF(OR(ISNUMBER(SEARCH("Switch",E578)),ISNUMBER(SEARCH("Control Type",E578))),"Switch","Infra"))</f>
        <v>Switch</v>
      </c>
    </row>
    <row r="579" spans="1:15" ht="14.25" hidden="1" customHeight="1">
      <c r="A579">
        <v>675</v>
      </c>
      <c r="B579" s="35" t="s">
        <v>24</v>
      </c>
      <c r="C579" s="37" t="s">
        <v>493</v>
      </c>
      <c r="D579" s="37" t="s">
        <v>77</v>
      </c>
      <c r="E579" s="37" t="s">
        <v>78</v>
      </c>
      <c r="F579" s="37">
        <v>1</v>
      </c>
      <c r="G579" s="37"/>
      <c r="H579" s="86"/>
      <c r="I579" s="86">
        <v>46184</v>
      </c>
      <c r="J579" s="37" t="s">
        <v>4</v>
      </c>
      <c r="K579" s="38">
        <f t="shared" si="45"/>
        <v>1</v>
      </c>
      <c r="L579" s="39">
        <f t="shared" si="46"/>
        <v>0</v>
      </c>
      <c r="M579" s="40">
        <f t="shared" ca="1" si="47"/>
        <v>71</v>
      </c>
      <c r="N579">
        <f t="shared" si="48"/>
        <v>24</v>
      </c>
      <c r="O579" t="str">
        <f t="shared" si="49"/>
        <v>AP</v>
      </c>
    </row>
    <row r="580" spans="1:15" ht="14.25" customHeight="1">
      <c r="A580">
        <v>676</v>
      </c>
      <c r="B580" s="35" t="s">
        <v>24</v>
      </c>
      <c r="C580" s="37" t="s">
        <v>493</v>
      </c>
      <c r="D580" s="37" t="s">
        <v>460</v>
      </c>
      <c r="E580" s="37" t="s">
        <v>74</v>
      </c>
      <c r="F580" s="37">
        <v>2</v>
      </c>
      <c r="G580" s="37"/>
      <c r="H580" s="86"/>
      <c r="I580" s="86">
        <v>46184</v>
      </c>
      <c r="J580" s="37" t="s">
        <v>4</v>
      </c>
      <c r="K580" s="38">
        <f t="shared" si="45"/>
        <v>2</v>
      </c>
      <c r="L580" s="39">
        <f t="shared" si="46"/>
        <v>0</v>
      </c>
      <c r="M580" s="40">
        <f t="shared" ca="1" si="47"/>
        <v>71</v>
      </c>
      <c r="N580">
        <f t="shared" si="48"/>
        <v>24</v>
      </c>
      <c r="O580" t="str">
        <f t="shared" si="49"/>
        <v>Switch</v>
      </c>
    </row>
    <row r="581" spans="1:15" ht="14.25" hidden="1" customHeight="1">
      <c r="A581">
        <v>664</v>
      </c>
      <c r="B581" s="35" t="s">
        <v>24</v>
      </c>
      <c r="C581" s="36" t="s">
        <v>494</v>
      </c>
      <c r="D581" s="37" t="s">
        <v>77</v>
      </c>
      <c r="E581" s="37" t="s">
        <v>78</v>
      </c>
      <c r="F581" s="37">
        <v>5</v>
      </c>
      <c r="G581" s="37"/>
      <c r="H581" s="86"/>
      <c r="I581" s="86">
        <v>46182</v>
      </c>
      <c r="J581" s="37" t="s">
        <v>4</v>
      </c>
      <c r="K581" s="38">
        <f t="shared" si="45"/>
        <v>5</v>
      </c>
      <c r="L581" s="39">
        <f t="shared" si="46"/>
        <v>0</v>
      </c>
      <c r="M581" s="40">
        <f t="shared" ca="1" si="47"/>
        <v>69</v>
      </c>
      <c r="N581">
        <f t="shared" si="48"/>
        <v>24</v>
      </c>
      <c r="O581" t="str">
        <f t="shared" si="49"/>
        <v>AP</v>
      </c>
    </row>
    <row r="582" spans="1:15" ht="14.25" customHeight="1">
      <c r="A582">
        <v>665</v>
      </c>
      <c r="B582" s="35" t="s">
        <v>24</v>
      </c>
      <c r="C582" s="36" t="s">
        <v>494</v>
      </c>
      <c r="D582" s="37" t="s">
        <v>495</v>
      </c>
      <c r="E582" s="37" t="s">
        <v>74</v>
      </c>
      <c r="F582" s="37">
        <v>3</v>
      </c>
      <c r="G582" s="37"/>
      <c r="H582" s="86"/>
      <c r="I582" s="86">
        <v>46182</v>
      </c>
      <c r="J582" s="37" t="s">
        <v>4</v>
      </c>
      <c r="K582" s="38">
        <f t="shared" si="45"/>
        <v>3</v>
      </c>
      <c r="L582" s="39">
        <f t="shared" si="46"/>
        <v>0</v>
      </c>
      <c r="M582" s="40">
        <f t="shared" ca="1" si="47"/>
        <v>69</v>
      </c>
      <c r="N582">
        <f t="shared" si="48"/>
        <v>24</v>
      </c>
      <c r="O582" t="str">
        <f t="shared" si="49"/>
        <v>Switch</v>
      </c>
    </row>
    <row r="583" spans="1:15" ht="14.25" customHeight="1">
      <c r="A583">
        <v>666</v>
      </c>
      <c r="B583" s="35" t="s">
        <v>24</v>
      </c>
      <c r="C583" s="36" t="s">
        <v>494</v>
      </c>
      <c r="D583" s="37" t="s">
        <v>496</v>
      </c>
      <c r="E583" s="37" t="s">
        <v>80</v>
      </c>
      <c r="F583" s="37">
        <v>2</v>
      </c>
      <c r="G583" s="37"/>
      <c r="H583" s="86"/>
      <c r="I583" s="86">
        <v>46182</v>
      </c>
      <c r="J583" s="37" t="s">
        <v>4</v>
      </c>
      <c r="K583" s="38">
        <f t="shared" si="45"/>
        <v>2</v>
      </c>
      <c r="L583" s="39">
        <f t="shared" si="46"/>
        <v>0</v>
      </c>
      <c r="M583" s="40">
        <f t="shared" ca="1" si="47"/>
        <v>69</v>
      </c>
      <c r="N583">
        <f t="shared" si="48"/>
        <v>24</v>
      </c>
      <c r="O583" t="str">
        <f t="shared" si="49"/>
        <v>Switch</v>
      </c>
    </row>
    <row r="584" spans="1:15" ht="14.25" hidden="1" customHeight="1">
      <c r="A584">
        <v>667</v>
      </c>
      <c r="B584" s="35" t="s">
        <v>24</v>
      </c>
      <c r="C584" s="36" t="s">
        <v>494</v>
      </c>
      <c r="D584" s="37" t="s">
        <v>460</v>
      </c>
      <c r="E584" s="37" t="s">
        <v>118</v>
      </c>
      <c r="F584" s="37">
        <v>2</v>
      </c>
      <c r="G584" s="37"/>
      <c r="H584" s="86"/>
      <c r="I584" s="86">
        <v>46182</v>
      </c>
      <c r="J584" s="37" t="s">
        <v>4</v>
      </c>
      <c r="K584" s="38">
        <f t="shared" si="45"/>
        <v>2</v>
      </c>
      <c r="L584" s="39">
        <f t="shared" si="46"/>
        <v>0</v>
      </c>
      <c r="M584" s="40">
        <f t="shared" ca="1" si="47"/>
        <v>69</v>
      </c>
      <c r="N584">
        <f t="shared" si="48"/>
        <v>24</v>
      </c>
      <c r="O584" t="str">
        <f t="shared" si="49"/>
        <v>Switch</v>
      </c>
    </row>
    <row r="585" spans="1:15" ht="14.25" customHeight="1">
      <c r="A585">
        <v>668</v>
      </c>
      <c r="B585" s="35" t="s">
        <v>24</v>
      </c>
      <c r="C585" s="36" t="s">
        <v>494</v>
      </c>
      <c r="D585" s="37" t="s">
        <v>472</v>
      </c>
      <c r="E585" s="37" t="s">
        <v>74</v>
      </c>
      <c r="F585" s="37">
        <v>4</v>
      </c>
      <c r="G585" s="37"/>
      <c r="H585" s="86"/>
      <c r="I585" s="86">
        <v>46183</v>
      </c>
      <c r="J585" s="37" t="s">
        <v>4</v>
      </c>
      <c r="K585" s="38">
        <f t="shared" si="45"/>
        <v>4</v>
      </c>
      <c r="L585" s="39">
        <f t="shared" si="46"/>
        <v>0</v>
      </c>
      <c r="M585" s="40">
        <f t="shared" ca="1" si="47"/>
        <v>70</v>
      </c>
      <c r="N585">
        <f t="shared" si="48"/>
        <v>24</v>
      </c>
      <c r="O585" t="str">
        <f t="shared" si="49"/>
        <v>Switch</v>
      </c>
    </row>
    <row r="586" spans="1:15" ht="14.25" customHeight="1">
      <c r="A586">
        <v>669</v>
      </c>
      <c r="B586" s="35" t="s">
        <v>24</v>
      </c>
      <c r="C586" s="36" t="s">
        <v>494</v>
      </c>
      <c r="D586" s="37" t="s">
        <v>497</v>
      </c>
      <c r="E586" s="37" t="s">
        <v>80</v>
      </c>
      <c r="F586" s="37">
        <v>1</v>
      </c>
      <c r="G586" s="37"/>
      <c r="H586" s="86"/>
      <c r="I586" s="86">
        <v>46183</v>
      </c>
      <c r="J586" s="37" t="s">
        <v>4</v>
      </c>
      <c r="K586" s="38">
        <f t="shared" si="45"/>
        <v>1</v>
      </c>
      <c r="L586" s="39">
        <f t="shared" si="46"/>
        <v>0</v>
      </c>
      <c r="M586" s="40">
        <f t="shared" ca="1" si="47"/>
        <v>70</v>
      </c>
      <c r="N586">
        <f t="shared" si="48"/>
        <v>24</v>
      </c>
      <c r="O586" t="str">
        <f t="shared" si="49"/>
        <v>Switch</v>
      </c>
    </row>
    <row r="587" spans="1:15" ht="14.25" customHeight="1">
      <c r="A587">
        <v>671</v>
      </c>
      <c r="B587" s="35" t="s">
        <v>24</v>
      </c>
      <c r="C587" s="36" t="s">
        <v>494</v>
      </c>
      <c r="D587" s="36" t="s">
        <v>498</v>
      </c>
      <c r="E587" s="37" t="s">
        <v>80</v>
      </c>
      <c r="F587" s="37">
        <v>2</v>
      </c>
      <c r="G587" s="37"/>
      <c r="H587" s="86"/>
      <c r="I587" s="86">
        <v>46183</v>
      </c>
      <c r="J587" s="37" t="s">
        <v>4</v>
      </c>
      <c r="K587" s="38">
        <f t="shared" si="45"/>
        <v>2</v>
      </c>
      <c r="L587" s="39">
        <f t="shared" si="46"/>
        <v>0</v>
      </c>
      <c r="M587" s="40">
        <f t="shared" ca="1" si="47"/>
        <v>70</v>
      </c>
      <c r="N587">
        <f t="shared" si="48"/>
        <v>24</v>
      </c>
      <c r="O587" t="str">
        <f t="shared" si="49"/>
        <v>Switch</v>
      </c>
    </row>
    <row r="588" spans="1:15" ht="14.25" customHeight="1">
      <c r="A588">
        <v>670</v>
      </c>
      <c r="B588" s="35" t="s">
        <v>24</v>
      </c>
      <c r="C588" s="36" t="s">
        <v>494</v>
      </c>
      <c r="D588" s="36" t="s">
        <v>499</v>
      </c>
      <c r="E588" s="37" t="s">
        <v>80</v>
      </c>
      <c r="F588" s="37">
        <v>2</v>
      </c>
      <c r="G588" s="37"/>
      <c r="H588" s="86"/>
      <c r="I588" s="86">
        <v>46183</v>
      </c>
      <c r="J588" s="37" t="s">
        <v>4</v>
      </c>
      <c r="K588" s="38">
        <f t="shared" si="45"/>
        <v>2</v>
      </c>
      <c r="L588" s="39">
        <f t="shared" si="46"/>
        <v>0</v>
      </c>
      <c r="M588" s="40">
        <f t="shared" ca="1" si="47"/>
        <v>70</v>
      </c>
      <c r="N588">
        <f t="shared" si="48"/>
        <v>24</v>
      </c>
      <c r="O588" t="str">
        <f t="shared" si="49"/>
        <v>Switch</v>
      </c>
    </row>
    <row r="589" spans="1:15" ht="14.25" customHeight="1">
      <c r="A589">
        <v>672</v>
      </c>
      <c r="B589" s="35" t="s">
        <v>24</v>
      </c>
      <c r="C589" s="36" t="s">
        <v>494</v>
      </c>
      <c r="D589" s="36" t="s">
        <v>500</v>
      </c>
      <c r="E589" s="37" t="s">
        <v>74</v>
      </c>
      <c r="F589" s="37">
        <v>2</v>
      </c>
      <c r="G589" s="37"/>
      <c r="H589" s="86"/>
      <c r="I589" s="86">
        <v>46183</v>
      </c>
      <c r="J589" s="37" t="s">
        <v>4</v>
      </c>
      <c r="K589" s="38">
        <f t="shared" si="45"/>
        <v>2</v>
      </c>
      <c r="L589" s="39">
        <f t="shared" si="46"/>
        <v>0</v>
      </c>
      <c r="M589" s="40">
        <f t="shared" ca="1" si="47"/>
        <v>70</v>
      </c>
      <c r="N589">
        <f t="shared" si="48"/>
        <v>24</v>
      </c>
      <c r="O589" t="str">
        <f t="shared" si="49"/>
        <v>Switch</v>
      </c>
    </row>
    <row r="590" spans="1:15" ht="14.25" hidden="1" customHeight="1">
      <c r="A590">
        <v>512</v>
      </c>
      <c r="B590" s="35" t="s">
        <v>22</v>
      </c>
      <c r="C590" s="37" t="s">
        <v>501</v>
      </c>
      <c r="D590" s="37" t="s">
        <v>502</v>
      </c>
      <c r="E590" s="37" t="s">
        <v>118</v>
      </c>
      <c r="F590" s="37">
        <v>1</v>
      </c>
      <c r="G590" s="37"/>
      <c r="H590" s="86"/>
      <c r="I590" s="86">
        <v>46147</v>
      </c>
      <c r="J590" s="37" t="s">
        <v>4</v>
      </c>
      <c r="K590" s="38">
        <f t="shared" si="45"/>
        <v>1</v>
      </c>
      <c r="L590" s="39">
        <f t="shared" si="46"/>
        <v>0</v>
      </c>
      <c r="M590" s="40">
        <f t="shared" ca="1" si="47"/>
        <v>34</v>
      </c>
      <c r="N590">
        <f t="shared" si="48"/>
        <v>19</v>
      </c>
      <c r="O590" t="str">
        <f t="shared" si="49"/>
        <v>Switch</v>
      </c>
    </row>
    <row r="591" spans="1:15" ht="14.25" customHeight="1">
      <c r="A591">
        <v>511</v>
      </c>
      <c r="B591" s="35" t="s">
        <v>22</v>
      </c>
      <c r="C591" s="37" t="s">
        <v>501</v>
      </c>
      <c r="D591" s="37" t="s">
        <v>502</v>
      </c>
      <c r="E591" s="37" t="s">
        <v>80</v>
      </c>
      <c r="F591" s="37">
        <v>12</v>
      </c>
      <c r="G591" s="37"/>
      <c r="H591" s="86"/>
      <c r="I591" s="86">
        <v>46147</v>
      </c>
      <c r="J591" s="37" t="s">
        <v>4</v>
      </c>
      <c r="K591" s="38">
        <f t="shared" si="45"/>
        <v>12</v>
      </c>
      <c r="L591" s="39">
        <f t="shared" si="46"/>
        <v>0</v>
      </c>
      <c r="M591" s="40">
        <f t="shared" ca="1" si="47"/>
        <v>34</v>
      </c>
      <c r="N591">
        <f t="shared" si="48"/>
        <v>19</v>
      </c>
      <c r="O591" t="str">
        <f t="shared" si="49"/>
        <v>Switch</v>
      </c>
    </row>
    <row r="592" spans="1:15" ht="14.25" customHeight="1">
      <c r="A592">
        <v>510</v>
      </c>
      <c r="B592" s="35" t="s">
        <v>22</v>
      </c>
      <c r="C592" s="37" t="s">
        <v>501</v>
      </c>
      <c r="D592" s="37" t="s">
        <v>502</v>
      </c>
      <c r="E592" s="37" t="s">
        <v>142</v>
      </c>
      <c r="F592" s="37">
        <v>4</v>
      </c>
      <c r="G592" s="37"/>
      <c r="H592" s="86"/>
      <c r="I592" s="86">
        <v>46147</v>
      </c>
      <c r="J592" s="37" t="s">
        <v>4</v>
      </c>
      <c r="K592" s="38">
        <f t="shared" si="45"/>
        <v>4</v>
      </c>
      <c r="L592" s="39">
        <f t="shared" si="46"/>
        <v>0</v>
      </c>
      <c r="M592" s="40">
        <f t="shared" ca="1" si="47"/>
        <v>34</v>
      </c>
      <c r="N592">
        <f t="shared" si="48"/>
        <v>19</v>
      </c>
      <c r="O592" t="str">
        <f t="shared" si="49"/>
        <v>Switch</v>
      </c>
    </row>
    <row r="593" spans="1:15" ht="14.25" customHeight="1">
      <c r="A593">
        <v>509</v>
      </c>
      <c r="B593" s="35" t="s">
        <v>22</v>
      </c>
      <c r="C593" s="37" t="s">
        <v>501</v>
      </c>
      <c r="D593" s="37" t="s">
        <v>502</v>
      </c>
      <c r="E593" s="37" t="s">
        <v>74</v>
      </c>
      <c r="F593" s="37">
        <v>17</v>
      </c>
      <c r="G593" s="37"/>
      <c r="H593" s="86"/>
      <c r="I593" s="86">
        <v>46147</v>
      </c>
      <c r="J593" s="37" t="s">
        <v>4</v>
      </c>
      <c r="K593" s="38">
        <f t="shared" si="45"/>
        <v>17</v>
      </c>
      <c r="L593" s="39">
        <f t="shared" si="46"/>
        <v>0</v>
      </c>
      <c r="M593" s="40">
        <f t="shared" ca="1" si="47"/>
        <v>34</v>
      </c>
      <c r="N593">
        <f t="shared" si="48"/>
        <v>19</v>
      </c>
      <c r="O593" t="str">
        <f t="shared" si="49"/>
        <v>Switch</v>
      </c>
    </row>
    <row r="594" spans="1:15" ht="14.25" customHeight="1">
      <c r="A594">
        <v>508</v>
      </c>
      <c r="B594" s="35" t="s">
        <v>22</v>
      </c>
      <c r="C594" s="37" t="s">
        <v>501</v>
      </c>
      <c r="D594" s="37" t="s">
        <v>502</v>
      </c>
      <c r="E594" s="37" t="s">
        <v>140</v>
      </c>
      <c r="F594" s="37">
        <v>3</v>
      </c>
      <c r="G594" s="37"/>
      <c r="H594" s="86"/>
      <c r="I594" s="86">
        <v>46147</v>
      </c>
      <c r="J594" s="37" t="s">
        <v>4</v>
      </c>
      <c r="K594" s="38">
        <f t="shared" si="45"/>
        <v>3</v>
      </c>
      <c r="L594" s="39">
        <f t="shared" si="46"/>
        <v>0</v>
      </c>
      <c r="M594" s="40">
        <f t="shared" ca="1" si="47"/>
        <v>34</v>
      </c>
      <c r="N594">
        <f t="shared" si="48"/>
        <v>19</v>
      </c>
      <c r="O594" t="str">
        <f t="shared" si="49"/>
        <v>Switch</v>
      </c>
    </row>
    <row r="595" spans="1:15" ht="14.25" customHeight="1">
      <c r="A595">
        <v>514</v>
      </c>
      <c r="B595" s="35" t="s">
        <v>22</v>
      </c>
      <c r="C595" s="37" t="s">
        <v>501</v>
      </c>
      <c r="D595" s="37" t="s">
        <v>503</v>
      </c>
      <c r="E595" s="37" t="s">
        <v>80</v>
      </c>
      <c r="F595" s="37">
        <v>1</v>
      </c>
      <c r="G595" s="37"/>
      <c r="H595" s="86"/>
      <c r="I595" s="86">
        <v>46150</v>
      </c>
      <c r="J595" s="37" t="s">
        <v>4</v>
      </c>
      <c r="K595" s="38">
        <f t="shared" si="45"/>
        <v>1</v>
      </c>
      <c r="L595" s="39">
        <f t="shared" si="46"/>
        <v>0</v>
      </c>
      <c r="M595" s="40">
        <f t="shared" ca="1" si="47"/>
        <v>37</v>
      </c>
      <c r="N595">
        <f t="shared" si="48"/>
        <v>19</v>
      </c>
      <c r="O595" t="str">
        <f t="shared" si="49"/>
        <v>Switch</v>
      </c>
    </row>
    <row r="596" spans="1:15" ht="14.25" customHeight="1">
      <c r="A596">
        <v>513</v>
      </c>
      <c r="B596" s="35" t="s">
        <v>22</v>
      </c>
      <c r="C596" s="37" t="s">
        <v>501</v>
      </c>
      <c r="D596" s="37" t="s">
        <v>503</v>
      </c>
      <c r="E596" s="37" t="s">
        <v>74</v>
      </c>
      <c r="F596" s="37">
        <v>1</v>
      </c>
      <c r="G596" s="37"/>
      <c r="H596" s="86"/>
      <c r="I596" s="86">
        <v>46150</v>
      </c>
      <c r="J596" s="37" t="s">
        <v>4</v>
      </c>
      <c r="K596" s="38">
        <f t="shared" si="45"/>
        <v>1</v>
      </c>
      <c r="L596" s="39">
        <f t="shared" si="46"/>
        <v>0</v>
      </c>
      <c r="M596" s="40">
        <f t="shared" ca="1" si="47"/>
        <v>37</v>
      </c>
      <c r="N596">
        <f t="shared" si="48"/>
        <v>19</v>
      </c>
      <c r="O596" t="str">
        <f t="shared" si="49"/>
        <v>Switch</v>
      </c>
    </row>
    <row r="597" spans="1:15" ht="14.25" hidden="1" customHeight="1">
      <c r="A597">
        <v>503</v>
      </c>
      <c r="B597" s="35" t="s">
        <v>22</v>
      </c>
      <c r="C597" s="37" t="s">
        <v>504</v>
      </c>
      <c r="D597" s="37" t="s">
        <v>505</v>
      </c>
      <c r="E597" s="37" t="s">
        <v>118</v>
      </c>
      <c r="F597" s="37">
        <v>1</v>
      </c>
      <c r="G597" s="37"/>
      <c r="H597" s="86"/>
      <c r="I597" s="86">
        <v>46139</v>
      </c>
      <c r="J597" s="37" t="s">
        <v>4</v>
      </c>
      <c r="K597" s="38">
        <f t="shared" si="45"/>
        <v>1</v>
      </c>
      <c r="L597" s="39">
        <f t="shared" si="46"/>
        <v>0</v>
      </c>
      <c r="M597" s="40">
        <f t="shared" ca="1" si="47"/>
        <v>26</v>
      </c>
      <c r="N597">
        <f t="shared" si="48"/>
        <v>18</v>
      </c>
      <c r="O597" t="str">
        <f t="shared" si="49"/>
        <v>Switch</v>
      </c>
    </row>
    <row r="598" spans="1:15" ht="14.25" customHeight="1">
      <c r="A598">
        <v>502</v>
      </c>
      <c r="B598" s="35" t="s">
        <v>22</v>
      </c>
      <c r="C598" s="37" t="s">
        <v>504</v>
      </c>
      <c r="D598" s="37" t="s">
        <v>505</v>
      </c>
      <c r="E598" s="37" t="s">
        <v>80</v>
      </c>
      <c r="F598" s="37">
        <v>9</v>
      </c>
      <c r="G598" s="37"/>
      <c r="H598" s="86"/>
      <c r="I598" s="86">
        <v>46139</v>
      </c>
      <c r="J598" s="37" t="s">
        <v>4</v>
      </c>
      <c r="K598" s="38">
        <f t="shared" si="45"/>
        <v>9</v>
      </c>
      <c r="L598" s="39">
        <f t="shared" si="46"/>
        <v>0</v>
      </c>
      <c r="M598" s="40">
        <f t="shared" ca="1" si="47"/>
        <v>26</v>
      </c>
      <c r="N598">
        <f t="shared" si="48"/>
        <v>18</v>
      </c>
      <c r="O598" t="str">
        <f t="shared" si="49"/>
        <v>Switch</v>
      </c>
    </row>
    <row r="599" spans="1:15" ht="14.25" customHeight="1">
      <c r="A599">
        <v>501</v>
      </c>
      <c r="B599" s="35" t="s">
        <v>22</v>
      </c>
      <c r="C599" s="37" t="s">
        <v>504</v>
      </c>
      <c r="D599" s="37" t="s">
        <v>505</v>
      </c>
      <c r="E599" s="37" t="s">
        <v>142</v>
      </c>
      <c r="F599" s="37">
        <v>3</v>
      </c>
      <c r="G599" s="37"/>
      <c r="H599" s="86"/>
      <c r="I599" s="86">
        <v>46139</v>
      </c>
      <c r="J599" s="37" t="s">
        <v>4</v>
      </c>
      <c r="K599" s="38">
        <f t="shared" si="45"/>
        <v>3</v>
      </c>
      <c r="L599" s="39">
        <f t="shared" si="46"/>
        <v>0</v>
      </c>
      <c r="M599" s="40">
        <f t="shared" ca="1" si="47"/>
        <v>26</v>
      </c>
      <c r="N599">
        <f t="shared" si="48"/>
        <v>18</v>
      </c>
      <c r="O599" t="str">
        <f t="shared" si="49"/>
        <v>Switch</v>
      </c>
    </row>
    <row r="600" spans="1:15" ht="14.25" customHeight="1">
      <c r="A600">
        <v>500</v>
      </c>
      <c r="B600" s="35" t="s">
        <v>22</v>
      </c>
      <c r="C600" s="37" t="s">
        <v>504</v>
      </c>
      <c r="D600" s="37" t="s">
        <v>505</v>
      </c>
      <c r="E600" s="37" t="s">
        <v>74</v>
      </c>
      <c r="F600" s="37">
        <v>23</v>
      </c>
      <c r="G600" s="37"/>
      <c r="H600" s="86"/>
      <c r="I600" s="86">
        <v>46139</v>
      </c>
      <c r="J600" s="37" t="s">
        <v>4</v>
      </c>
      <c r="K600" s="38">
        <f t="shared" si="45"/>
        <v>23</v>
      </c>
      <c r="L600" s="39">
        <f t="shared" si="46"/>
        <v>0</v>
      </c>
      <c r="M600" s="40">
        <f t="shared" ca="1" si="47"/>
        <v>26</v>
      </c>
      <c r="N600">
        <f t="shared" si="48"/>
        <v>18</v>
      </c>
      <c r="O600" t="str">
        <f t="shared" si="49"/>
        <v>Switch</v>
      </c>
    </row>
    <row r="601" spans="1:15" ht="14.25" customHeight="1">
      <c r="A601">
        <v>499</v>
      </c>
      <c r="B601" s="35" t="s">
        <v>22</v>
      </c>
      <c r="C601" s="37" t="s">
        <v>504</v>
      </c>
      <c r="D601" s="37" t="s">
        <v>505</v>
      </c>
      <c r="E601" s="37" t="s">
        <v>140</v>
      </c>
      <c r="F601" s="37">
        <v>3</v>
      </c>
      <c r="G601" s="37"/>
      <c r="H601" s="86"/>
      <c r="I601" s="86">
        <v>46139</v>
      </c>
      <c r="J601" s="37" t="s">
        <v>4</v>
      </c>
      <c r="K601" s="38">
        <f t="shared" si="45"/>
        <v>3</v>
      </c>
      <c r="L601" s="39">
        <f t="shared" si="46"/>
        <v>0</v>
      </c>
      <c r="M601" s="40">
        <f t="shared" ca="1" si="47"/>
        <v>26</v>
      </c>
      <c r="N601">
        <f t="shared" si="48"/>
        <v>18</v>
      </c>
      <c r="O601" t="str">
        <f t="shared" si="49"/>
        <v>Switch</v>
      </c>
    </row>
    <row r="602" spans="1:15" ht="14.25" customHeight="1">
      <c r="A602">
        <v>505</v>
      </c>
      <c r="B602" s="35" t="s">
        <v>22</v>
      </c>
      <c r="C602" s="37" t="s">
        <v>504</v>
      </c>
      <c r="D602" s="37" t="s">
        <v>506</v>
      </c>
      <c r="E602" s="37" t="s">
        <v>80</v>
      </c>
      <c r="F602" s="37">
        <v>1</v>
      </c>
      <c r="G602" s="37"/>
      <c r="H602" s="86"/>
      <c r="I602" s="86">
        <v>46142</v>
      </c>
      <c r="J602" s="37" t="s">
        <v>4</v>
      </c>
      <c r="K602" s="38">
        <f t="shared" si="45"/>
        <v>1</v>
      </c>
      <c r="L602" s="39">
        <f t="shared" si="46"/>
        <v>0</v>
      </c>
      <c r="M602" s="40">
        <f t="shared" ca="1" si="47"/>
        <v>29</v>
      </c>
      <c r="N602">
        <f t="shared" si="48"/>
        <v>18</v>
      </c>
      <c r="O602" t="str">
        <f t="shared" si="49"/>
        <v>Switch</v>
      </c>
    </row>
    <row r="603" spans="1:15" ht="14.25" customHeight="1">
      <c r="A603">
        <v>504</v>
      </c>
      <c r="B603" s="35" t="s">
        <v>22</v>
      </c>
      <c r="C603" s="37" t="s">
        <v>504</v>
      </c>
      <c r="D603" s="37" t="s">
        <v>506</v>
      </c>
      <c r="E603" s="37" t="s">
        <v>74</v>
      </c>
      <c r="F603" s="37">
        <v>1</v>
      </c>
      <c r="G603" s="37"/>
      <c r="H603" s="86"/>
      <c r="I603" s="86">
        <v>46142</v>
      </c>
      <c r="J603" s="37" t="s">
        <v>4</v>
      </c>
      <c r="K603" s="38">
        <f t="shared" si="45"/>
        <v>1</v>
      </c>
      <c r="L603" s="39">
        <f t="shared" si="46"/>
        <v>0</v>
      </c>
      <c r="M603" s="40">
        <f t="shared" ca="1" si="47"/>
        <v>29</v>
      </c>
      <c r="N603">
        <f t="shared" si="48"/>
        <v>18</v>
      </c>
      <c r="O603" t="str">
        <f t="shared" si="49"/>
        <v>Switch</v>
      </c>
    </row>
    <row r="604" spans="1:15" ht="14.25" customHeight="1">
      <c r="A604">
        <v>507</v>
      </c>
      <c r="B604" s="35" t="s">
        <v>22</v>
      </c>
      <c r="C604" s="37" t="s">
        <v>504</v>
      </c>
      <c r="D604" s="37" t="s">
        <v>507</v>
      </c>
      <c r="E604" s="37" t="s">
        <v>80</v>
      </c>
      <c r="F604" s="37">
        <v>1</v>
      </c>
      <c r="G604" s="37"/>
      <c r="H604" s="86"/>
      <c r="I604" s="86">
        <v>46142</v>
      </c>
      <c r="J604" s="37" t="s">
        <v>4</v>
      </c>
      <c r="K604" s="38">
        <f t="shared" si="45"/>
        <v>1</v>
      </c>
      <c r="L604" s="39">
        <f t="shared" si="46"/>
        <v>0</v>
      </c>
      <c r="M604" s="40">
        <f t="shared" ca="1" si="47"/>
        <v>29</v>
      </c>
      <c r="N604">
        <f t="shared" si="48"/>
        <v>18</v>
      </c>
      <c r="O604" t="str">
        <f t="shared" si="49"/>
        <v>Switch</v>
      </c>
    </row>
    <row r="605" spans="1:15" ht="14.25" customHeight="1">
      <c r="A605">
        <v>506</v>
      </c>
      <c r="B605" s="35" t="s">
        <v>22</v>
      </c>
      <c r="C605" s="37" t="s">
        <v>504</v>
      </c>
      <c r="D605" s="37" t="s">
        <v>507</v>
      </c>
      <c r="E605" s="37" t="s">
        <v>74</v>
      </c>
      <c r="F605" s="37">
        <v>2</v>
      </c>
      <c r="G605" s="37"/>
      <c r="H605" s="86"/>
      <c r="I605" s="86">
        <v>46142</v>
      </c>
      <c r="J605" s="37" t="s">
        <v>4</v>
      </c>
      <c r="K605" s="38">
        <f t="shared" si="45"/>
        <v>2</v>
      </c>
      <c r="L605" s="39">
        <f t="shared" si="46"/>
        <v>0</v>
      </c>
      <c r="M605" s="40">
        <f t="shared" ca="1" si="47"/>
        <v>29</v>
      </c>
      <c r="N605">
        <f t="shared" si="48"/>
        <v>18</v>
      </c>
      <c r="O605" t="str">
        <f t="shared" si="49"/>
        <v>Switch</v>
      </c>
    </row>
    <row r="606" spans="1:15" ht="14.25" hidden="1" customHeight="1">
      <c r="A606">
        <v>521</v>
      </c>
      <c r="B606" s="35" t="s">
        <v>22</v>
      </c>
      <c r="C606" s="37" t="s">
        <v>508</v>
      </c>
      <c r="D606" s="37" t="s">
        <v>22</v>
      </c>
      <c r="E606" s="37" t="s">
        <v>83</v>
      </c>
      <c r="F606" s="37">
        <v>2</v>
      </c>
      <c r="G606" s="37">
        <v>2</v>
      </c>
      <c r="H606" s="86">
        <v>46063</v>
      </c>
      <c r="I606" s="86">
        <v>46063</v>
      </c>
      <c r="J606" s="37" t="s">
        <v>75</v>
      </c>
      <c r="K606" s="38">
        <f t="shared" si="45"/>
        <v>0</v>
      </c>
      <c r="L606" s="39">
        <f t="shared" si="46"/>
        <v>1</v>
      </c>
      <c r="M606" s="40">
        <f t="shared" ca="1" si="47"/>
        <v>-50</v>
      </c>
      <c r="N606">
        <f t="shared" si="48"/>
        <v>7</v>
      </c>
      <c r="O606" t="str">
        <f t="shared" si="49"/>
        <v>Infra</v>
      </c>
    </row>
    <row r="607" spans="1:15" ht="14.25" hidden="1" customHeight="1">
      <c r="A607">
        <v>520</v>
      </c>
      <c r="B607" s="35" t="s">
        <v>22</v>
      </c>
      <c r="C607" s="37" t="s">
        <v>508</v>
      </c>
      <c r="D607" s="37" t="s">
        <v>22</v>
      </c>
      <c r="E607" s="37" t="s">
        <v>84</v>
      </c>
      <c r="F607" s="37">
        <v>2</v>
      </c>
      <c r="G607" s="37"/>
      <c r="H607" s="86"/>
      <c r="I607" s="86">
        <v>46150</v>
      </c>
      <c r="J607" s="37" t="s">
        <v>4</v>
      </c>
      <c r="K607" s="38">
        <f t="shared" si="45"/>
        <v>2</v>
      </c>
      <c r="L607" s="39">
        <f t="shared" si="46"/>
        <v>0</v>
      </c>
      <c r="M607" s="40">
        <f t="shared" ca="1" si="47"/>
        <v>37</v>
      </c>
      <c r="N607">
        <f t="shared" si="48"/>
        <v>19</v>
      </c>
      <c r="O607" t="str">
        <f t="shared" si="49"/>
        <v>Switch</v>
      </c>
    </row>
    <row r="608" spans="1:15" ht="14.25" customHeight="1">
      <c r="A608">
        <v>516</v>
      </c>
      <c r="B608" s="35" t="s">
        <v>22</v>
      </c>
      <c r="C608" s="36" t="s">
        <v>509</v>
      </c>
      <c r="D608" s="36" t="s">
        <v>510</v>
      </c>
      <c r="E608" s="37" t="s">
        <v>80</v>
      </c>
      <c r="F608" s="37">
        <v>2</v>
      </c>
      <c r="G608" s="37"/>
      <c r="H608" s="86"/>
      <c r="I608" s="86">
        <v>46150</v>
      </c>
      <c r="J608" s="37" t="s">
        <v>4</v>
      </c>
      <c r="K608" s="38">
        <f t="shared" si="45"/>
        <v>2</v>
      </c>
      <c r="L608" s="39">
        <f t="shared" si="46"/>
        <v>0</v>
      </c>
      <c r="M608" s="40">
        <f t="shared" ca="1" si="47"/>
        <v>37</v>
      </c>
      <c r="N608">
        <f t="shared" si="48"/>
        <v>19</v>
      </c>
      <c r="O608" t="str">
        <f t="shared" si="49"/>
        <v>Switch</v>
      </c>
    </row>
    <row r="609" spans="1:15" ht="14.25" customHeight="1">
      <c r="A609">
        <v>515</v>
      </c>
      <c r="B609" s="35" t="s">
        <v>22</v>
      </c>
      <c r="C609" s="36" t="s">
        <v>509</v>
      </c>
      <c r="D609" s="36" t="s">
        <v>510</v>
      </c>
      <c r="E609" s="37" t="s">
        <v>74</v>
      </c>
      <c r="F609" s="37">
        <v>1</v>
      </c>
      <c r="G609" s="37"/>
      <c r="H609" s="86"/>
      <c r="I609" s="86">
        <v>46150</v>
      </c>
      <c r="J609" s="37" t="s">
        <v>4</v>
      </c>
      <c r="K609" s="38">
        <f t="shared" si="45"/>
        <v>1</v>
      </c>
      <c r="L609" s="39">
        <f t="shared" si="46"/>
        <v>0</v>
      </c>
      <c r="M609" s="40">
        <f t="shared" ca="1" si="47"/>
        <v>37</v>
      </c>
      <c r="N609">
        <f t="shared" si="48"/>
        <v>19</v>
      </c>
      <c r="O609" t="str">
        <f t="shared" si="49"/>
        <v>Switch</v>
      </c>
    </row>
    <row r="610" spans="1:15" ht="14.25" hidden="1" customHeight="1">
      <c r="A610">
        <v>519</v>
      </c>
      <c r="B610" s="35" t="s">
        <v>22</v>
      </c>
      <c r="C610" s="36" t="s">
        <v>509</v>
      </c>
      <c r="D610" s="36" t="s">
        <v>511</v>
      </c>
      <c r="E610" s="37" t="s">
        <v>118</v>
      </c>
      <c r="F610" s="37">
        <v>2</v>
      </c>
      <c r="G610" s="37"/>
      <c r="H610" s="86"/>
      <c r="I610" s="86">
        <v>46150</v>
      </c>
      <c r="J610" s="37" t="s">
        <v>4</v>
      </c>
      <c r="K610" s="38">
        <f t="shared" si="45"/>
        <v>2</v>
      </c>
      <c r="L610" s="39">
        <f t="shared" si="46"/>
        <v>0</v>
      </c>
      <c r="M610" s="40">
        <f t="shared" ca="1" si="47"/>
        <v>37</v>
      </c>
      <c r="N610">
        <f t="shared" si="48"/>
        <v>19</v>
      </c>
      <c r="O610" t="str">
        <f t="shared" si="49"/>
        <v>Switch</v>
      </c>
    </row>
    <row r="611" spans="1:15" ht="14.25" customHeight="1">
      <c r="A611">
        <v>518</v>
      </c>
      <c r="B611" s="35" t="s">
        <v>22</v>
      </c>
      <c r="C611" s="36" t="s">
        <v>509</v>
      </c>
      <c r="D611" s="36" t="s">
        <v>511</v>
      </c>
      <c r="E611" s="37" t="s">
        <v>80</v>
      </c>
      <c r="F611" s="37">
        <v>1</v>
      </c>
      <c r="G611" s="37"/>
      <c r="H611" s="86"/>
      <c r="I611" s="86">
        <v>46150</v>
      </c>
      <c r="J611" s="37" t="s">
        <v>4</v>
      </c>
      <c r="K611" s="38">
        <f t="shared" si="45"/>
        <v>1</v>
      </c>
      <c r="L611" s="39">
        <f t="shared" si="46"/>
        <v>0</v>
      </c>
      <c r="M611" s="40">
        <f t="shared" ca="1" si="47"/>
        <v>37</v>
      </c>
      <c r="N611">
        <f t="shared" si="48"/>
        <v>19</v>
      </c>
      <c r="O611" t="str">
        <f t="shared" si="49"/>
        <v>Switch</v>
      </c>
    </row>
    <row r="612" spans="1:15" ht="14.25" customHeight="1">
      <c r="A612">
        <v>517</v>
      </c>
      <c r="B612" s="35" t="s">
        <v>22</v>
      </c>
      <c r="C612" s="36" t="s">
        <v>509</v>
      </c>
      <c r="D612" s="36" t="s">
        <v>511</v>
      </c>
      <c r="E612" s="37" t="s">
        <v>74</v>
      </c>
      <c r="F612" s="37">
        <v>2</v>
      </c>
      <c r="G612" s="37"/>
      <c r="H612" s="86"/>
      <c r="I612" s="86">
        <v>46150</v>
      </c>
      <c r="J612" s="37" t="s">
        <v>4</v>
      </c>
      <c r="K612" s="38">
        <f t="shared" si="45"/>
        <v>2</v>
      </c>
      <c r="L612" s="39">
        <f t="shared" si="46"/>
        <v>0</v>
      </c>
      <c r="M612" s="40">
        <f t="shared" ca="1" si="47"/>
        <v>37</v>
      </c>
      <c r="N612">
        <f t="shared" si="48"/>
        <v>19</v>
      </c>
      <c r="O612" t="str">
        <f t="shared" si="49"/>
        <v>Switch</v>
      </c>
    </row>
    <row r="613" spans="1:15" ht="14.25" hidden="1" customHeight="1">
      <c r="A613">
        <v>371</v>
      </c>
      <c r="B613" s="35" t="s">
        <v>22</v>
      </c>
      <c r="C613" s="36" t="s">
        <v>512</v>
      </c>
      <c r="D613" s="37" t="s">
        <v>77</v>
      </c>
      <c r="E613" s="37" t="s">
        <v>78</v>
      </c>
      <c r="F613" s="37">
        <v>44</v>
      </c>
      <c r="G613" s="37"/>
      <c r="H613" s="86"/>
      <c r="I613" s="86">
        <v>46139</v>
      </c>
      <c r="J613" s="37" t="s">
        <v>4</v>
      </c>
      <c r="K613" s="38">
        <f t="shared" si="45"/>
        <v>44</v>
      </c>
      <c r="L613" s="39">
        <f t="shared" si="46"/>
        <v>0</v>
      </c>
      <c r="M613" s="40">
        <f t="shared" ca="1" si="47"/>
        <v>26</v>
      </c>
      <c r="N613">
        <f t="shared" si="48"/>
        <v>18</v>
      </c>
      <c r="O613" t="str">
        <f t="shared" si="49"/>
        <v>AP</v>
      </c>
    </row>
    <row r="614" spans="1:15" ht="14.25" customHeight="1">
      <c r="A614">
        <v>373</v>
      </c>
      <c r="B614" s="35" t="s">
        <v>22</v>
      </c>
      <c r="C614" s="36" t="s">
        <v>512</v>
      </c>
      <c r="D614" s="37" t="s">
        <v>513</v>
      </c>
      <c r="E614" s="37" t="s">
        <v>80</v>
      </c>
      <c r="F614" s="37">
        <v>2</v>
      </c>
      <c r="G614" s="37"/>
      <c r="H614" s="86"/>
      <c r="I614" s="86">
        <v>46142</v>
      </c>
      <c r="J614" s="37" t="s">
        <v>4</v>
      </c>
      <c r="K614" s="38">
        <f t="shared" si="45"/>
        <v>2</v>
      </c>
      <c r="L614" s="39">
        <f t="shared" si="46"/>
        <v>0</v>
      </c>
      <c r="M614" s="40">
        <f t="shared" ca="1" si="47"/>
        <v>29</v>
      </c>
      <c r="N614">
        <f t="shared" si="48"/>
        <v>18</v>
      </c>
      <c r="O614" t="str">
        <f t="shared" si="49"/>
        <v>Switch</v>
      </c>
    </row>
    <row r="615" spans="1:15" ht="14.25" customHeight="1">
      <c r="A615">
        <v>372</v>
      </c>
      <c r="B615" s="35" t="s">
        <v>22</v>
      </c>
      <c r="C615" s="36" t="s">
        <v>512</v>
      </c>
      <c r="D615" s="37" t="s">
        <v>513</v>
      </c>
      <c r="E615" s="37" t="s">
        <v>74</v>
      </c>
      <c r="F615" s="37">
        <v>3</v>
      </c>
      <c r="G615" s="37"/>
      <c r="H615" s="86"/>
      <c r="I615" s="86">
        <v>46142</v>
      </c>
      <c r="J615" s="37" t="s">
        <v>4</v>
      </c>
      <c r="K615" s="38">
        <f t="shared" si="45"/>
        <v>3</v>
      </c>
      <c r="L615" s="39">
        <f t="shared" si="46"/>
        <v>0</v>
      </c>
      <c r="M615" s="40">
        <f t="shared" ca="1" si="47"/>
        <v>29</v>
      </c>
      <c r="N615">
        <f t="shared" si="48"/>
        <v>18</v>
      </c>
      <c r="O615" t="str">
        <f t="shared" si="49"/>
        <v>Switch</v>
      </c>
    </row>
    <row r="616" spans="1:15" ht="14.25" customHeight="1">
      <c r="A616">
        <v>375</v>
      </c>
      <c r="B616" s="35" t="s">
        <v>22</v>
      </c>
      <c r="C616" s="36" t="s">
        <v>512</v>
      </c>
      <c r="D616" s="37" t="s">
        <v>514</v>
      </c>
      <c r="E616" s="37" t="s">
        <v>80</v>
      </c>
      <c r="F616" s="37">
        <v>3</v>
      </c>
      <c r="G616" s="37"/>
      <c r="H616" s="86"/>
      <c r="I616" s="86">
        <v>46147</v>
      </c>
      <c r="J616" s="37" t="s">
        <v>4</v>
      </c>
      <c r="K616" s="38">
        <f t="shared" si="45"/>
        <v>3</v>
      </c>
      <c r="L616" s="39">
        <f t="shared" si="46"/>
        <v>0</v>
      </c>
      <c r="M616" s="40">
        <f t="shared" ca="1" si="47"/>
        <v>34</v>
      </c>
      <c r="N616">
        <f t="shared" si="48"/>
        <v>19</v>
      </c>
      <c r="O616" t="str">
        <f t="shared" si="49"/>
        <v>Switch</v>
      </c>
    </row>
    <row r="617" spans="1:15" ht="14.25" customHeight="1">
      <c r="A617">
        <v>374</v>
      </c>
      <c r="B617" s="35" t="s">
        <v>22</v>
      </c>
      <c r="C617" s="36" t="s">
        <v>512</v>
      </c>
      <c r="D617" s="37" t="s">
        <v>514</v>
      </c>
      <c r="E617" s="37" t="s">
        <v>74</v>
      </c>
      <c r="F617" s="37">
        <v>3</v>
      </c>
      <c r="G617" s="37"/>
      <c r="H617" s="86"/>
      <c r="I617" s="86">
        <v>46147</v>
      </c>
      <c r="J617" s="37" t="s">
        <v>4</v>
      </c>
      <c r="K617" s="38">
        <f t="shared" si="45"/>
        <v>3</v>
      </c>
      <c r="L617" s="39">
        <f t="shared" si="46"/>
        <v>0</v>
      </c>
      <c r="M617" s="40">
        <f t="shared" ca="1" si="47"/>
        <v>34</v>
      </c>
      <c r="N617">
        <f t="shared" si="48"/>
        <v>19</v>
      </c>
      <c r="O617" t="str">
        <f t="shared" si="49"/>
        <v>Switch</v>
      </c>
    </row>
    <row r="618" spans="1:15" ht="14.25" customHeight="1">
      <c r="A618">
        <v>377</v>
      </c>
      <c r="B618" s="35" t="s">
        <v>22</v>
      </c>
      <c r="C618" s="36" t="s">
        <v>512</v>
      </c>
      <c r="D618" s="37" t="s">
        <v>515</v>
      </c>
      <c r="E618" s="37" t="s">
        <v>80</v>
      </c>
      <c r="F618" s="37">
        <v>3</v>
      </c>
      <c r="G618" s="37"/>
      <c r="H618" s="86"/>
      <c r="I618" s="86">
        <v>46147</v>
      </c>
      <c r="J618" s="37" t="s">
        <v>4</v>
      </c>
      <c r="K618" s="38">
        <f t="shared" si="45"/>
        <v>3</v>
      </c>
      <c r="L618" s="39">
        <f t="shared" si="46"/>
        <v>0</v>
      </c>
      <c r="M618" s="40">
        <f t="shared" ca="1" si="47"/>
        <v>34</v>
      </c>
      <c r="N618">
        <f t="shared" si="48"/>
        <v>19</v>
      </c>
      <c r="O618" t="str">
        <f t="shared" si="49"/>
        <v>Switch</v>
      </c>
    </row>
    <row r="619" spans="1:15" ht="14.25" customHeight="1">
      <c r="A619">
        <v>376</v>
      </c>
      <c r="B619" s="35" t="s">
        <v>22</v>
      </c>
      <c r="C619" s="36" t="s">
        <v>512</v>
      </c>
      <c r="D619" s="37" t="s">
        <v>515</v>
      </c>
      <c r="E619" s="37" t="s">
        <v>74</v>
      </c>
      <c r="F619" s="37">
        <v>3</v>
      </c>
      <c r="G619" s="37"/>
      <c r="H619" s="86"/>
      <c r="I619" s="86">
        <v>46147</v>
      </c>
      <c r="J619" s="37" t="s">
        <v>4</v>
      </c>
      <c r="K619" s="38">
        <f t="shared" si="45"/>
        <v>3</v>
      </c>
      <c r="L619" s="39">
        <f t="shared" si="46"/>
        <v>0</v>
      </c>
      <c r="M619" s="40">
        <f t="shared" ca="1" si="47"/>
        <v>34</v>
      </c>
      <c r="N619">
        <f t="shared" si="48"/>
        <v>19</v>
      </c>
      <c r="O619" t="str">
        <f t="shared" si="49"/>
        <v>Switch</v>
      </c>
    </row>
    <row r="620" spans="1:15" ht="14.25" customHeight="1">
      <c r="A620">
        <v>379</v>
      </c>
      <c r="B620" s="35" t="s">
        <v>22</v>
      </c>
      <c r="C620" s="36" t="s">
        <v>512</v>
      </c>
      <c r="D620" s="37" t="s">
        <v>516</v>
      </c>
      <c r="E620" s="37" t="s">
        <v>80</v>
      </c>
      <c r="F620" s="37">
        <v>3</v>
      </c>
      <c r="G620" s="37"/>
      <c r="H620" s="86"/>
      <c r="I620" s="86">
        <v>46148</v>
      </c>
      <c r="J620" s="37" t="s">
        <v>4</v>
      </c>
      <c r="K620" s="38">
        <f t="shared" si="45"/>
        <v>3</v>
      </c>
      <c r="L620" s="39">
        <f t="shared" si="46"/>
        <v>0</v>
      </c>
      <c r="M620" s="40">
        <f t="shared" ca="1" si="47"/>
        <v>35</v>
      </c>
      <c r="N620">
        <f t="shared" si="48"/>
        <v>19</v>
      </c>
      <c r="O620" t="str">
        <f t="shared" si="49"/>
        <v>Switch</v>
      </c>
    </row>
    <row r="621" spans="1:15" ht="14.25" customHeight="1">
      <c r="A621">
        <v>378</v>
      </c>
      <c r="B621" s="35" t="s">
        <v>22</v>
      </c>
      <c r="C621" s="36" t="s">
        <v>512</v>
      </c>
      <c r="D621" s="37" t="s">
        <v>516</v>
      </c>
      <c r="E621" s="37" t="s">
        <v>74</v>
      </c>
      <c r="F621" s="37">
        <v>3</v>
      </c>
      <c r="G621" s="37"/>
      <c r="H621" s="86"/>
      <c r="I621" s="86">
        <v>46148</v>
      </c>
      <c r="J621" s="37" t="s">
        <v>4</v>
      </c>
      <c r="K621" s="38">
        <f t="shared" si="45"/>
        <v>3</v>
      </c>
      <c r="L621" s="39">
        <f t="shared" si="46"/>
        <v>0</v>
      </c>
      <c r="M621" s="40">
        <f t="shared" ca="1" si="47"/>
        <v>35</v>
      </c>
      <c r="N621">
        <f t="shared" si="48"/>
        <v>19</v>
      </c>
      <c r="O621" t="str">
        <f t="shared" si="49"/>
        <v>Switch</v>
      </c>
    </row>
    <row r="622" spans="1:15" ht="14.25" customHeight="1">
      <c r="A622">
        <v>381</v>
      </c>
      <c r="B622" s="35" t="s">
        <v>22</v>
      </c>
      <c r="C622" s="36" t="s">
        <v>512</v>
      </c>
      <c r="D622" s="37" t="s">
        <v>517</v>
      </c>
      <c r="E622" s="37" t="s">
        <v>80</v>
      </c>
      <c r="F622" s="37">
        <v>3</v>
      </c>
      <c r="G622" s="37"/>
      <c r="H622" s="86"/>
      <c r="I622" s="86">
        <v>46148</v>
      </c>
      <c r="J622" s="37" t="s">
        <v>4</v>
      </c>
      <c r="K622" s="38">
        <f t="shared" si="45"/>
        <v>3</v>
      </c>
      <c r="L622" s="39">
        <f t="shared" si="46"/>
        <v>0</v>
      </c>
      <c r="M622" s="40">
        <f t="shared" ca="1" si="47"/>
        <v>35</v>
      </c>
      <c r="N622">
        <f t="shared" si="48"/>
        <v>19</v>
      </c>
      <c r="O622" t="str">
        <f t="shared" si="49"/>
        <v>Switch</v>
      </c>
    </row>
    <row r="623" spans="1:15" ht="14.25" customHeight="1">
      <c r="A623">
        <v>380</v>
      </c>
      <c r="B623" s="35" t="s">
        <v>22</v>
      </c>
      <c r="C623" s="36" t="s">
        <v>512</v>
      </c>
      <c r="D623" s="37" t="s">
        <v>517</v>
      </c>
      <c r="E623" s="37" t="s">
        <v>74</v>
      </c>
      <c r="F623" s="37">
        <v>3</v>
      </c>
      <c r="G623" s="37"/>
      <c r="H623" s="86"/>
      <c r="I623" s="86">
        <v>46148</v>
      </c>
      <c r="J623" s="37" t="s">
        <v>4</v>
      </c>
      <c r="K623" s="38">
        <f t="shared" si="45"/>
        <v>3</v>
      </c>
      <c r="L623" s="39">
        <f t="shared" si="46"/>
        <v>0</v>
      </c>
      <c r="M623" s="40">
        <f t="shared" ca="1" si="47"/>
        <v>35</v>
      </c>
      <c r="N623">
        <f t="shared" si="48"/>
        <v>19</v>
      </c>
      <c r="O623" t="str">
        <f t="shared" si="49"/>
        <v>Switch</v>
      </c>
    </row>
    <row r="624" spans="1:15" ht="14.25" customHeight="1">
      <c r="A624">
        <v>383</v>
      </c>
      <c r="B624" s="35" t="s">
        <v>22</v>
      </c>
      <c r="C624" s="36" t="s">
        <v>512</v>
      </c>
      <c r="D624" s="37" t="s">
        <v>518</v>
      </c>
      <c r="E624" s="37" t="s">
        <v>80</v>
      </c>
      <c r="F624" s="37">
        <v>3</v>
      </c>
      <c r="G624" s="37"/>
      <c r="H624" s="86"/>
      <c r="I624" s="86">
        <v>46149</v>
      </c>
      <c r="J624" s="37" t="s">
        <v>4</v>
      </c>
      <c r="K624" s="38">
        <f t="shared" si="45"/>
        <v>3</v>
      </c>
      <c r="L624" s="39">
        <f t="shared" si="46"/>
        <v>0</v>
      </c>
      <c r="M624" s="40">
        <f t="shared" ca="1" si="47"/>
        <v>36</v>
      </c>
      <c r="N624">
        <f t="shared" si="48"/>
        <v>19</v>
      </c>
      <c r="O624" t="str">
        <f t="shared" si="49"/>
        <v>Switch</v>
      </c>
    </row>
    <row r="625" spans="1:15" ht="14.25" customHeight="1">
      <c r="A625">
        <v>382</v>
      </c>
      <c r="B625" s="35" t="s">
        <v>22</v>
      </c>
      <c r="C625" s="36" t="s">
        <v>512</v>
      </c>
      <c r="D625" s="37" t="s">
        <v>518</v>
      </c>
      <c r="E625" s="37" t="s">
        <v>74</v>
      </c>
      <c r="F625" s="37">
        <v>3</v>
      </c>
      <c r="G625" s="37"/>
      <c r="H625" s="86"/>
      <c r="I625" s="86">
        <v>46149</v>
      </c>
      <c r="J625" s="37" t="s">
        <v>4</v>
      </c>
      <c r="K625" s="38">
        <f t="shared" si="45"/>
        <v>3</v>
      </c>
      <c r="L625" s="39">
        <f t="shared" si="46"/>
        <v>0</v>
      </c>
      <c r="M625" s="40">
        <f t="shared" ca="1" si="47"/>
        <v>36</v>
      </c>
      <c r="N625">
        <f t="shared" si="48"/>
        <v>19</v>
      </c>
      <c r="O625" t="str">
        <f t="shared" si="49"/>
        <v>Switch</v>
      </c>
    </row>
    <row r="626" spans="1:15" ht="14.25" customHeight="1">
      <c r="A626">
        <v>385</v>
      </c>
      <c r="B626" s="35" t="s">
        <v>22</v>
      </c>
      <c r="C626" s="36" t="s">
        <v>512</v>
      </c>
      <c r="D626" s="37" t="s">
        <v>519</v>
      </c>
      <c r="E626" s="37" t="s">
        <v>80</v>
      </c>
      <c r="F626" s="37">
        <v>3</v>
      </c>
      <c r="G626" s="37"/>
      <c r="H626" s="86"/>
      <c r="I626" s="86">
        <v>46149</v>
      </c>
      <c r="J626" s="37" t="s">
        <v>4</v>
      </c>
      <c r="K626" s="38">
        <f t="shared" si="45"/>
        <v>3</v>
      </c>
      <c r="L626" s="39">
        <f t="shared" si="46"/>
        <v>0</v>
      </c>
      <c r="M626" s="40">
        <f t="shared" ca="1" si="47"/>
        <v>36</v>
      </c>
      <c r="N626">
        <f t="shared" si="48"/>
        <v>19</v>
      </c>
      <c r="O626" t="str">
        <f t="shared" si="49"/>
        <v>Switch</v>
      </c>
    </row>
    <row r="627" spans="1:15" ht="14.25" customHeight="1">
      <c r="A627">
        <v>384</v>
      </c>
      <c r="B627" s="35" t="s">
        <v>22</v>
      </c>
      <c r="C627" s="36" t="s">
        <v>512</v>
      </c>
      <c r="D627" s="37" t="s">
        <v>519</v>
      </c>
      <c r="E627" s="37" t="s">
        <v>74</v>
      </c>
      <c r="F627" s="37">
        <v>3</v>
      </c>
      <c r="G627" s="37"/>
      <c r="H627" s="86"/>
      <c r="I627" s="86">
        <v>46149</v>
      </c>
      <c r="J627" s="37" t="s">
        <v>4</v>
      </c>
      <c r="K627" s="38">
        <f t="shared" si="45"/>
        <v>3</v>
      </c>
      <c r="L627" s="39">
        <f t="shared" si="46"/>
        <v>0</v>
      </c>
      <c r="M627" s="40">
        <f t="shared" ca="1" si="47"/>
        <v>36</v>
      </c>
      <c r="N627">
        <f t="shared" si="48"/>
        <v>19</v>
      </c>
      <c r="O627" t="str">
        <f t="shared" si="49"/>
        <v>Switch</v>
      </c>
    </row>
    <row r="628" spans="1:15" ht="14.25" customHeight="1">
      <c r="A628">
        <v>387</v>
      </c>
      <c r="B628" s="35" t="s">
        <v>22</v>
      </c>
      <c r="C628" s="36" t="s">
        <v>512</v>
      </c>
      <c r="D628" s="37" t="s">
        <v>520</v>
      </c>
      <c r="E628" s="37" t="s">
        <v>80</v>
      </c>
      <c r="F628" s="37">
        <v>3</v>
      </c>
      <c r="G628" s="37"/>
      <c r="H628" s="86"/>
      <c r="I628" s="86">
        <v>46150</v>
      </c>
      <c r="J628" s="37" t="s">
        <v>4</v>
      </c>
      <c r="K628" s="38">
        <f t="shared" si="45"/>
        <v>3</v>
      </c>
      <c r="L628" s="39">
        <f t="shared" si="46"/>
        <v>0</v>
      </c>
      <c r="M628" s="40">
        <f t="shared" ca="1" si="47"/>
        <v>37</v>
      </c>
      <c r="N628">
        <f t="shared" si="48"/>
        <v>19</v>
      </c>
      <c r="O628" t="str">
        <f t="shared" si="49"/>
        <v>Switch</v>
      </c>
    </row>
    <row r="629" spans="1:15" ht="14.25" customHeight="1">
      <c r="A629">
        <v>386</v>
      </c>
      <c r="B629" s="35" t="s">
        <v>22</v>
      </c>
      <c r="C629" s="36" t="s">
        <v>512</v>
      </c>
      <c r="D629" s="37" t="s">
        <v>520</v>
      </c>
      <c r="E629" s="37" t="s">
        <v>74</v>
      </c>
      <c r="F629" s="37">
        <v>3</v>
      </c>
      <c r="G629" s="37"/>
      <c r="H629" s="86"/>
      <c r="I629" s="86">
        <v>46150</v>
      </c>
      <c r="J629" s="37" t="s">
        <v>4</v>
      </c>
      <c r="K629" s="38">
        <f t="shared" si="45"/>
        <v>3</v>
      </c>
      <c r="L629" s="39">
        <f t="shared" si="46"/>
        <v>0</v>
      </c>
      <c r="M629" s="40">
        <f t="shared" ca="1" si="47"/>
        <v>37</v>
      </c>
      <c r="N629">
        <f t="shared" si="48"/>
        <v>19</v>
      </c>
      <c r="O629" t="str">
        <f t="shared" si="49"/>
        <v>Switch</v>
      </c>
    </row>
    <row r="630" spans="1:15" ht="14.25" customHeight="1">
      <c r="A630">
        <v>389</v>
      </c>
      <c r="B630" s="35" t="s">
        <v>22</v>
      </c>
      <c r="C630" s="36" t="s">
        <v>512</v>
      </c>
      <c r="D630" s="37" t="s">
        <v>521</v>
      </c>
      <c r="E630" s="37" t="s">
        <v>80</v>
      </c>
      <c r="F630" s="37">
        <v>3</v>
      </c>
      <c r="G630" s="37"/>
      <c r="H630" s="86"/>
      <c r="I630" s="86">
        <v>46150</v>
      </c>
      <c r="J630" s="37" t="s">
        <v>4</v>
      </c>
      <c r="K630" s="38">
        <f t="shared" si="45"/>
        <v>3</v>
      </c>
      <c r="L630" s="39">
        <f t="shared" si="46"/>
        <v>0</v>
      </c>
      <c r="M630" s="40">
        <f t="shared" ca="1" si="47"/>
        <v>37</v>
      </c>
      <c r="N630">
        <f t="shared" si="48"/>
        <v>19</v>
      </c>
      <c r="O630" t="str">
        <f t="shared" si="49"/>
        <v>Switch</v>
      </c>
    </row>
    <row r="631" spans="1:15" ht="14.25" customHeight="1">
      <c r="A631">
        <v>388</v>
      </c>
      <c r="B631" s="35" t="s">
        <v>22</v>
      </c>
      <c r="C631" s="36" t="s">
        <v>512</v>
      </c>
      <c r="D631" s="37" t="s">
        <v>521</v>
      </c>
      <c r="E631" s="37" t="s">
        <v>74</v>
      </c>
      <c r="F631" s="37">
        <v>3</v>
      </c>
      <c r="G631" s="37"/>
      <c r="H631" s="86"/>
      <c r="I631" s="86">
        <v>46150</v>
      </c>
      <c r="J631" s="37" t="s">
        <v>4</v>
      </c>
      <c r="K631" s="38">
        <f t="shared" si="45"/>
        <v>3</v>
      </c>
      <c r="L631" s="39">
        <f t="shared" si="46"/>
        <v>0</v>
      </c>
      <c r="M631" s="40">
        <f t="shared" ca="1" si="47"/>
        <v>37</v>
      </c>
      <c r="N631">
        <f t="shared" si="48"/>
        <v>19</v>
      </c>
      <c r="O631" t="str">
        <f t="shared" si="49"/>
        <v>Switch</v>
      </c>
    </row>
    <row r="632" spans="1:15" ht="14.25" customHeight="1">
      <c r="A632">
        <v>391</v>
      </c>
      <c r="B632" s="35" t="s">
        <v>22</v>
      </c>
      <c r="C632" s="36" t="s">
        <v>512</v>
      </c>
      <c r="D632" s="37" t="s">
        <v>522</v>
      </c>
      <c r="E632" s="37" t="s">
        <v>80</v>
      </c>
      <c r="F632" s="37">
        <v>3</v>
      </c>
      <c r="G632" s="37"/>
      <c r="H632" s="86"/>
      <c r="I632" s="86">
        <v>46153</v>
      </c>
      <c r="J632" s="37" t="s">
        <v>4</v>
      </c>
      <c r="K632" s="38">
        <f t="shared" si="45"/>
        <v>3</v>
      </c>
      <c r="L632" s="39">
        <f t="shared" si="46"/>
        <v>0</v>
      </c>
      <c r="M632" s="40">
        <f t="shared" ca="1" si="47"/>
        <v>40</v>
      </c>
      <c r="N632">
        <f t="shared" si="48"/>
        <v>20</v>
      </c>
      <c r="O632" t="str">
        <f t="shared" si="49"/>
        <v>Switch</v>
      </c>
    </row>
    <row r="633" spans="1:15" ht="14.25" customHeight="1">
      <c r="A633">
        <v>390</v>
      </c>
      <c r="B633" s="35" t="s">
        <v>22</v>
      </c>
      <c r="C633" s="36" t="s">
        <v>512</v>
      </c>
      <c r="D633" s="37" t="s">
        <v>522</v>
      </c>
      <c r="E633" s="37" t="s">
        <v>74</v>
      </c>
      <c r="F633" s="37">
        <v>3</v>
      </c>
      <c r="G633" s="37"/>
      <c r="H633" s="86"/>
      <c r="I633" s="86">
        <v>46153</v>
      </c>
      <c r="J633" s="37" t="s">
        <v>4</v>
      </c>
      <c r="K633" s="38">
        <f t="shared" si="45"/>
        <v>3</v>
      </c>
      <c r="L633" s="39">
        <f t="shared" si="46"/>
        <v>0</v>
      </c>
      <c r="M633" s="40">
        <f t="shared" ca="1" si="47"/>
        <v>40</v>
      </c>
      <c r="N633">
        <f t="shared" si="48"/>
        <v>20</v>
      </c>
      <c r="O633" t="str">
        <f t="shared" si="49"/>
        <v>Switch</v>
      </c>
    </row>
    <row r="634" spans="1:15" ht="14.25" customHeight="1">
      <c r="A634">
        <v>393</v>
      </c>
      <c r="B634" s="35" t="s">
        <v>22</v>
      </c>
      <c r="C634" s="36" t="s">
        <v>512</v>
      </c>
      <c r="D634" s="37" t="s">
        <v>523</v>
      </c>
      <c r="E634" s="37" t="s">
        <v>80</v>
      </c>
      <c r="F634" s="37">
        <v>1</v>
      </c>
      <c r="G634" s="37"/>
      <c r="H634" s="86"/>
      <c r="I634" s="86">
        <v>46153</v>
      </c>
      <c r="J634" s="37" t="s">
        <v>4</v>
      </c>
      <c r="K634" s="38">
        <f t="shared" si="45"/>
        <v>1</v>
      </c>
      <c r="L634" s="39">
        <f t="shared" si="46"/>
        <v>0</v>
      </c>
      <c r="M634" s="40">
        <f t="shared" ca="1" si="47"/>
        <v>40</v>
      </c>
      <c r="N634">
        <f t="shared" si="48"/>
        <v>20</v>
      </c>
      <c r="O634" t="str">
        <f t="shared" si="49"/>
        <v>Switch</v>
      </c>
    </row>
    <row r="635" spans="1:15" ht="14.25" customHeight="1">
      <c r="A635">
        <v>392</v>
      </c>
      <c r="B635" s="35" t="s">
        <v>22</v>
      </c>
      <c r="C635" s="36" t="s">
        <v>512</v>
      </c>
      <c r="D635" s="37" t="s">
        <v>523</v>
      </c>
      <c r="E635" s="37" t="s">
        <v>74</v>
      </c>
      <c r="F635" s="37">
        <v>1</v>
      </c>
      <c r="G635" s="37"/>
      <c r="H635" s="86"/>
      <c r="I635" s="86">
        <v>46153</v>
      </c>
      <c r="J635" s="37" t="s">
        <v>4</v>
      </c>
      <c r="K635" s="38">
        <f t="shared" si="45"/>
        <v>1</v>
      </c>
      <c r="L635" s="39">
        <f t="shared" si="46"/>
        <v>0</v>
      </c>
      <c r="M635" s="40">
        <f t="shared" ca="1" si="47"/>
        <v>40</v>
      </c>
      <c r="N635">
        <f t="shared" si="48"/>
        <v>20</v>
      </c>
      <c r="O635" t="str">
        <f t="shared" si="49"/>
        <v>Switch</v>
      </c>
    </row>
    <row r="636" spans="1:15" ht="14.25" hidden="1" customHeight="1">
      <c r="A636">
        <v>396</v>
      </c>
      <c r="B636" s="35" t="s">
        <v>22</v>
      </c>
      <c r="C636" s="36" t="s">
        <v>512</v>
      </c>
      <c r="D636" s="37" t="s">
        <v>524</v>
      </c>
      <c r="E636" s="37" t="s">
        <v>118</v>
      </c>
      <c r="F636" s="37">
        <v>1</v>
      </c>
      <c r="G636" s="37"/>
      <c r="H636" s="86"/>
      <c r="I636" s="86">
        <v>46153</v>
      </c>
      <c r="J636" s="37" t="s">
        <v>4</v>
      </c>
      <c r="K636" s="38">
        <f t="shared" si="45"/>
        <v>1</v>
      </c>
      <c r="L636" s="39">
        <f t="shared" si="46"/>
        <v>0</v>
      </c>
      <c r="M636" s="40">
        <f t="shared" ca="1" si="47"/>
        <v>40</v>
      </c>
      <c r="N636">
        <f t="shared" si="48"/>
        <v>20</v>
      </c>
      <c r="O636" t="str">
        <f t="shared" si="49"/>
        <v>Switch</v>
      </c>
    </row>
    <row r="637" spans="1:15" ht="14.25" customHeight="1">
      <c r="A637">
        <v>395</v>
      </c>
      <c r="B637" s="35" t="s">
        <v>22</v>
      </c>
      <c r="C637" s="36" t="s">
        <v>512</v>
      </c>
      <c r="D637" s="37" t="s">
        <v>524</v>
      </c>
      <c r="E637" s="37" t="s">
        <v>80</v>
      </c>
      <c r="F637" s="37">
        <v>1</v>
      </c>
      <c r="G637" s="37"/>
      <c r="H637" s="86"/>
      <c r="I637" s="86">
        <v>46153</v>
      </c>
      <c r="J637" s="37" t="s">
        <v>4</v>
      </c>
      <c r="K637" s="38">
        <f t="shared" si="45"/>
        <v>1</v>
      </c>
      <c r="L637" s="39">
        <f t="shared" si="46"/>
        <v>0</v>
      </c>
      <c r="M637" s="40">
        <f t="shared" ca="1" si="47"/>
        <v>40</v>
      </c>
      <c r="N637">
        <f t="shared" si="48"/>
        <v>20</v>
      </c>
      <c r="O637" t="str">
        <f t="shared" si="49"/>
        <v>Switch</v>
      </c>
    </row>
    <row r="638" spans="1:15" ht="14.25" customHeight="1">
      <c r="A638">
        <v>394</v>
      </c>
      <c r="B638" s="35" t="s">
        <v>22</v>
      </c>
      <c r="C638" s="36" t="s">
        <v>512</v>
      </c>
      <c r="D638" s="37" t="s">
        <v>524</v>
      </c>
      <c r="E638" s="37" t="s">
        <v>74</v>
      </c>
      <c r="F638" s="37">
        <v>1</v>
      </c>
      <c r="G638" s="37"/>
      <c r="H638" s="86"/>
      <c r="I638" s="86">
        <v>46153</v>
      </c>
      <c r="J638" s="37" t="s">
        <v>4</v>
      </c>
      <c r="K638" s="38">
        <f t="shared" si="45"/>
        <v>1</v>
      </c>
      <c r="L638" s="39">
        <f t="shared" si="46"/>
        <v>0</v>
      </c>
      <c r="M638" s="40">
        <f t="shared" ca="1" si="47"/>
        <v>40</v>
      </c>
      <c r="N638">
        <f t="shared" si="48"/>
        <v>20</v>
      </c>
      <c r="O638" t="str">
        <f t="shared" si="49"/>
        <v>Switch</v>
      </c>
    </row>
    <row r="639" spans="1:15" ht="14.25" hidden="1" customHeight="1">
      <c r="A639">
        <v>400</v>
      </c>
      <c r="B639" s="35" t="s">
        <v>22</v>
      </c>
      <c r="C639" s="36" t="s">
        <v>512</v>
      </c>
      <c r="D639" s="37" t="s">
        <v>525</v>
      </c>
      <c r="E639" s="37" t="s">
        <v>118</v>
      </c>
      <c r="F639" s="37">
        <v>1</v>
      </c>
      <c r="G639" s="37"/>
      <c r="H639" s="86"/>
      <c r="I639" s="86">
        <v>46155</v>
      </c>
      <c r="J639" s="37" t="s">
        <v>4</v>
      </c>
      <c r="K639" s="38">
        <f t="shared" si="45"/>
        <v>1</v>
      </c>
      <c r="L639" s="39">
        <f t="shared" si="46"/>
        <v>0</v>
      </c>
      <c r="M639" s="40">
        <f t="shared" ca="1" si="47"/>
        <v>42</v>
      </c>
      <c r="N639">
        <f t="shared" si="48"/>
        <v>20</v>
      </c>
      <c r="O639" t="str">
        <f t="shared" si="49"/>
        <v>Switch</v>
      </c>
    </row>
    <row r="640" spans="1:15" ht="14.25" hidden="1" customHeight="1">
      <c r="A640">
        <v>399</v>
      </c>
      <c r="B640" s="35" t="s">
        <v>22</v>
      </c>
      <c r="C640" s="36" t="s">
        <v>512</v>
      </c>
      <c r="D640" s="37" t="s">
        <v>525</v>
      </c>
      <c r="E640" s="37" t="s">
        <v>90</v>
      </c>
      <c r="F640" s="37">
        <v>1</v>
      </c>
      <c r="G640" s="37"/>
      <c r="H640" s="86"/>
      <c r="I640" s="86">
        <v>46155</v>
      </c>
      <c r="J640" s="37" t="s">
        <v>4</v>
      </c>
      <c r="K640" s="38">
        <f t="shared" si="45"/>
        <v>1</v>
      </c>
      <c r="L640" s="39">
        <f t="shared" si="46"/>
        <v>0</v>
      </c>
      <c r="M640" s="40">
        <f t="shared" ca="1" si="47"/>
        <v>42</v>
      </c>
      <c r="N640">
        <f t="shared" si="48"/>
        <v>20</v>
      </c>
      <c r="O640" t="str">
        <f t="shared" si="49"/>
        <v>Switch</v>
      </c>
    </row>
    <row r="641" spans="1:15" ht="14.25" customHeight="1">
      <c r="A641">
        <v>398</v>
      </c>
      <c r="B641" s="35" t="s">
        <v>22</v>
      </c>
      <c r="C641" s="36" t="s">
        <v>512</v>
      </c>
      <c r="D641" s="37" t="s">
        <v>525</v>
      </c>
      <c r="E641" s="37" t="s">
        <v>80</v>
      </c>
      <c r="F641" s="37">
        <v>1</v>
      </c>
      <c r="G641" s="37"/>
      <c r="H641" s="86"/>
      <c r="I641" s="86">
        <v>46155</v>
      </c>
      <c r="J641" s="37" t="s">
        <v>4</v>
      </c>
      <c r="K641" s="38">
        <f t="shared" si="45"/>
        <v>1</v>
      </c>
      <c r="L641" s="39">
        <f t="shared" si="46"/>
        <v>0</v>
      </c>
      <c r="M641" s="40">
        <f t="shared" ca="1" si="47"/>
        <v>42</v>
      </c>
      <c r="N641">
        <f t="shared" si="48"/>
        <v>20</v>
      </c>
      <c r="O641" t="str">
        <f t="shared" si="49"/>
        <v>Switch</v>
      </c>
    </row>
    <row r="642" spans="1:15" ht="14.25" customHeight="1">
      <c r="A642">
        <v>397</v>
      </c>
      <c r="B642" s="35" t="s">
        <v>22</v>
      </c>
      <c r="C642" s="36" t="s">
        <v>512</v>
      </c>
      <c r="D642" s="37" t="s">
        <v>525</v>
      </c>
      <c r="E642" s="37" t="s">
        <v>74</v>
      </c>
      <c r="F642" s="37">
        <v>3</v>
      </c>
      <c r="G642" s="37"/>
      <c r="H642" s="86"/>
      <c r="I642" s="86">
        <v>46155</v>
      </c>
      <c r="J642" s="37" t="s">
        <v>4</v>
      </c>
      <c r="K642" s="38">
        <f t="shared" ref="K642:K705" si="50">F642-G642</f>
        <v>3</v>
      </c>
      <c r="L642" s="39">
        <f t="shared" ref="L642:L705" si="51">IF(F642=0,"",G642/F642)</f>
        <v>0</v>
      </c>
      <c r="M642" s="40">
        <f t="shared" ref="M642:M705" ca="1" si="52">I642-TODAY()</f>
        <v>42</v>
      </c>
      <c r="N642">
        <f t="shared" ref="N642:N705" si="53">_xlfn.ISOWEEKNUM(I642)</f>
        <v>20</v>
      </c>
      <c r="O642" t="str">
        <f t="shared" ref="O642:O705" si="54">IF(ISNUMBER(SEARCH("Access Point",E642)),"AP",IF(OR(ISNUMBER(SEARCH("Switch",E642)),ISNUMBER(SEARCH("Control Type",E642))),"Switch","Infra"))</f>
        <v>Switch</v>
      </c>
    </row>
    <row r="643" spans="1:15" ht="14.25" hidden="1" customHeight="1">
      <c r="A643">
        <v>404</v>
      </c>
      <c r="B643" s="35" t="s">
        <v>22</v>
      </c>
      <c r="C643" s="36" t="s">
        <v>512</v>
      </c>
      <c r="D643" s="37" t="s">
        <v>526</v>
      </c>
      <c r="E643" s="37" t="s">
        <v>118</v>
      </c>
      <c r="F643" s="37">
        <v>1</v>
      </c>
      <c r="G643" s="37"/>
      <c r="H643" s="86"/>
      <c r="I643" s="86">
        <v>46155</v>
      </c>
      <c r="J643" s="37" t="s">
        <v>4</v>
      </c>
      <c r="K643" s="38">
        <f t="shared" si="50"/>
        <v>1</v>
      </c>
      <c r="L643" s="39">
        <f t="shared" si="51"/>
        <v>0</v>
      </c>
      <c r="M643" s="40">
        <f t="shared" ca="1" si="52"/>
        <v>42</v>
      </c>
      <c r="N643">
        <f t="shared" si="53"/>
        <v>20</v>
      </c>
      <c r="O643" t="str">
        <f t="shared" si="54"/>
        <v>Switch</v>
      </c>
    </row>
    <row r="644" spans="1:15" ht="14.25" hidden="1" customHeight="1">
      <c r="A644">
        <v>403</v>
      </c>
      <c r="B644" s="35" t="s">
        <v>22</v>
      </c>
      <c r="C644" s="36" t="s">
        <v>512</v>
      </c>
      <c r="D644" s="37" t="s">
        <v>526</v>
      </c>
      <c r="E644" s="37" t="s">
        <v>90</v>
      </c>
      <c r="F644" s="37">
        <v>1</v>
      </c>
      <c r="G644" s="37"/>
      <c r="H644" s="86"/>
      <c r="I644" s="86">
        <v>46155</v>
      </c>
      <c r="J644" s="37" t="s">
        <v>4</v>
      </c>
      <c r="K644" s="38">
        <f t="shared" si="50"/>
        <v>1</v>
      </c>
      <c r="L644" s="39">
        <f t="shared" si="51"/>
        <v>0</v>
      </c>
      <c r="M644" s="40">
        <f t="shared" ca="1" si="52"/>
        <v>42</v>
      </c>
      <c r="N644">
        <f t="shared" si="53"/>
        <v>20</v>
      </c>
      <c r="O644" t="str">
        <f t="shared" si="54"/>
        <v>Switch</v>
      </c>
    </row>
    <row r="645" spans="1:15" ht="14.25" customHeight="1">
      <c r="A645">
        <v>402</v>
      </c>
      <c r="B645" s="35" t="s">
        <v>22</v>
      </c>
      <c r="C645" s="36" t="s">
        <v>512</v>
      </c>
      <c r="D645" s="37" t="s">
        <v>526</v>
      </c>
      <c r="E645" s="37" t="s">
        <v>80</v>
      </c>
      <c r="F645" s="37">
        <v>1</v>
      </c>
      <c r="G645" s="37"/>
      <c r="H645" s="86"/>
      <c r="I645" s="86">
        <v>46155</v>
      </c>
      <c r="J645" s="37" t="s">
        <v>4</v>
      </c>
      <c r="K645" s="38">
        <f t="shared" si="50"/>
        <v>1</v>
      </c>
      <c r="L645" s="39">
        <f t="shared" si="51"/>
        <v>0</v>
      </c>
      <c r="M645" s="40">
        <f t="shared" ca="1" si="52"/>
        <v>42</v>
      </c>
      <c r="N645">
        <f t="shared" si="53"/>
        <v>20</v>
      </c>
      <c r="O645" t="str">
        <f t="shared" si="54"/>
        <v>Switch</v>
      </c>
    </row>
    <row r="646" spans="1:15" ht="14.25" customHeight="1">
      <c r="A646">
        <v>401</v>
      </c>
      <c r="B646" s="35" t="s">
        <v>22</v>
      </c>
      <c r="C646" s="36" t="s">
        <v>512</v>
      </c>
      <c r="D646" s="37" t="s">
        <v>526</v>
      </c>
      <c r="E646" s="37" t="s">
        <v>74</v>
      </c>
      <c r="F646" s="37">
        <v>1</v>
      </c>
      <c r="G646" s="37"/>
      <c r="H646" s="86"/>
      <c r="I646" s="86">
        <v>46155</v>
      </c>
      <c r="J646" s="37" t="s">
        <v>4</v>
      </c>
      <c r="K646" s="38">
        <f t="shared" si="50"/>
        <v>1</v>
      </c>
      <c r="L646" s="39">
        <f t="shared" si="51"/>
        <v>0</v>
      </c>
      <c r="M646" s="40">
        <f t="shared" ca="1" si="52"/>
        <v>42</v>
      </c>
      <c r="N646">
        <f t="shared" si="53"/>
        <v>20</v>
      </c>
      <c r="O646" t="str">
        <f t="shared" si="54"/>
        <v>Switch</v>
      </c>
    </row>
    <row r="647" spans="1:15" ht="14.25" hidden="1" customHeight="1">
      <c r="A647">
        <v>407</v>
      </c>
      <c r="B647" s="35" t="s">
        <v>22</v>
      </c>
      <c r="C647" s="36" t="s">
        <v>512</v>
      </c>
      <c r="D647" s="37" t="s">
        <v>527</v>
      </c>
      <c r="E647" s="37" t="s">
        <v>90</v>
      </c>
      <c r="F647" s="37">
        <v>1</v>
      </c>
      <c r="G647" s="37"/>
      <c r="H647" s="86"/>
      <c r="I647" s="86">
        <v>46155</v>
      </c>
      <c r="J647" s="37" t="s">
        <v>4</v>
      </c>
      <c r="K647" s="38">
        <f t="shared" si="50"/>
        <v>1</v>
      </c>
      <c r="L647" s="39">
        <f t="shared" si="51"/>
        <v>0</v>
      </c>
      <c r="M647" s="40">
        <f t="shared" ca="1" si="52"/>
        <v>42</v>
      </c>
      <c r="N647">
        <f t="shared" si="53"/>
        <v>20</v>
      </c>
      <c r="O647" t="str">
        <f t="shared" si="54"/>
        <v>Switch</v>
      </c>
    </row>
    <row r="648" spans="1:15" ht="14.25" customHeight="1">
      <c r="A648">
        <v>406</v>
      </c>
      <c r="B648" s="35" t="s">
        <v>22</v>
      </c>
      <c r="C648" s="36" t="s">
        <v>512</v>
      </c>
      <c r="D648" s="37" t="s">
        <v>527</v>
      </c>
      <c r="E648" s="37" t="s">
        <v>80</v>
      </c>
      <c r="F648" s="37">
        <v>1</v>
      </c>
      <c r="G648" s="37"/>
      <c r="H648" s="86"/>
      <c r="I648" s="86">
        <v>46155</v>
      </c>
      <c r="J648" s="37" t="s">
        <v>4</v>
      </c>
      <c r="K648" s="38">
        <f t="shared" si="50"/>
        <v>1</v>
      </c>
      <c r="L648" s="39">
        <f t="shared" si="51"/>
        <v>0</v>
      </c>
      <c r="M648" s="40">
        <f t="shared" ca="1" si="52"/>
        <v>42</v>
      </c>
      <c r="N648">
        <f t="shared" si="53"/>
        <v>20</v>
      </c>
      <c r="O648" t="str">
        <f t="shared" si="54"/>
        <v>Switch</v>
      </c>
    </row>
    <row r="649" spans="1:15" ht="14.25" customHeight="1">
      <c r="A649">
        <v>405</v>
      </c>
      <c r="B649" s="35" t="s">
        <v>22</v>
      </c>
      <c r="C649" s="36" t="s">
        <v>512</v>
      </c>
      <c r="D649" s="37" t="s">
        <v>527</v>
      </c>
      <c r="E649" s="37" t="s">
        <v>74</v>
      </c>
      <c r="F649" s="37">
        <v>1</v>
      </c>
      <c r="G649" s="37"/>
      <c r="H649" s="86"/>
      <c r="I649" s="86">
        <v>46155</v>
      </c>
      <c r="J649" s="37" t="s">
        <v>4</v>
      </c>
      <c r="K649" s="38">
        <f t="shared" si="50"/>
        <v>1</v>
      </c>
      <c r="L649" s="39">
        <f t="shared" si="51"/>
        <v>0</v>
      </c>
      <c r="M649" s="40">
        <f t="shared" ca="1" si="52"/>
        <v>42</v>
      </c>
      <c r="N649">
        <f t="shared" si="53"/>
        <v>20</v>
      </c>
      <c r="O649" t="str">
        <f t="shared" si="54"/>
        <v>Switch</v>
      </c>
    </row>
    <row r="650" spans="1:15" ht="14.25" customHeight="1">
      <c r="A650">
        <v>409</v>
      </c>
      <c r="B650" s="35" t="s">
        <v>22</v>
      </c>
      <c r="C650" s="36" t="s">
        <v>512</v>
      </c>
      <c r="D650" s="37" t="s">
        <v>528</v>
      </c>
      <c r="E650" s="37" t="s">
        <v>80</v>
      </c>
      <c r="F650" s="37">
        <v>1</v>
      </c>
      <c r="G650" s="37"/>
      <c r="H650" s="86"/>
      <c r="I650" s="86">
        <v>46156</v>
      </c>
      <c r="J650" s="37" t="s">
        <v>4</v>
      </c>
      <c r="K650" s="38">
        <f t="shared" si="50"/>
        <v>1</v>
      </c>
      <c r="L650" s="39">
        <f t="shared" si="51"/>
        <v>0</v>
      </c>
      <c r="M650" s="40">
        <f t="shared" ca="1" si="52"/>
        <v>43</v>
      </c>
      <c r="N650">
        <f t="shared" si="53"/>
        <v>20</v>
      </c>
      <c r="O650" t="str">
        <f t="shared" si="54"/>
        <v>Switch</v>
      </c>
    </row>
    <row r="651" spans="1:15" ht="14.25" customHeight="1">
      <c r="A651">
        <v>408</v>
      </c>
      <c r="B651" s="35" t="s">
        <v>22</v>
      </c>
      <c r="C651" s="36" t="s">
        <v>512</v>
      </c>
      <c r="D651" s="37" t="s">
        <v>528</v>
      </c>
      <c r="E651" s="37" t="s">
        <v>74</v>
      </c>
      <c r="F651" s="37">
        <v>1</v>
      </c>
      <c r="G651" s="37"/>
      <c r="H651" s="86"/>
      <c r="I651" s="86">
        <v>46156</v>
      </c>
      <c r="J651" s="37" t="s">
        <v>4</v>
      </c>
      <c r="K651" s="38">
        <f t="shared" si="50"/>
        <v>1</v>
      </c>
      <c r="L651" s="39">
        <f t="shared" si="51"/>
        <v>0</v>
      </c>
      <c r="M651" s="40">
        <f t="shared" ca="1" si="52"/>
        <v>43</v>
      </c>
      <c r="N651">
        <f t="shared" si="53"/>
        <v>20</v>
      </c>
      <c r="O651" t="str">
        <f t="shared" si="54"/>
        <v>Switch</v>
      </c>
    </row>
    <row r="652" spans="1:15" ht="14.25" hidden="1" customHeight="1">
      <c r="A652">
        <v>412</v>
      </c>
      <c r="B652" s="35" t="s">
        <v>22</v>
      </c>
      <c r="C652" s="36" t="s">
        <v>512</v>
      </c>
      <c r="D652" s="37" t="s">
        <v>529</v>
      </c>
      <c r="E652" s="37" t="s">
        <v>90</v>
      </c>
      <c r="F652" s="37">
        <v>1</v>
      </c>
      <c r="G652" s="37"/>
      <c r="H652" s="86"/>
      <c r="I652" s="86">
        <v>46156</v>
      </c>
      <c r="J652" s="37" t="s">
        <v>4</v>
      </c>
      <c r="K652" s="38">
        <f t="shared" si="50"/>
        <v>1</v>
      </c>
      <c r="L652" s="39">
        <f t="shared" si="51"/>
        <v>0</v>
      </c>
      <c r="M652" s="40">
        <f t="shared" ca="1" si="52"/>
        <v>43</v>
      </c>
      <c r="N652">
        <f t="shared" si="53"/>
        <v>20</v>
      </c>
      <c r="O652" t="str">
        <f t="shared" si="54"/>
        <v>Switch</v>
      </c>
    </row>
    <row r="653" spans="1:15" ht="14.25" customHeight="1">
      <c r="A653">
        <v>411</v>
      </c>
      <c r="B653" s="35" t="s">
        <v>22</v>
      </c>
      <c r="C653" s="36" t="s">
        <v>512</v>
      </c>
      <c r="D653" s="37" t="s">
        <v>529</v>
      </c>
      <c r="E653" s="37" t="s">
        <v>80</v>
      </c>
      <c r="F653" s="37">
        <v>1</v>
      </c>
      <c r="G653" s="37"/>
      <c r="H653" s="86"/>
      <c r="I653" s="86">
        <v>46156</v>
      </c>
      <c r="J653" s="37" t="s">
        <v>4</v>
      </c>
      <c r="K653" s="38">
        <f t="shared" si="50"/>
        <v>1</v>
      </c>
      <c r="L653" s="39">
        <f t="shared" si="51"/>
        <v>0</v>
      </c>
      <c r="M653" s="40">
        <f t="shared" ca="1" si="52"/>
        <v>43</v>
      </c>
      <c r="N653">
        <f t="shared" si="53"/>
        <v>20</v>
      </c>
      <c r="O653" t="str">
        <f t="shared" si="54"/>
        <v>Switch</v>
      </c>
    </row>
    <row r="654" spans="1:15" ht="14.25" customHeight="1">
      <c r="A654">
        <v>410</v>
      </c>
      <c r="B654" s="35" t="s">
        <v>22</v>
      </c>
      <c r="C654" s="36" t="s">
        <v>512</v>
      </c>
      <c r="D654" s="37" t="s">
        <v>529</v>
      </c>
      <c r="E654" s="37" t="s">
        <v>74</v>
      </c>
      <c r="F654" s="37">
        <v>1</v>
      </c>
      <c r="G654" s="37"/>
      <c r="H654" s="86"/>
      <c r="I654" s="86">
        <v>46156</v>
      </c>
      <c r="J654" s="37" t="s">
        <v>4</v>
      </c>
      <c r="K654" s="38">
        <f t="shared" si="50"/>
        <v>1</v>
      </c>
      <c r="L654" s="39">
        <f t="shared" si="51"/>
        <v>0</v>
      </c>
      <c r="M654" s="40">
        <f t="shared" ca="1" si="52"/>
        <v>43</v>
      </c>
      <c r="N654">
        <f t="shared" si="53"/>
        <v>20</v>
      </c>
      <c r="O654" t="str">
        <f t="shared" si="54"/>
        <v>Switch</v>
      </c>
    </row>
    <row r="655" spans="1:15" ht="14.25" hidden="1" customHeight="1">
      <c r="A655">
        <v>415</v>
      </c>
      <c r="B655" s="35" t="s">
        <v>22</v>
      </c>
      <c r="C655" s="36" t="s">
        <v>512</v>
      </c>
      <c r="D655" s="37" t="s">
        <v>530</v>
      </c>
      <c r="E655" s="37" t="s">
        <v>90</v>
      </c>
      <c r="F655" s="37">
        <v>2</v>
      </c>
      <c r="G655" s="37"/>
      <c r="H655" s="86"/>
      <c r="I655" s="86">
        <v>46156</v>
      </c>
      <c r="J655" s="37" t="s">
        <v>4</v>
      </c>
      <c r="K655" s="38">
        <f t="shared" si="50"/>
        <v>2</v>
      </c>
      <c r="L655" s="39">
        <f t="shared" si="51"/>
        <v>0</v>
      </c>
      <c r="M655" s="40">
        <f t="shared" ca="1" si="52"/>
        <v>43</v>
      </c>
      <c r="N655">
        <f t="shared" si="53"/>
        <v>20</v>
      </c>
      <c r="O655" t="str">
        <f t="shared" si="54"/>
        <v>Switch</v>
      </c>
    </row>
    <row r="656" spans="1:15" ht="14.25" customHeight="1">
      <c r="A656">
        <v>414</v>
      </c>
      <c r="B656" s="35" t="s">
        <v>22</v>
      </c>
      <c r="C656" s="36" t="s">
        <v>512</v>
      </c>
      <c r="D656" s="37" t="s">
        <v>530</v>
      </c>
      <c r="E656" s="37" t="s">
        <v>80</v>
      </c>
      <c r="F656" s="37">
        <v>3</v>
      </c>
      <c r="G656" s="37"/>
      <c r="H656" s="86"/>
      <c r="I656" s="86">
        <v>46156</v>
      </c>
      <c r="J656" s="37" t="s">
        <v>4</v>
      </c>
      <c r="K656" s="38">
        <f t="shared" si="50"/>
        <v>3</v>
      </c>
      <c r="L656" s="39">
        <f t="shared" si="51"/>
        <v>0</v>
      </c>
      <c r="M656" s="40">
        <f t="shared" ca="1" si="52"/>
        <v>43</v>
      </c>
      <c r="N656">
        <f t="shared" si="53"/>
        <v>20</v>
      </c>
      <c r="O656" t="str">
        <f t="shared" si="54"/>
        <v>Switch</v>
      </c>
    </row>
    <row r="657" spans="1:15" ht="14.25" customHeight="1">
      <c r="A657">
        <v>413</v>
      </c>
      <c r="B657" s="35" t="s">
        <v>22</v>
      </c>
      <c r="C657" s="36" t="s">
        <v>512</v>
      </c>
      <c r="D657" s="37" t="s">
        <v>530</v>
      </c>
      <c r="E657" s="37" t="s">
        <v>74</v>
      </c>
      <c r="F657" s="37">
        <v>4</v>
      </c>
      <c r="G657" s="37"/>
      <c r="H657" s="86"/>
      <c r="I657" s="86">
        <v>46156</v>
      </c>
      <c r="J657" s="37" t="s">
        <v>4</v>
      </c>
      <c r="K657" s="38">
        <f t="shared" si="50"/>
        <v>4</v>
      </c>
      <c r="L657" s="39">
        <f t="shared" si="51"/>
        <v>0</v>
      </c>
      <c r="M657" s="40">
        <f t="shared" ca="1" si="52"/>
        <v>43</v>
      </c>
      <c r="N657">
        <f t="shared" si="53"/>
        <v>20</v>
      </c>
      <c r="O657" t="str">
        <f t="shared" si="54"/>
        <v>Switch</v>
      </c>
    </row>
    <row r="658" spans="1:15" ht="14.25" hidden="1" customHeight="1">
      <c r="A658">
        <v>419</v>
      </c>
      <c r="B658" s="35" t="s">
        <v>22</v>
      </c>
      <c r="C658" s="36" t="s">
        <v>512</v>
      </c>
      <c r="D658" s="37" t="s">
        <v>531</v>
      </c>
      <c r="E658" s="37" t="s">
        <v>118</v>
      </c>
      <c r="F658" s="37">
        <v>1</v>
      </c>
      <c r="G658" s="37"/>
      <c r="H658" s="86"/>
      <c r="I658" s="86">
        <v>46157</v>
      </c>
      <c r="J658" s="37" t="s">
        <v>4</v>
      </c>
      <c r="K658" s="38">
        <f t="shared" si="50"/>
        <v>1</v>
      </c>
      <c r="L658" s="39">
        <f t="shared" si="51"/>
        <v>0</v>
      </c>
      <c r="M658" s="40">
        <f t="shared" ca="1" si="52"/>
        <v>44</v>
      </c>
      <c r="N658">
        <f t="shared" si="53"/>
        <v>20</v>
      </c>
      <c r="O658" t="str">
        <f t="shared" si="54"/>
        <v>Switch</v>
      </c>
    </row>
    <row r="659" spans="1:15" ht="14.25" hidden="1" customHeight="1">
      <c r="A659">
        <v>418</v>
      </c>
      <c r="B659" s="35" t="s">
        <v>22</v>
      </c>
      <c r="C659" s="36" t="s">
        <v>512</v>
      </c>
      <c r="D659" s="37" t="s">
        <v>531</v>
      </c>
      <c r="E659" s="37" t="s">
        <v>90</v>
      </c>
      <c r="F659" s="37">
        <v>1</v>
      </c>
      <c r="G659" s="37"/>
      <c r="H659" s="86"/>
      <c r="I659" s="86">
        <v>46157</v>
      </c>
      <c r="J659" s="37" t="s">
        <v>4</v>
      </c>
      <c r="K659" s="38">
        <f t="shared" si="50"/>
        <v>1</v>
      </c>
      <c r="L659" s="39">
        <f t="shared" si="51"/>
        <v>0</v>
      </c>
      <c r="M659" s="40">
        <f t="shared" ca="1" si="52"/>
        <v>44</v>
      </c>
      <c r="N659">
        <f t="shared" si="53"/>
        <v>20</v>
      </c>
      <c r="O659" t="str">
        <f t="shared" si="54"/>
        <v>Switch</v>
      </c>
    </row>
    <row r="660" spans="1:15" ht="14.25" customHeight="1">
      <c r="A660">
        <v>417</v>
      </c>
      <c r="B660" s="35" t="s">
        <v>22</v>
      </c>
      <c r="C660" s="36" t="s">
        <v>512</v>
      </c>
      <c r="D660" s="37" t="s">
        <v>531</v>
      </c>
      <c r="E660" s="37" t="s">
        <v>80</v>
      </c>
      <c r="F660" s="37">
        <v>1</v>
      </c>
      <c r="G660" s="37"/>
      <c r="H660" s="86"/>
      <c r="I660" s="86">
        <v>46157</v>
      </c>
      <c r="J660" s="37" t="s">
        <v>4</v>
      </c>
      <c r="K660" s="38">
        <f t="shared" si="50"/>
        <v>1</v>
      </c>
      <c r="L660" s="39">
        <f t="shared" si="51"/>
        <v>0</v>
      </c>
      <c r="M660" s="40">
        <f t="shared" ca="1" si="52"/>
        <v>44</v>
      </c>
      <c r="N660">
        <f t="shared" si="53"/>
        <v>20</v>
      </c>
      <c r="O660" t="str">
        <f t="shared" si="54"/>
        <v>Switch</v>
      </c>
    </row>
    <row r="661" spans="1:15" ht="14.25" customHeight="1">
      <c r="A661">
        <v>416</v>
      </c>
      <c r="B661" s="35" t="s">
        <v>22</v>
      </c>
      <c r="C661" s="36" t="s">
        <v>512</v>
      </c>
      <c r="D661" s="37" t="s">
        <v>531</v>
      </c>
      <c r="E661" s="37" t="s">
        <v>74</v>
      </c>
      <c r="F661" s="37">
        <v>3</v>
      </c>
      <c r="G661" s="37"/>
      <c r="H661" s="86"/>
      <c r="I661" s="86">
        <v>46157</v>
      </c>
      <c r="J661" s="37" t="s">
        <v>4</v>
      </c>
      <c r="K661" s="38">
        <f t="shared" si="50"/>
        <v>3</v>
      </c>
      <c r="L661" s="39">
        <f t="shared" si="51"/>
        <v>0</v>
      </c>
      <c r="M661" s="40">
        <f t="shared" ca="1" si="52"/>
        <v>44</v>
      </c>
      <c r="N661">
        <f t="shared" si="53"/>
        <v>20</v>
      </c>
      <c r="O661" t="str">
        <f t="shared" si="54"/>
        <v>Switch</v>
      </c>
    </row>
    <row r="662" spans="1:15" ht="14.25" hidden="1" customHeight="1">
      <c r="A662">
        <v>422</v>
      </c>
      <c r="B662" s="35" t="s">
        <v>22</v>
      </c>
      <c r="C662" s="36" t="s">
        <v>512</v>
      </c>
      <c r="D662" s="37" t="s">
        <v>532</v>
      </c>
      <c r="E662" s="37" t="s">
        <v>90</v>
      </c>
      <c r="F662" s="37">
        <v>1</v>
      </c>
      <c r="G662" s="37"/>
      <c r="H662" s="86"/>
      <c r="I662" s="86">
        <v>46157</v>
      </c>
      <c r="J662" s="37" t="s">
        <v>4</v>
      </c>
      <c r="K662" s="38">
        <f t="shared" si="50"/>
        <v>1</v>
      </c>
      <c r="L662" s="39">
        <f t="shared" si="51"/>
        <v>0</v>
      </c>
      <c r="M662" s="40">
        <f t="shared" ca="1" si="52"/>
        <v>44</v>
      </c>
      <c r="N662">
        <f t="shared" si="53"/>
        <v>20</v>
      </c>
      <c r="O662" t="str">
        <f t="shared" si="54"/>
        <v>Switch</v>
      </c>
    </row>
    <row r="663" spans="1:15" ht="14.25" customHeight="1">
      <c r="A663">
        <v>421</v>
      </c>
      <c r="B663" s="35" t="s">
        <v>22</v>
      </c>
      <c r="C663" s="36" t="s">
        <v>512</v>
      </c>
      <c r="D663" s="37" t="s">
        <v>532</v>
      </c>
      <c r="E663" s="37" t="s">
        <v>80</v>
      </c>
      <c r="F663" s="37">
        <v>2</v>
      </c>
      <c r="G663" s="37"/>
      <c r="H663" s="86"/>
      <c r="I663" s="86">
        <v>46157</v>
      </c>
      <c r="J663" s="37" t="s">
        <v>4</v>
      </c>
      <c r="K663" s="38">
        <f t="shared" si="50"/>
        <v>2</v>
      </c>
      <c r="L663" s="39">
        <f t="shared" si="51"/>
        <v>0</v>
      </c>
      <c r="M663" s="40">
        <f t="shared" ca="1" si="52"/>
        <v>44</v>
      </c>
      <c r="N663">
        <f t="shared" si="53"/>
        <v>20</v>
      </c>
      <c r="O663" t="str">
        <f t="shared" si="54"/>
        <v>Switch</v>
      </c>
    </row>
    <row r="664" spans="1:15" ht="14.25" customHeight="1">
      <c r="A664">
        <v>420</v>
      </c>
      <c r="B664" s="35" t="s">
        <v>22</v>
      </c>
      <c r="C664" s="36" t="s">
        <v>512</v>
      </c>
      <c r="D664" s="37" t="s">
        <v>532</v>
      </c>
      <c r="E664" s="37" t="s">
        <v>74</v>
      </c>
      <c r="F664" s="37">
        <v>3</v>
      </c>
      <c r="G664" s="37"/>
      <c r="H664" s="86"/>
      <c r="I664" s="86">
        <v>46157</v>
      </c>
      <c r="J664" s="37" t="s">
        <v>4</v>
      </c>
      <c r="K664" s="38">
        <f t="shared" si="50"/>
        <v>3</v>
      </c>
      <c r="L664" s="39">
        <f t="shared" si="51"/>
        <v>0</v>
      </c>
      <c r="M664" s="40">
        <f t="shared" ca="1" si="52"/>
        <v>44</v>
      </c>
      <c r="N664">
        <f t="shared" si="53"/>
        <v>20</v>
      </c>
      <c r="O664" t="str">
        <f t="shared" si="54"/>
        <v>Switch</v>
      </c>
    </row>
    <row r="665" spans="1:15" ht="14.25" hidden="1" customHeight="1">
      <c r="A665">
        <v>425</v>
      </c>
      <c r="B665" s="35" t="s">
        <v>22</v>
      </c>
      <c r="C665" s="36" t="s">
        <v>512</v>
      </c>
      <c r="D665" s="37" t="s">
        <v>533</v>
      </c>
      <c r="E665" s="37" t="s">
        <v>90</v>
      </c>
      <c r="F665" s="37">
        <v>1</v>
      </c>
      <c r="G665" s="37"/>
      <c r="H665" s="86"/>
      <c r="I665" s="86">
        <v>46160</v>
      </c>
      <c r="J665" s="37" t="s">
        <v>4</v>
      </c>
      <c r="K665" s="38">
        <f t="shared" si="50"/>
        <v>1</v>
      </c>
      <c r="L665" s="39">
        <f t="shared" si="51"/>
        <v>0</v>
      </c>
      <c r="M665" s="40">
        <f t="shared" ca="1" si="52"/>
        <v>47</v>
      </c>
      <c r="N665">
        <f t="shared" si="53"/>
        <v>21</v>
      </c>
      <c r="O665" t="str">
        <f t="shared" si="54"/>
        <v>Switch</v>
      </c>
    </row>
    <row r="666" spans="1:15" ht="14.25" customHeight="1">
      <c r="A666">
        <v>424</v>
      </c>
      <c r="B666" s="35" t="s">
        <v>22</v>
      </c>
      <c r="C666" s="36" t="s">
        <v>512</v>
      </c>
      <c r="D666" s="37" t="s">
        <v>533</v>
      </c>
      <c r="E666" s="37" t="s">
        <v>80</v>
      </c>
      <c r="F666" s="37">
        <v>1</v>
      </c>
      <c r="G666" s="37"/>
      <c r="H666" s="86"/>
      <c r="I666" s="86">
        <v>46160</v>
      </c>
      <c r="J666" s="37" t="s">
        <v>4</v>
      </c>
      <c r="K666" s="38">
        <f t="shared" si="50"/>
        <v>1</v>
      </c>
      <c r="L666" s="39">
        <f t="shared" si="51"/>
        <v>0</v>
      </c>
      <c r="M666" s="40">
        <f t="shared" ca="1" si="52"/>
        <v>47</v>
      </c>
      <c r="N666">
        <f t="shared" si="53"/>
        <v>21</v>
      </c>
      <c r="O666" t="str">
        <f t="shared" si="54"/>
        <v>Switch</v>
      </c>
    </row>
    <row r="667" spans="1:15" ht="14.25" customHeight="1">
      <c r="A667">
        <v>423</v>
      </c>
      <c r="B667" s="35" t="s">
        <v>22</v>
      </c>
      <c r="C667" s="36" t="s">
        <v>512</v>
      </c>
      <c r="D667" s="37" t="s">
        <v>533</v>
      </c>
      <c r="E667" s="37" t="s">
        <v>74</v>
      </c>
      <c r="F667" s="37">
        <v>2</v>
      </c>
      <c r="G667" s="37"/>
      <c r="H667" s="86"/>
      <c r="I667" s="86">
        <v>46160</v>
      </c>
      <c r="J667" s="37" t="s">
        <v>4</v>
      </c>
      <c r="K667" s="38">
        <f t="shared" si="50"/>
        <v>2</v>
      </c>
      <c r="L667" s="39">
        <f t="shared" si="51"/>
        <v>0</v>
      </c>
      <c r="M667" s="40">
        <f t="shared" ca="1" si="52"/>
        <v>47</v>
      </c>
      <c r="N667">
        <f t="shared" si="53"/>
        <v>21</v>
      </c>
      <c r="O667" t="str">
        <f t="shared" si="54"/>
        <v>Switch</v>
      </c>
    </row>
    <row r="668" spans="1:15" ht="14.25" hidden="1" customHeight="1">
      <c r="A668">
        <v>428</v>
      </c>
      <c r="B668" s="35" t="s">
        <v>22</v>
      </c>
      <c r="C668" s="36" t="s">
        <v>512</v>
      </c>
      <c r="D668" s="37" t="s">
        <v>534</v>
      </c>
      <c r="E668" s="37" t="s">
        <v>118</v>
      </c>
      <c r="F668" s="37">
        <v>1</v>
      </c>
      <c r="G668" s="37"/>
      <c r="H668" s="86"/>
      <c r="I668" s="86">
        <v>46160</v>
      </c>
      <c r="J668" s="37" t="s">
        <v>4</v>
      </c>
      <c r="K668" s="38">
        <f t="shared" si="50"/>
        <v>1</v>
      </c>
      <c r="L668" s="39">
        <f t="shared" si="51"/>
        <v>0</v>
      </c>
      <c r="M668" s="40">
        <f t="shared" ca="1" si="52"/>
        <v>47</v>
      </c>
      <c r="N668">
        <f t="shared" si="53"/>
        <v>21</v>
      </c>
      <c r="O668" t="str">
        <f t="shared" si="54"/>
        <v>Switch</v>
      </c>
    </row>
    <row r="669" spans="1:15" ht="14.25" customHeight="1">
      <c r="A669">
        <v>427</v>
      </c>
      <c r="B669" s="35" t="s">
        <v>22</v>
      </c>
      <c r="C669" s="36" t="s">
        <v>512</v>
      </c>
      <c r="D669" s="37" t="s">
        <v>534</v>
      </c>
      <c r="E669" s="37" t="s">
        <v>80</v>
      </c>
      <c r="F669" s="37">
        <v>1</v>
      </c>
      <c r="G669" s="37"/>
      <c r="H669" s="86"/>
      <c r="I669" s="86">
        <v>46160</v>
      </c>
      <c r="J669" s="37" t="s">
        <v>4</v>
      </c>
      <c r="K669" s="38">
        <f t="shared" si="50"/>
        <v>1</v>
      </c>
      <c r="L669" s="39">
        <f t="shared" si="51"/>
        <v>0</v>
      </c>
      <c r="M669" s="40">
        <f t="shared" ca="1" si="52"/>
        <v>47</v>
      </c>
      <c r="N669">
        <f t="shared" si="53"/>
        <v>21</v>
      </c>
      <c r="O669" t="str">
        <f t="shared" si="54"/>
        <v>Switch</v>
      </c>
    </row>
    <row r="670" spans="1:15" ht="14.25" customHeight="1">
      <c r="A670">
        <v>426</v>
      </c>
      <c r="B670" s="35" t="s">
        <v>22</v>
      </c>
      <c r="C670" s="36" t="s">
        <v>512</v>
      </c>
      <c r="D670" s="37" t="s">
        <v>534</v>
      </c>
      <c r="E670" s="37" t="s">
        <v>74</v>
      </c>
      <c r="F670" s="37">
        <v>1</v>
      </c>
      <c r="G670" s="37"/>
      <c r="H670" s="86"/>
      <c r="I670" s="86">
        <v>46160</v>
      </c>
      <c r="J670" s="37" t="s">
        <v>4</v>
      </c>
      <c r="K670" s="38">
        <f t="shared" si="50"/>
        <v>1</v>
      </c>
      <c r="L670" s="39">
        <f t="shared" si="51"/>
        <v>0</v>
      </c>
      <c r="M670" s="40">
        <f t="shared" ca="1" si="52"/>
        <v>47</v>
      </c>
      <c r="N670">
        <f t="shared" si="53"/>
        <v>21</v>
      </c>
      <c r="O670" t="str">
        <f t="shared" si="54"/>
        <v>Switch</v>
      </c>
    </row>
    <row r="671" spans="1:15" ht="14.25" customHeight="1">
      <c r="A671">
        <v>430</v>
      </c>
      <c r="B671" s="35" t="s">
        <v>22</v>
      </c>
      <c r="C671" s="36" t="s">
        <v>512</v>
      </c>
      <c r="D671" s="37" t="s">
        <v>535</v>
      </c>
      <c r="E671" s="37" t="s">
        <v>80</v>
      </c>
      <c r="F671" s="37">
        <v>1</v>
      </c>
      <c r="G671" s="37"/>
      <c r="H671" s="86"/>
      <c r="I671" s="86">
        <v>46160</v>
      </c>
      <c r="J671" s="37" t="s">
        <v>4</v>
      </c>
      <c r="K671" s="38">
        <f t="shared" si="50"/>
        <v>1</v>
      </c>
      <c r="L671" s="39">
        <f t="shared" si="51"/>
        <v>0</v>
      </c>
      <c r="M671" s="40">
        <f t="shared" ca="1" si="52"/>
        <v>47</v>
      </c>
      <c r="N671">
        <f t="shared" si="53"/>
        <v>21</v>
      </c>
      <c r="O671" t="str">
        <f t="shared" si="54"/>
        <v>Switch</v>
      </c>
    </row>
    <row r="672" spans="1:15" ht="14.25" customHeight="1">
      <c r="A672">
        <v>429</v>
      </c>
      <c r="B672" s="35" t="s">
        <v>22</v>
      </c>
      <c r="C672" s="36" t="s">
        <v>512</v>
      </c>
      <c r="D672" s="37" t="s">
        <v>535</v>
      </c>
      <c r="E672" s="37" t="s">
        <v>74</v>
      </c>
      <c r="F672" s="37">
        <v>1</v>
      </c>
      <c r="G672" s="37"/>
      <c r="H672" s="86"/>
      <c r="I672" s="86">
        <v>46160</v>
      </c>
      <c r="J672" s="37" t="s">
        <v>4</v>
      </c>
      <c r="K672" s="38">
        <f t="shared" si="50"/>
        <v>1</v>
      </c>
      <c r="L672" s="39">
        <f t="shared" si="51"/>
        <v>0</v>
      </c>
      <c r="M672" s="40">
        <f t="shared" ca="1" si="52"/>
        <v>47</v>
      </c>
      <c r="N672">
        <f t="shared" si="53"/>
        <v>21</v>
      </c>
      <c r="O672" t="str">
        <f t="shared" si="54"/>
        <v>Switch</v>
      </c>
    </row>
    <row r="673" spans="1:15" ht="14.25" customHeight="1">
      <c r="A673">
        <v>432</v>
      </c>
      <c r="B673" s="35" t="s">
        <v>22</v>
      </c>
      <c r="C673" s="36" t="s">
        <v>512</v>
      </c>
      <c r="D673" s="37" t="s">
        <v>536</v>
      </c>
      <c r="E673" s="37" t="s">
        <v>80</v>
      </c>
      <c r="F673" s="37">
        <v>1</v>
      </c>
      <c r="G673" s="37"/>
      <c r="H673" s="86"/>
      <c r="I673" s="86">
        <v>46161</v>
      </c>
      <c r="J673" s="37" t="s">
        <v>4</v>
      </c>
      <c r="K673" s="38">
        <f t="shared" si="50"/>
        <v>1</v>
      </c>
      <c r="L673" s="39">
        <f t="shared" si="51"/>
        <v>0</v>
      </c>
      <c r="M673" s="40">
        <f t="shared" ca="1" si="52"/>
        <v>48</v>
      </c>
      <c r="N673">
        <f t="shared" si="53"/>
        <v>21</v>
      </c>
      <c r="O673" t="str">
        <f t="shared" si="54"/>
        <v>Switch</v>
      </c>
    </row>
    <row r="674" spans="1:15" ht="14.25" customHeight="1">
      <c r="A674">
        <v>431</v>
      </c>
      <c r="B674" s="35" t="s">
        <v>22</v>
      </c>
      <c r="C674" s="36" t="s">
        <v>512</v>
      </c>
      <c r="D674" s="37" t="s">
        <v>536</v>
      </c>
      <c r="E674" s="37" t="s">
        <v>74</v>
      </c>
      <c r="F674" s="37">
        <v>1</v>
      </c>
      <c r="G674" s="37"/>
      <c r="H674" s="86"/>
      <c r="I674" s="86">
        <v>46161</v>
      </c>
      <c r="J674" s="37" t="s">
        <v>4</v>
      </c>
      <c r="K674" s="38">
        <f t="shared" si="50"/>
        <v>1</v>
      </c>
      <c r="L674" s="39">
        <f t="shared" si="51"/>
        <v>0</v>
      </c>
      <c r="M674" s="40">
        <f t="shared" ca="1" si="52"/>
        <v>48</v>
      </c>
      <c r="N674">
        <f t="shared" si="53"/>
        <v>21</v>
      </c>
      <c r="O674" t="str">
        <f t="shared" si="54"/>
        <v>Switch</v>
      </c>
    </row>
    <row r="675" spans="1:15" ht="14.25" customHeight="1">
      <c r="A675">
        <v>434</v>
      </c>
      <c r="B675" s="35" t="s">
        <v>22</v>
      </c>
      <c r="C675" s="36" t="s">
        <v>512</v>
      </c>
      <c r="D675" s="37" t="s">
        <v>537</v>
      </c>
      <c r="E675" s="37" t="s">
        <v>80</v>
      </c>
      <c r="F675" s="37">
        <v>1</v>
      </c>
      <c r="G675" s="37"/>
      <c r="H675" s="86"/>
      <c r="I675" s="86">
        <v>46161</v>
      </c>
      <c r="J675" s="37" t="s">
        <v>4</v>
      </c>
      <c r="K675" s="38">
        <f t="shared" si="50"/>
        <v>1</v>
      </c>
      <c r="L675" s="39">
        <f t="shared" si="51"/>
        <v>0</v>
      </c>
      <c r="M675" s="40">
        <f t="shared" ca="1" si="52"/>
        <v>48</v>
      </c>
      <c r="N675">
        <f t="shared" si="53"/>
        <v>21</v>
      </c>
      <c r="O675" t="str">
        <f t="shared" si="54"/>
        <v>Switch</v>
      </c>
    </row>
    <row r="676" spans="1:15" ht="14.25" customHeight="1">
      <c r="A676">
        <v>433</v>
      </c>
      <c r="B676" s="35" t="s">
        <v>22</v>
      </c>
      <c r="C676" s="36" t="s">
        <v>512</v>
      </c>
      <c r="D676" s="37" t="s">
        <v>537</v>
      </c>
      <c r="E676" s="37" t="s">
        <v>74</v>
      </c>
      <c r="F676" s="37">
        <v>1</v>
      </c>
      <c r="G676" s="37"/>
      <c r="H676" s="86"/>
      <c r="I676" s="86">
        <v>46161</v>
      </c>
      <c r="J676" s="37" t="s">
        <v>4</v>
      </c>
      <c r="K676" s="38">
        <f t="shared" si="50"/>
        <v>1</v>
      </c>
      <c r="L676" s="39">
        <f t="shared" si="51"/>
        <v>0</v>
      </c>
      <c r="M676" s="40">
        <f t="shared" ca="1" si="52"/>
        <v>48</v>
      </c>
      <c r="N676">
        <f t="shared" si="53"/>
        <v>21</v>
      </c>
      <c r="O676" t="str">
        <f t="shared" si="54"/>
        <v>Switch</v>
      </c>
    </row>
    <row r="677" spans="1:15" ht="14.25" customHeight="1">
      <c r="A677">
        <v>436</v>
      </c>
      <c r="B677" s="35" t="s">
        <v>22</v>
      </c>
      <c r="C677" s="36" t="s">
        <v>512</v>
      </c>
      <c r="D677" s="37" t="s">
        <v>538</v>
      </c>
      <c r="E677" s="37" t="s">
        <v>80</v>
      </c>
      <c r="F677" s="37">
        <v>1</v>
      </c>
      <c r="G677" s="37"/>
      <c r="H677" s="86"/>
      <c r="I677" s="86">
        <v>46161</v>
      </c>
      <c r="J677" s="37" t="s">
        <v>4</v>
      </c>
      <c r="K677" s="38">
        <f t="shared" si="50"/>
        <v>1</v>
      </c>
      <c r="L677" s="39">
        <f t="shared" si="51"/>
        <v>0</v>
      </c>
      <c r="M677" s="40">
        <f t="shared" ca="1" si="52"/>
        <v>48</v>
      </c>
      <c r="N677">
        <f t="shared" si="53"/>
        <v>21</v>
      </c>
      <c r="O677" t="str">
        <f t="shared" si="54"/>
        <v>Switch</v>
      </c>
    </row>
    <row r="678" spans="1:15" ht="14.25" customHeight="1">
      <c r="A678">
        <v>435</v>
      </c>
      <c r="B678" s="35" t="s">
        <v>22</v>
      </c>
      <c r="C678" s="36" t="s">
        <v>512</v>
      </c>
      <c r="D678" s="37" t="s">
        <v>538</v>
      </c>
      <c r="E678" s="37" t="s">
        <v>74</v>
      </c>
      <c r="F678" s="37">
        <v>1</v>
      </c>
      <c r="G678" s="37"/>
      <c r="H678" s="86"/>
      <c r="I678" s="86">
        <v>46161</v>
      </c>
      <c r="J678" s="37" t="s">
        <v>4</v>
      </c>
      <c r="K678" s="38">
        <f t="shared" si="50"/>
        <v>1</v>
      </c>
      <c r="L678" s="39">
        <f t="shared" si="51"/>
        <v>0</v>
      </c>
      <c r="M678" s="40">
        <f t="shared" ca="1" si="52"/>
        <v>48</v>
      </c>
      <c r="N678">
        <f t="shared" si="53"/>
        <v>21</v>
      </c>
      <c r="O678" t="str">
        <f t="shared" si="54"/>
        <v>Switch</v>
      </c>
    </row>
    <row r="679" spans="1:15" ht="14.25" customHeight="1">
      <c r="A679">
        <v>438</v>
      </c>
      <c r="B679" s="35" t="s">
        <v>22</v>
      </c>
      <c r="C679" s="36" t="s">
        <v>512</v>
      </c>
      <c r="D679" s="37" t="s">
        <v>539</v>
      </c>
      <c r="E679" s="37" t="s">
        <v>80</v>
      </c>
      <c r="F679" s="37">
        <v>1</v>
      </c>
      <c r="G679" s="37"/>
      <c r="H679" s="86"/>
      <c r="I679" s="86">
        <v>46161</v>
      </c>
      <c r="J679" s="37" t="s">
        <v>4</v>
      </c>
      <c r="K679" s="38">
        <f t="shared" si="50"/>
        <v>1</v>
      </c>
      <c r="L679" s="39">
        <f t="shared" si="51"/>
        <v>0</v>
      </c>
      <c r="M679" s="40">
        <f t="shared" ca="1" si="52"/>
        <v>48</v>
      </c>
      <c r="N679">
        <f t="shared" si="53"/>
        <v>21</v>
      </c>
      <c r="O679" t="str">
        <f t="shared" si="54"/>
        <v>Switch</v>
      </c>
    </row>
    <row r="680" spans="1:15" ht="14.25" customHeight="1">
      <c r="A680">
        <v>437</v>
      </c>
      <c r="B680" s="35" t="s">
        <v>22</v>
      </c>
      <c r="C680" s="36" t="s">
        <v>512</v>
      </c>
      <c r="D680" s="37" t="s">
        <v>539</v>
      </c>
      <c r="E680" s="37" t="s">
        <v>74</v>
      </c>
      <c r="F680" s="37">
        <v>1</v>
      </c>
      <c r="G680" s="37"/>
      <c r="H680" s="86"/>
      <c r="I680" s="86">
        <v>46161</v>
      </c>
      <c r="J680" s="37" t="s">
        <v>4</v>
      </c>
      <c r="K680" s="38">
        <f t="shared" si="50"/>
        <v>1</v>
      </c>
      <c r="L680" s="39">
        <f t="shared" si="51"/>
        <v>0</v>
      </c>
      <c r="M680" s="40">
        <f t="shared" ca="1" si="52"/>
        <v>48</v>
      </c>
      <c r="N680">
        <f t="shared" si="53"/>
        <v>21</v>
      </c>
      <c r="O680" t="str">
        <f t="shared" si="54"/>
        <v>Switch</v>
      </c>
    </row>
    <row r="681" spans="1:15" ht="14.25" customHeight="1">
      <c r="A681">
        <v>440</v>
      </c>
      <c r="B681" s="35" t="s">
        <v>22</v>
      </c>
      <c r="C681" s="36" t="s">
        <v>512</v>
      </c>
      <c r="D681" s="37" t="s">
        <v>540</v>
      </c>
      <c r="E681" s="37" t="s">
        <v>80</v>
      </c>
      <c r="F681" s="37">
        <v>1</v>
      </c>
      <c r="G681" s="37"/>
      <c r="H681" s="86"/>
      <c r="I681" s="86">
        <v>46161</v>
      </c>
      <c r="J681" s="37" t="s">
        <v>4</v>
      </c>
      <c r="K681" s="38">
        <f t="shared" si="50"/>
        <v>1</v>
      </c>
      <c r="L681" s="39">
        <f t="shared" si="51"/>
        <v>0</v>
      </c>
      <c r="M681" s="40">
        <f t="shared" ca="1" si="52"/>
        <v>48</v>
      </c>
      <c r="N681">
        <f t="shared" si="53"/>
        <v>21</v>
      </c>
      <c r="O681" t="str">
        <f t="shared" si="54"/>
        <v>Switch</v>
      </c>
    </row>
    <row r="682" spans="1:15" ht="14.25" customHeight="1">
      <c r="A682">
        <v>439</v>
      </c>
      <c r="B682" s="35" t="s">
        <v>22</v>
      </c>
      <c r="C682" s="36" t="s">
        <v>512</v>
      </c>
      <c r="D682" s="37" t="s">
        <v>540</v>
      </c>
      <c r="E682" s="37" t="s">
        <v>74</v>
      </c>
      <c r="F682" s="37">
        <v>1</v>
      </c>
      <c r="G682" s="37"/>
      <c r="H682" s="86"/>
      <c r="I682" s="86">
        <v>46161</v>
      </c>
      <c r="J682" s="37" t="s">
        <v>4</v>
      </c>
      <c r="K682" s="38">
        <f t="shared" si="50"/>
        <v>1</v>
      </c>
      <c r="L682" s="39">
        <f t="shared" si="51"/>
        <v>0</v>
      </c>
      <c r="M682" s="40">
        <f t="shared" ca="1" si="52"/>
        <v>48</v>
      </c>
      <c r="N682">
        <f t="shared" si="53"/>
        <v>21</v>
      </c>
      <c r="O682" t="str">
        <f t="shared" si="54"/>
        <v>Switch</v>
      </c>
    </row>
    <row r="683" spans="1:15" ht="14.25" customHeight="1">
      <c r="A683">
        <v>442</v>
      </c>
      <c r="B683" s="35" t="s">
        <v>22</v>
      </c>
      <c r="C683" s="36" t="s">
        <v>512</v>
      </c>
      <c r="D683" s="37" t="s">
        <v>541</v>
      </c>
      <c r="E683" s="37" t="s">
        <v>80</v>
      </c>
      <c r="F683" s="37">
        <v>2</v>
      </c>
      <c r="G683" s="37"/>
      <c r="H683" s="86"/>
      <c r="I683" s="86">
        <v>46161</v>
      </c>
      <c r="J683" s="37" t="s">
        <v>4</v>
      </c>
      <c r="K683" s="38">
        <f t="shared" si="50"/>
        <v>2</v>
      </c>
      <c r="L683" s="39">
        <f t="shared" si="51"/>
        <v>0</v>
      </c>
      <c r="M683" s="40">
        <f t="shared" ca="1" si="52"/>
        <v>48</v>
      </c>
      <c r="N683">
        <f t="shared" si="53"/>
        <v>21</v>
      </c>
      <c r="O683" t="str">
        <f t="shared" si="54"/>
        <v>Switch</v>
      </c>
    </row>
    <row r="684" spans="1:15" ht="14.25" customHeight="1">
      <c r="A684">
        <v>441</v>
      </c>
      <c r="B684" s="35" t="s">
        <v>22</v>
      </c>
      <c r="C684" s="36" t="s">
        <v>512</v>
      </c>
      <c r="D684" s="37" t="s">
        <v>541</v>
      </c>
      <c r="E684" s="37" t="s">
        <v>74</v>
      </c>
      <c r="F684" s="37">
        <v>1</v>
      </c>
      <c r="G684" s="37"/>
      <c r="H684" s="86"/>
      <c r="I684" s="86">
        <v>46161</v>
      </c>
      <c r="J684" s="37" t="s">
        <v>4</v>
      </c>
      <c r="K684" s="38">
        <f t="shared" si="50"/>
        <v>1</v>
      </c>
      <c r="L684" s="39">
        <f t="shared" si="51"/>
        <v>0</v>
      </c>
      <c r="M684" s="40">
        <f t="shared" ca="1" si="52"/>
        <v>48</v>
      </c>
      <c r="N684">
        <f t="shared" si="53"/>
        <v>21</v>
      </c>
      <c r="O684" t="str">
        <f t="shared" si="54"/>
        <v>Switch</v>
      </c>
    </row>
    <row r="685" spans="1:15" ht="14.25" customHeight="1">
      <c r="A685">
        <v>444</v>
      </c>
      <c r="B685" s="35" t="s">
        <v>22</v>
      </c>
      <c r="C685" s="36" t="s">
        <v>512</v>
      </c>
      <c r="D685" s="37" t="s">
        <v>542</v>
      </c>
      <c r="E685" s="37" t="s">
        <v>80</v>
      </c>
      <c r="F685" s="37">
        <v>1</v>
      </c>
      <c r="G685" s="37"/>
      <c r="H685" s="86"/>
      <c r="I685" s="86">
        <v>46162</v>
      </c>
      <c r="J685" s="37" t="s">
        <v>4</v>
      </c>
      <c r="K685" s="38">
        <f t="shared" si="50"/>
        <v>1</v>
      </c>
      <c r="L685" s="39">
        <f t="shared" si="51"/>
        <v>0</v>
      </c>
      <c r="M685" s="40">
        <f t="shared" ca="1" si="52"/>
        <v>49</v>
      </c>
      <c r="N685">
        <f t="shared" si="53"/>
        <v>21</v>
      </c>
      <c r="O685" t="str">
        <f t="shared" si="54"/>
        <v>Switch</v>
      </c>
    </row>
    <row r="686" spans="1:15" ht="14.25" customHeight="1">
      <c r="A686">
        <v>443</v>
      </c>
      <c r="B686" s="35" t="s">
        <v>22</v>
      </c>
      <c r="C686" s="36" t="s">
        <v>512</v>
      </c>
      <c r="D686" s="37" t="s">
        <v>542</v>
      </c>
      <c r="E686" s="37" t="s">
        <v>74</v>
      </c>
      <c r="F686" s="37">
        <v>1</v>
      </c>
      <c r="G686" s="37"/>
      <c r="H686" s="86"/>
      <c r="I686" s="86">
        <v>46162</v>
      </c>
      <c r="J686" s="37" t="s">
        <v>4</v>
      </c>
      <c r="K686" s="38">
        <f t="shared" si="50"/>
        <v>1</v>
      </c>
      <c r="L686" s="39">
        <f t="shared" si="51"/>
        <v>0</v>
      </c>
      <c r="M686" s="40">
        <f t="shared" ca="1" si="52"/>
        <v>49</v>
      </c>
      <c r="N686">
        <f t="shared" si="53"/>
        <v>21</v>
      </c>
      <c r="O686" t="str">
        <f t="shared" si="54"/>
        <v>Switch</v>
      </c>
    </row>
    <row r="687" spans="1:15" ht="14.25" customHeight="1">
      <c r="A687">
        <v>446</v>
      </c>
      <c r="B687" s="35" t="s">
        <v>22</v>
      </c>
      <c r="C687" s="36" t="s">
        <v>512</v>
      </c>
      <c r="D687" s="37" t="s">
        <v>543</v>
      </c>
      <c r="E687" s="37" t="s">
        <v>80</v>
      </c>
      <c r="F687" s="37">
        <v>1</v>
      </c>
      <c r="G687" s="37"/>
      <c r="H687" s="86"/>
      <c r="I687" s="86">
        <v>46162</v>
      </c>
      <c r="J687" s="37" t="s">
        <v>4</v>
      </c>
      <c r="K687" s="38">
        <f t="shared" si="50"/>
        <v>1</v>
      </c>
      <c r="L687" s="39">
        <f t="shared" si="51"/>
        <v>0</v>
      </c>
      <c r="M687" s="40">
        <f t="shared" ca="1" si="52"/>
        <v>49</v>
      </c>
      <c r="N687">
        <f t="shared" si="53"/>
        <v>21</v>
      </c>
      <c r="O687" t="str">
        <f t="shared" si="54"/>
        <v>Switch</v>
      </c>
    </row>
    <row r="688" spans="1:15" ht="14.25" customHeight="1">
      <c r="A688">
        <v>445</v>
      </c>
      <c r="B688" s="35" t="s">
        <v>22</v>
      </c>
      <c r="C688" s="36" t="s">
        <v>512</v>
      </c>
      <c r="D688" s="37" t="s">
        <v>543</v>
      </c>
      <c r="E688" s="37" t="s">
        <v>74</v>
      </c>
      <c r="F688" s="37">
        <v>1</v>
      </c>
      <c r="G688" s="37"/>
      <c r="H688" s="86"/>
      <c r="I688" s="86">
        <v>46162</v>
      </c>
      <c r="J688" s="37" t="s">
        <v>4</v>
      </c>
      <c r="K688" s="38">
        <f t="shared" si="50"/>
        <v>1</v>
      </c>
      <c r="L688" s="39">
        <f t="shared" si="51"/>
        <v>0</v>
      </c>
      <c r="M688" s="40">
        <f t="shared" ca="1" si="52"/>
        <v>49</v>
      </c>
      <c r="N688">
        <f t="shared" si="53"/>
        <v>21</v>
      </c>
      <c r="O688" t="str">
        <f t="shared" si="54"/>
        <v>Switch</v>
      </c>
    </row>
    <row r="689" spans="1:15" ht="14.25" customHeight="1">
      <c r="A689">
        <v>448</v>
      </c>
      <c r="B689" s="35" t="s">
        <v>22</v>
      </c>
      <c r="C689" s="36" t="s">
        <v>512</v>
      </c>
      <c r="D689" s="37" t="s">
        <v>544</v>
      </c>
      <c r="E689" s="37" t="s">
        <v>80</v>
      </c>
      <c r="F689" s="37">
        <v>1</v>
      </c>
      <c r="G689" s="37"/>
      <c r="H689" s="86"/>
      <c r="I689" s="86">
        <v>46162</v>
      </c>
      <c r="J689" s="37" t="s">
        <v>4</v>
      </c>
      <c r="K689" s="38">
        <f t="shared" si="50"/>
        <v>1</v>
      </c>
      <c r="L689" s="39">
        <f t="shared" si="51"/>
        <v>0</v>
      </c>
      <c r="M689" s="40">
        <f t="shared" ca="1" si="52"/>
        <v>49</v>
      </c>
      <c r="N689">
        <f t="shared" si="53"/>
        <v>21</v>
      </c>
      <c r="O689" t="str">
        <f t="shared" si="54"/>
        <v>Switch</v>
      </c>
    </row>
    <row r="690" spans="1:15" ht="14.25" customHeight="1">
      <c r="A690">
        <v>447</v>
      </c>
      <c r="B690" s="35" t="s">
        <v>22</v>
      </c>
      <c r="C690" s="36" t="s">
        <v>512</v>
      </c>
      <c r="D690" s="37" t="s">
        <v>544</v>
      </c>
      <c r="E690" s="37" t="s">
        <v>74</v>
      </c>
      <c r="F690" s="37">
        <v>1</v>
      </c>
      <c r="G690" s="37"/>
      <c r="H690" s="86"/>
      <c r="I690" s="86">
        <v>46162</v>
      </c>
      <c r="J690" s="37" t="s">
        <v>4</v>
      </c>
      <c r="K690" s="38">
        <f t="shared" si="50"/>
        <v>1</v>
      </c>
      <c r="L690" s="39">
        <f t="shared" si="51"/>
        <v>0</v>
      </c>
      <c r="M690" s="40">
        <f t="shared" ca="1" si="52"/>
        <v>49</v>
      </c>
      <c r="N690">
        <f t="shared" si="53"/>
        <v>21</v>
      </c>
      <c r="O690" t="str">
        <f t="shared" si="54"/>
        <v>Switch</v>
      </c>
    </row>
    <row r="691" spans="1:15" ht="14.25" customHeight="1">
      <c r="A691">
        <v>450</v>
      </c>
      <c r="B691" s="35" t="s">
        <v>22</v>
      </c>
      <c r="C691" s="36" t="s">
        <v>512</v>
      </c>
      <c r="D691" s="37" t="s">
        <v>545</v>
      </c>
      <c r="E691" s="37" t="s">
        <v>80</v>
      </c>
      <c r="F691" s="37">
        <v>1</v>
      </c>
      <c r="G691" s="37"/>
      <c r="H691" s="86"/>
      <c r="I691" s="86">
        <v>46162</v>
      </c>
      <c r="J691" s="37" t="s">
        <v>4</v>
      </c>
      <c r="K691" s="38">
        <f t="shared" si="50"/>
        <v>1</v>
      </c>
      <c r="L691" s="39">
        <f t="shared" si="51"/>
        <v>0</v>
      </c>
      <c r="M691" s="40">
        <f t="shared" ca="1" si="52"/>
        <v>49</v>
      </c>
      <c r="N691">
        <f t="shared" si="53"/>
        <v>21</v>
      </c>
      <c r="O691" t="str">
        <f t="shared" si="54"/>
        <v>Switch</v>
      </c>
    </row>
    <row r="692" spans="1:15" ht="14.25" customHeight="1">
      <c r="A692">
        <v>449</v>
      </c>
      <c r="B692" s="35" t="s">
        <v>22</v>
      </c>
      <c r="C692" s="36" t="s">
        <v>512</v>
      </c>
      <c r="D692" s="37" t="s">
        <v>545</v>
      </c>
      <c r="E692" s="37" t="s">
        <v>74</v>
      </c>
      <c r="F692" s="37">
        <v>1</v>
      </c>
      <c r="G692" s="37"/>
      <c r="H692" s="86"/>
      <c r="I692" s="86">
        <v>46162</v>
      </c>
      <c r="J692" s="37" t="s">
        <v>4</v>
      </c>
      <c r="K692" s="38">
        <f t="shared" si="50"/>
        <v>1</v>
      </c>
      <c r="L692" s="39">
        <f t="shared" si="51"/>
        <v>0</v>
      </c>
      <c r="M692" s="40">
        <f t="shared" ca="1" si="52"/>
        <v>49</v>
      </c>
      <c r="N692">
        <f t="shared" si="53"/>
        <v>21</v>
      </c>
      <c r="O692" t="str">
        <f t="shared" si="54"/>
        <v>Switch</v>
      </c>
    </row>
    <row r="693" spans="1:15" ht="14.25" customHeight="1">
      <c r="A693">
        <v>452</v>
      </c>
      <c r="B693" s="35" t="s">
        <v>22</v>
      </c>
      <c r="C693" s="36" t="s">
        <v>512</v>
      </c>
      <c r="D693" s="37" t="s">
        <v>546</v>
      </c>
      <c r="E693" s="37" t="s">
        <v>80</v>
      </c>
      <c r="F693" s="37">
        <v>1</v>
      </c>
      <c r="G693" s="37"/>
      <c r="H693" s="86"/>
      <c r="I693" s="86">
        <v>46162</v>
      </c>
      <c r="J693" s="37" t="s">
        <v>4</v>
      </c>
      <c r="K693" s="38">
        <f t="shared" si="50"/>
        <v>1</v>
      </c>
      <c r="L693" s="39">
        <f t="shared" si="51"/>
        <v>0</v>
      </c>
      <c r="M693" s="40">
        <f t="shared" ca="1" si="52"/>
        <v>49</v>
      </c>
      <c r="N693">
        <f t="shared" si="53"/>
        <v>21</v>
      </c>
      <c r="O693" t="str">
        <f t="shared" si="54"/>
        <v>Switch</v>
      </c>
    </row>
    <row r="694" spans="1:15" ht="14.25" customHeight="1">
      <c r="A694">
        <v>451</v>
      </c>
      <c r="B694" s="35" t="s">
        <v>22</v>
      </c>
      <c r="C694" s="36" t="s">
        <v>512</v>
      </c>
      <c r="D694" s="37" t="s">
        <v>546</v>
      </c>
      <c r="E694" s="37" t="s">
        <v>74</v>
      </c>
      <c r="F694" s="37">
        <v>1</v>
      </c>
      <c r="G694" s="37"/>
      <c r="H694" s="86"/>
      <c r="I694" s="86">
        <v>46162</v>
      </c>
      <c r="J694" s="37" t="s">
        <v>4</v>
      </c>
      <c r="K694" s="38">
        <f t="shared" si="50"/>
        <v>1</v>
      </c>
      <c r="L694" s="39">
        <f t="shared" si="51"/>
        <v>0</v>
      </c>
      <c r="M694" s="40">
        <f t="shared" ca="1" si="52"/>
        <v>49</v>
      </c>
      <c r="N694">
        <f t="shared" si="53"/>
        <v>21</v>
      </c>
      <c r="O694" t="str">
        <f t="shared" si="54"/>
        <v>Switch</v>
      </c>
    </row>
    <row r="695" spans="1:15" ht="14.25" customHeight="1">
      <c r="A695">
        <v>454</v>
      </c>
      <c r="B695" s="35" t="s">
        <v>22</v>
      </c>
      <c r="C695" s="36" t="s">
        <v>512</v>
      </c>
      <c r="D695" s="37" t="s">
        <v>547</v>
      </c>
      <c r="E695" s="37" t="s">
        <v>80</v>
      </c>
      <c r="F695" s="37">
        <v>1</v>
      </c>
      <c r="G695" s="37"/>
      <c r="H695" s="86"/>
      <c r="I695" s="86">
        <v>46162</v>
      </c>
      <c r="J695" s="37" t="s">
        <v>4</v>
      </c>
      <c r="K695" s="38">
        <f t="shared" si="50"/>
        <v>1</v>
      </c>
      <c r="L695" s="39">
        <f t="shared" si="51"/>
        <v>0</v>
      </c>
      <c r="M695" s="40">
        <f t="shared" ca="1" si="52"/>
        <v>49</v>
      </c>
      <c r="N695">
        <f t="shared" si="53"/>
        <v>21</v>
      </c>
      <c r="O695" t="str">
        <f t="shared" si="54"/>
        <v>Switch</v>
      </c>
    </row>
    <row r="696" spans="1:15" ht="14.25" customHeight="1">
      <c r="A696">
        <v>453</v>
      </c>
      <c r="B696" s="35" t="s">
        <v>22</v>
      </c>
      <c r="C696" s="36" t="s">
        <v>512</v>
      </c>
      <c r="D696" s="37" t="s">
        <v>547</v>
      </c>
      <c r="E696" s="37" t="s">
        <v>74</v>
      </c>
      <c r="F696" s="37">
        <v>1</v>
      </c>
      <c r="G696" s="37"/>
      <c r="H696" s="86"/>
      <c r="I696" s="86">
        <v>46162</v>
      </c>
      <c r="J696" s="37" t="s">
        <v>4</v>
      </c>
      <c r="K696" s="38">
        <f t="shared" si="50"/>
        <v>1</v>
      </c>
      <c r="L696" s="39">
        <f t="shared" si="51"/>
        <v>0</v>
      </c>
      <c r="M696" s="40">
        <f t="shared" ca="1" si="52"/>
        <v>49</v>
      </c>
      <c r="N696">
        <f t="shared" si="53"/>
        <v>21</v>
      </c>
      <c r="O696" t="str">
        <f t="shared" si="54"/>
        <v>Switch</v>
      </c>
    </row>
    <row r="697" spans="1:15" ht="14.25" customHeight="1">
      <c r="A697">
        <v>456</v>
      </c>
      <c r="B697" s="35" t="s">
        <v>22</v>
      </c>
      <c r="C697" s="36" t="s">
        <v>512</v>
      </c>
      <c r="D697" s="37" t="s">
        <v>548</v>
      </c>
      <c r="E697" s="37" t="s">
        <v>80</v>
      </c>
      <c r="F697" s="37">
        <v>1</v>
      </c>
      <c r="G697" s="37"/>
      <c r="H697" s="86"/>
      <c r="I697" s="86">
        <v>46163</v>
      </c>
      <c r="J697" s="37" t="s">
        <v>4</v>
      </c>
      <c r="K697" s="38">
        <f t="shared" si="50"/>
        <v>1</v>
      </c>
      <c r="L697" s="39">
        <f t="shared" si="51"/>
        <v>0</v>
      </c>
      <c r="M697" s="40">
        <f t="shared" ca="1" si="52"/>
        <v>50</v>
      </c>
      <c r="N697">
        <f t="shared" si="53"/>
        <v>21</v>
      </c>
      <c r="O697" t="str">
        <f t="shared" si="54"/>
        <v>Switch</v>
      </c>
    </row>
    <row r="698" spans="1:15" ht="14.25" customHeight="1">
      <c r="A698">
        <v>455</v>
      </c>
      <c r="B698" s="35" t="s">
        <v>22</v>
      </c>
      <c r="C698" s="36" t="s">
        <v>512</v>
      </c>
      <c r="D698" s="37" t="s">
        <v>548</v>
      </c>
      <c r="E698" s="37" t="s">
        <v>74</v>
      </c>
      <c r="F698" s="37">
        <v>1</v>
      </c>
      <c r="G698" s="37"/>
      <c r="H698" s="86"/>
      <c r="I698" s="86">
        <v>46163</v>
      </c>
      <c r="J698" s="37" t="s">
        <v>4</v>
      </c>
      <c r="K698" s="38">
        <f t="shared" si="50"/>
        <v>1</v>
      </c>
      <c r="L698" s="39">
        <f t="shared" si="51"/>
        <v>0</v>
      </c>
      <c r="M698" s="40">
        <f t="shared" ca="1" si="52"/>
        <v>50</v>
      </c>
      <c r="N698">
        <f t="shared" si="53"/>
        <v>21</v>
      </c>
      <c r="O698" t="str">
        <f t="shared" si="54"/>
        <v>Switch</v>
      </c>
    </row>
    <row r="699" spans="1:15" ht="14.25" customHeight="1">
      <c r="A699">
        <v>458</v>
      </c>
      <c r="B699" s="35" t="s">
        <v>22</v>
      </c>
      <c r="C699" s="36" t="s">
        <v>512</v>
      </c>
      <c r="D699" s="37" t="s">
        <v>549</v>
      </c>
      <c r="E699" s="37" t="s">
        <v>80</v>
      </c>
      <c r="F699" s="37">
        <v>1</v>
      </c>
      <c r="G699" s="37"/>
      <c r="H699" s="86"/>
      <c r="I699" s="86">
        <v>46163</v>
      </c>
      <c r="J699" s="37" t="s">
        <v>4</v>
      </c>
      <c r="K699" s="38">
        <f t="shared" si="50"/>
        <v>1</v>
      </c>
      <c r="L699" s="39">
        <f t="shared" si="51"/>
        <v>0</v>
      </c>
      <c r="M699" s="40">
        <f t="shared" ca="1" si="52"/>
        <v>50</v>
      </c>
      <c r="N699">
        <f t="shared" si="53"/>
        <v>21</v>
      </c>
      <c r="O699" t="str">
        <f t="shared" si="54"/>
        <v>Switch</v>
      </c>
    </row>
    <row r="700" spans="1:15" ht="14.25" customHeight="1">
      <c r="A700">
        <v>457</v>
      </c>
      <c r="B700" s="35" t="s">
        <v>22</v>
      </c>
      <c r="C700" s="36" t="s">
        <v>512</v>
      </c>
      <c r="D700" s="37" t="s">
        <v>549</v>
      </c>
      <c r="E700" s="37" t="s">
        <v>74</v>
      </c>
      <c r="F700" s="37">
        <v>1</v>
      </c>
      <c r="G700" s="37"/>
      <c r="H700" s="86"/>
      <c r="I700" s="86">
        <v>46163</v>
      </c>
      <c r="J700" s="37" t="s">
        <v>4</v>
      </c>
      <c r="K700" s="38">
        <f t="shared" si="50"/>
        <v>1</v>
      </c>
      <c r="L700" s="39">
        <f t="shared" si="51"/>
        <v>0</v>
      </c>
      <c r="M700" s="40">
        <f t="shared" ca="1" si="52"/>
        <v>50</v>
      </c>
      <c r="N700">
        <f t="shared" si="53"/>
        <v>21</v>
      </c>
      <c r="O700" t="str">
        <f t="shared" si="54"/>
        <v>Switch</v>
      </c>
    </row>
    <row r="701" spans="1:15" ht="14.25" customHeight="1">
      <c r="A701">
        <v>459</v>
      </c>
      <c r="B701" s="35" t="s">
        <v>22</v>
      </c>
      <c r="C701" s="36" t="s">
        <v>512</v>
      </c>
      <c r="D701" s="37" t="s">
        <v>550</v>
      </c>
      <c r="E701" s="37" t="s">
        <v>74</v>
      </c>
      <c r="F701" s="37">
        <v>1</v>
      </c>
      <c r="G701" s="37"/>
      <c r="H701" s="86"/>
      <c r="I701" s="86">
        <v>46163</v>
      </c>
      <c r="J701" s="37" t="s">
        <v>4</v>
      </c>
      <c r="K701" s="38">
        <f t="shared" si="50"/>
        <v>1</v>
      </c>
      <c r="L701" s="39">
        <f t="shared" si="51"/>
        <v>0</v>
      </c>
      <c r="M701" s="40">
        <f t="shared" ca="1" si="52"/>
        <v>50</v>
      </c>
      <c r="N701">
        <f t="shared" si="53"/>
        <v>21</v>
      </c>
      <c r="O701" t="str">
        <f t="shared" si="54"/>
        <v>Switch</v>
      </c>
    </row>
    <row r="702" spans="1:15" ht="14.25" customHeight="1">
      <c r="A702">
        <v>461</v>
      </c>
      <c r="B702" s="35" t="s">
        <v>22</v>
      </c>
      <c r="C702" s="36" t="s">
        <v>512</v>
      </c>
      <c r="D702" s="37" t="s">
        <v>551</v>
      </c>
      <c r="E702" s="37" t="s">
        <v>80</v>
      </c>
      <c r="F702" s="37">
        <v>1</v>
      </c>
      <c r="G702" s="37"/>
      <c r="H702" s="86"/>
      <c r="I702" s="86">
        <v>46163</v>
      </c>
      <c r="J702" s="37" t="s">
        <v>4</v>
      </c>
      <c r="K702" s="38">
        <f t="shared" si="50"/>
        <v>1</v>
      </c>
      <c r="L702" s="39">
        <f t="shared" si="51"/>
        <v>0</v>
      </c>
      <c r="M702" s="40">
        <f t="shared" ca="1" si="52"/>
        <v>50</v>
      </c>
      <c r="N702">
        <f t="shared" si="53"/>
        <v>21</v>
      </c>
      <c r="O702" t="str">
        <f t="shared" si="54"/>
        <v>Switch</v>
      </c>
    </row>
    <row r="703" spans="1:15" ht="14.25" customHeight="1">
      <c r="A703">
        <v>460</v>
      </c>
      <c r="B703" s="35" t="s">
        <v>22</v>
      </c>
      <c r="C703" s="36" t="s">
        <v>512</v>
      </c>
      <c r="D703" s="37" t="s">
        <v>551</v>
      </c>
      <c r="E703" s="37" t="s">
        <v>74</v>
      </c>
      <c r="F703" s="37">
        <v>2</v>
      </c>
      <c r="G703" s="37"/>
      <c r="H703" s="86"/>
      <c r="I703" s="86">
        <v>46163</v>
      </c>
      <c r="J703" s="37" t="s">
        <v>4</v>
      </c>
      <c r="K703" s="38">
        <f t="shared" si="50"/>
        <v>2</v>
      </c>
      <c r="L703" s="39">
        <f t="shared" si="51"/>
        <v>0</v>
      </c>
      <c r="M703" s="40">
        <f t="shared" ca="1" si="52"/>
        <v>50</v>
      </c>
      <c r="N703">
        <f t="shared" si="53"/>
        <v>21</v>
      </c>
      <c r="O703" t="str">
        <f t="shared" si="54"/>
        <v>Switch</v>
      </c>
    </row>
    <row r="704" spans="1:15" ht="14.25" customHeight="1">
      <c r="A704">
        <v>463</v>
      </c>
      <c r="B704" s="35" t="s">
        <v>22</v>
      </c>
      <c r="C704" s="36" t="s">
        <v>512</v>
      </c>
      <c r="D704" s="37" t="s">
        <v>552</v>
      </c>
      <c r="E704" s="37" t="s">
        <v>80</v>
      </c>
      <c r="F704" s="37">
        <v>1</v>
      </c>
      <c r="G704" s="37"/>
      <c r="H704" s="86"/>
      <c r="I704" s="86">
        <v>46163</v>
      </c>
      <c r="J704" s="37" t="s">
        <v>4</v>
      </c>
      <c r="K704" s="38">
        <f t="shared" si="50"/>
        <v>1</v>
      </c>
      <c r="L704" s="39">
        <f t="shared" si="51"/>
        <v>0</v>
      </c>
      <c r="M704" s="40">
        <f t="shared" ca="1" si="52"/>
        <v>50</v>
      </c>
      <c r="N704">
        <f t="shared" si="53"/>
        <v>21</v>
      </c>
      <c r="O704" t="str">
        <f t="shared" si="54"/>
        <v>Switch</v>
      </c>
    </row>
    <row r="705" spans="1:15" ht="14.25" customHeight="1">
      <c r="A705">
        <v>462</v>
      </c>
      <c r="B705" s="35" t="s">
        <v>22</v>
      </c>
      <c r="C705" s="36" t="s">
        <v>512</v>
      </c>
      <c r="D705" s="37" t="s">
        <v>552</v>
      </c>
      <c r="E705" s="37" t="s">
        <v>74</v>
      </c>
      <c r="F705" s="37">
        <v>2</v>
      </c>
      <c r="G705" s="37"/>
      <c r="H705" s="86"/>
      <c r="I705" s="86">
        <v>46163</v>
      </c>
      <c r="J705" s="37" t="s">
        <v>4</v>
      </c>
      <c r="K705" s="38">
        <f t="shared" si="50"/>
        <v>2</v>
      </c>
      <c r="L705" s="39">
        <f t="shared" si="51"/>
        <v>0</v>
      </c>
      <c r="M705" s="40">
        <f t="shared" ca="1" si="52"/>
        <v>50</v>
      </c>
      <c r="N705">
        <f t="shared" si="53"/>
        <v>21</v>
      </c>
      <c r="O705" t="str">
        <f t="shared" si="54"/>
        <v>Switch</v>
      </c>
    </row>
    <row r="706" spans="1:15" ht="14.25" customHeight="1">
      <c r="A706">
        <v>465</v>
      </c>
      <c r="B706" s="35" t="s">
        <v>22</v>
      </c>
      <c r="C706" s="36" t="s">
        <v>512</v>
      </c>
      <c r="D706" s="37" t="s">
        <v>553</v>
      </c>
      <c r="E706" s="37" t="s">
        <v>80</v>
      </c>
      <c r="F706" s="37">
        <v>1</v>
      </c>
      <c r="G706" s="37"/>
      <c r="H706" s="86"/>
      <c r="I706" s="86">
        <v>46164</v>
      </c>
      <c r="J706" s="37" t="s">
        <v>4</v>
      </c>
      <c r="K706" s="38">
        <f t="shared" ref="K706:K740" si="55">F706-G706</f>
        <v>1</v>
      </c>
      <c r="L706" s="39">
        <f t="shared" ref="L706:L740" si="56">IF(F706=0,"",G706/F706)</f>
        <v>0</v>
      </c>
      <c r="M706" s="40">
        <f t="shared" ref="M706:M740" ca="1" si="57">I706-TODAY()</f>
        <v>51</v>
      </c>
      <c r="N706">
        <f t="shared" ref="N706:N740" si="58">_xlfn.ISOWEEKNUM(I706)</f>
        <v>21</v>
      </c>
      <c r="O706" t="str">
        <f t="shared" ref="O706:O740" si="59">IF(ISNUMBER(SEARCH("Access Point",E706)),"AP",IF(OR(ISNUMBER(SEARCH("Switch",E706)),ISNUMBER(SEARCH("Control Type",E706))),"Switch","Infra"))</f>
        <v>Switch</v>
      </c>
    </row>
    <row r="707" spans="1:15" ht="14.25" customHeight="1">
      <c r="A707">
        <v>464</v>
      </c>
      <c r="B707" s="35" t="s">
        <v>22</v>
      </c>
      <c r="C707" s="36" t="s">
        <v>512</v>
      </c>
      <c r="D707" s="37" t="s">
        <v>553</v>
      </c>
      <c r="E707" s="37" t="s">
        <v>74</v>
      </c>
      <c r="F707" s="37">
        <v>2</v>
      </c>
      <c r="G707" s="37"/>
      <c r="H707" s="86"/>
      <c r="I707" s="86">
        <v>46164</v>
      </c>
      <c r="J707" s="37" t="s">
        <v>4</v>
      </c>
      <c r="K707" s="38">
        <f t="shared" si="55"/>
        <v>2</v>
      </c>
      <c r="L707" s="39">
        <f t="shared" si="56"/>
        <v>0</v>
      </c>
      <c r="M707" s="40">
        <f t="shared" ca="1" si="57"/>
        <v>51</v>
      </c>
      <c r="N707">
        <f t="shared" si="58"/>
        <v>21</v>
      </c>
      <c r="O707" t="str">
        <f t="shared" si="59"/>
        <v>Switch</v>
      </c>
    </row>
    <row r="708" spans="1:15" ht="14.25" customHeight="1">
      <c r="A708">
        <v>467</v>
      </c>
      <c r="B708" s="35" t="s">
        <v>22</v>
      </c>
      <c r="C708" s="36" t="s">
        <v>512</v>
      </c>
      <c r="D708" s="37" t="s">
        <v>554</v>
      </c>
      <c r="E708" s="37" t="s">
        <v>80</v>
      </c>
      <c r="F708" s="37">
        <v>1</v>
      </c>
      <c r="G708" s="37"/>
      <c r="H708" s="86"/>
      <c r="I708" s="86">
        <v>46164</v>
      </c>
      <c r="J708" s="37" t="s">
        <v>4</v>
      </c>
      <c r="K708" s="38">
        <f t="shared" si="55"/>
        <v>1</v>
      </c>
      <c r="L708" s="39">
        <f t="shared" si="56"/>
        <v>0</v>
      </c>
      <c r="M708" s="40">
        <f t="shared" ca="1" si="57"/>
        <v>51</v>
      </c>
      <c r="N708">
        <f t="shared" si="58"/>
        <v>21</v>
      </c>
      <c r="O708" t="str">
        <f t="shared" si="59"/>
        <v>Switch</v>
      </c>
    </row>
    <row r="709" spans="1:15" ht="14.25" customHeight="1">
      <c r="A709">
        <v>466</v>
      </c>
      <c r="B709" s="35" t="s">
        <v>22</v>
      </c>
      <c r="C709" s="36" t="s">
        <v>512</v>
      </c>
      <c r="D709" s="37" t="s">
        <v>554</v>
      </c>
      <c r="E709" s="37" t="s">
        <v>74</v>
      </c>
      <c r="F709" s="37">
        <v>2</v>
      </c>
      <c r="G709" s="37"/>
      <c r="H709" s="86"/>
      <c r="I709" s="86">
        <v>46164</v>
      </c>
      <c r="J709" s="37" t="s">
        <v>4</v>
      </c>
      <c r="K709" s="38">
        <f t="shared" si="55"/>
        <v>2</v>
      </c>
      <c r="L709" s="39">
        <f t="shared" si="56"/>
        <v>0</v>
      </c>
      <c r="M709" s="40">
        <f t="shared" ca="1" si="57"/>
        <v>51</v>
      </c>
      <c r="N709">
        <f t="shared" si="58"/>
        <v>21</v>
      </c>
      <c r="O709" t="str">
        <f t="shared" si="59"/>
        <v>Switch</v>
      </c>
    </row>
    <row r="710" spans="1:15" ht="14.25" customHeight="1">
      <c r="A710">
        <v>469</v>
      </c>
      <c r="B710" s="35" t="s">
        <v>22</v>
      </c>
      <c r="C710" s="36" t="s">
        <v>512</v>
      </c>
      <c r="D710" s="37" t="s">
        <v>555</v>
      </c>
      <c r="E710" s="37" t="s">
        <v>80</v>
      </c>
      <c r="F710" s="37">
        <v>1</v>
      </c>
      <c r="G710" s="37"/>
      <c r="H710" s="86"/>
      <c r="I710" s="86">
        <v>46164</v>
      </c>
      <c r="J710" s="37" t="s">
        <v>4</v>
      </c>
      <c r="K710" s="38">
        <f t="shared" si="55"/>
        <v>1</v>
      </c>
      <c r="L710" s="39">
        <f t="shared" si="56"/>
        <v>0</v>
      </c>
      <c r="M710" s="40">
        <f t="shared" ca="1" si="57"/>
        <v>51</v>
      </c>
      <c r="N710">
        <f t="shared" si="58"/>
        <v>21</v>
      </c>
      <c r="O710" t="str">
        <f t="shared" si="59"/>
        <v>Switch</v>
      </c>
    </row>
    <row r="711" spans="1:15" ht="14.25" customHeight="1">
      <c r="A711">
        <v>468</v>
      </c>
      <c r="B711" s="35" t="s">
        <v>22</v>
      </c>
      <c r="C711" s="36" t="s">
        <v>512</v>
      </c>
      <c r="D711" s="37" t="s">
        <v>555</v>
      </c>
      <c r="E711" s="37" t="s">
        <v>74</v>
      </c>
      <c r="F711" s="37">
        <v>2</v>
      </c>
      <c r="G711" s="37"/>
      <c r="H711" s="86"/>
      <c r="I711" s="86">
        <v>46164</v>
      </c>
      <c r="J711" s="37" t="s">
        <v>4</v>
      </c>
      <c r="K711" s="38">
        <f t="shared" si="55"/>
        <v>2</v>
      </c>
      <c r="L711" s="39">
        <f t="shared" si="56"/>
        <v>0</v>
      </c>
      <c r="M711" s="40">
        <f t="shared" ca="1" si="57"/>
        <v>51</v>
      </c>
      <c r="N711">
        <f t="shared" si="58"/>
        <v>21</v>
      </c>
      <c r="O711" t="str">
        <f t="shared" si="59"/>
        <v>Switch</v>
      </c>
    </row>
    <row r="712" spans="1:15" ht="14.25" hidden="1" customHeight="1">
      <c r="A712">
        <v>473</v>
      </c>
      <c r="B712" s="35" t="s">
        <v>22</v>
      </c>
      <c r="C712" s="36" t="s">
        <v>512</v>
      </c>
      <c r="D712" s="37" t="s">
        <v>556</v>
      </c>
      <c r="E712" s="37" t="s">
        <v>118</v>
      </c>
      <c r="F712" s="37">
        <v>1</v>
      </c>
      <c r="G712" s="37"/>
      <c r="H712" s="86"/>
      <c r="I712" s="86">
        <v>46164</v>
      </c>
      <c r="J712" s="37" t="s">
        <v>4</v>
      </c>
      <c r="K712" s="38">
        <f t="shared" si="55"/>
        <v>1</v>
      </c>
      <c r="L712" s="39">
        <f t="shared" si="56"/>
        <v>0</v>
      </c>
      <c r="M712" s="40">
        <f t="shared" ca="1" si="57"/>
        <v>51</v>
      </c>
      <c r="N712">
        <f t="shared" si="58"/>
        <v>21</v>
      </c>
      <c r="O712" t="str">
        <f t="shared" si="59"/>
        <v>Switch</v>
      </c>
    </row>
    <row r="713" spans="1:15" ht="14.25" hidden="1" customHeight="1">
      <c r="A713">
        <v>472</v>
      </c>
      <c r="B713" s="35" t="s">
        <v>22</v>
      </c>
      <c r="C713" s="36" t="s">
        <v>512</v>
      </c>
      <c r="D713" s="37" t="s">
        <v>556</v>
      </c>
      <c r="E713" s="37" t="s">
        <v>90</v>
      </c>
      <c r="F713" s="37">
        <v>1</v>
      </c>
      <c r="G713" s="37"/>
      <c r="H713" s="86"/>
      <c r="I713" s="86">
        <v>46164</v>
      </c>
      <c r="J713" s="37" t="s">
        <v>4</v>
      </c>
      <c r="K713" s="38">
        <f t="shared" si="55"/>
        <v>1</v>
      </c>
      <c r="L713" s="39">
        <f t="shared" si="56"/>
        <v>0</v>
      </c>
      <c r="M713" s="40">
        <f t="shared" ca="1" si="57"/>
        <v>51</v>
      </c>
      <c r="N713">
        <f t="shared" si="58"/>
        <v>21</v>
      </c>
      <c r="O713" t="str">
        <f t="shared" si="59"/>
        <v>Switch</v>
      </c>
    </row>
    <row r="714" spans="1:15" ht="14.25" customHeight="1">
      <c r="A714">
        <v>471</v>
      </c>
      <c r="B714" s="35" t="s">
        <v>22</v>
      </c>
      <c r="C714" s="36" t="s">
        <v>512</v>
      </c>
      <c r="D714" s="37" t="s">
        <v>556</v>
      </c>
      <c r="E714" s="37" t="s">
        <v>80</v>
      </c>
      <c r="F714" s="37">
        <v>1</v>
      </c>
      <c r="G714" s="37"/>
      <c r="H714" s="86"/>
      <c r="I714" s="86">
        <v>46164</v>
      </c>
      <c r="J714" s="37" t="s">
        <v>4</v>
      </c>
      <c r="K714" s="38">
        <f t="shared" si="55"/>
        <v>1</v>
      </c>
      <c r="L714" s="39">
        <f t="shared" si="56"/>
        <v>0</v>
      </c>
      <c r="M714" s="40">
        <f t="shared" ca="1" si="57"/>
        <v>51</v>
      </c>
      <c r="N714">
        <f t="shared" si="58"/>
        <v>21</v>
      </c>
      <c r="O714" t="str">
        <f t="shared" si="59"/>
        <v>Switch</v>
      </c>
    </row>
    <row r="715" spans="1:15" ht="14.25" customHeight="1">
      <c r="A715">
        <v>470</v>
      </c>
      <c r="B715" s="35" t="s">
        <v>22</v>
      </c>
      <c r="C715" s="36" t="s">
        <v>512</v>
      </c>
      <c r="D715" s="37" t="s">
        <v>556</v>
      </c>
      <c r="E715" s="37" t="s">
        <v>74</v>
      </c>
      <c r="F715" s="37">
        <v>1</v>
      </c>
      <c r="G715" s="37"/>
      <c r="H715" s="86"/>
      <c r="I715" s="86">
        <v>46164</v>
      </c>
      <c r="J715" s="37" t="s">
        <v>4</v>
      </c>
      <c r="K715" s="38">
        <f t="shared" si="55"/>
        <v>1</v>
      </c>
      <c r="L715" s="39">
        <f t="shared" si="56"/>
        <v>0</v>
      </c>
      <c r="M715" s="40">
        <f t="shared" ca="1" si="57"/>
        <v>51</v>
      </c>
      <c r="N715">
        <f t="shared" si="58"/>
        <v>21</v>
      </c>
      <c r="O715" t="str">
        <f t="shared" si="59"/>
        <v>Switch</v>
      </c>
    </row>
    <row r="716" spans="1:15" ht="14.25" customHeight="1">
      <c r="A716">
        <v>475</v>
      </c>
      <c r="B716" s="35" t="s">
        <v>22</v>
      </c>
      <c r="C716" s="36" t="s">
        <v>512</v>
      </c>
      <c r="D716" s="37" t="s">
        <v>557</v>
      </c>
      <c r="E716" s="37" t="s">
        <v>80</v>
      </c>
      <c r="F716" s="37">
        <v>1</v>
      </c>
      <c r="G716" s="37"/>
      <c r="H716" s="86"/>
      <c r="I716" s="86">
        <v>46167</v>
      </c>
      <c r="J716" s="37" t="s">
        <v>4</v>
      </c>
      <c r="K716" s="38">
        <f t="shared" si="55"/>
        <v>1</v>
      </c>
      <c r="L716" s="39">
        <f t="shared" si="56"/>
        <v>0</v>
      </c>
      <c r="M716" s="40">
        <f t="shared" ca="1" si="57"/>
        <v>54</v>
      </c>
      <c r="N716">
        <f t="shared" si="58"/>
        <v>22</v>
      </c>
      <c r="O716" t="str">
        <f t="shared" si="59"/>
        <v>Switch</v>
      </c>
    </row>
    <row r="717" spans="1:15" ht="14.25" customHeight="1">
      <c r="A717">
        <v>474</v>
      </c>
      <c r="B717" s="35" t="s">
        <v>22</v>
      </c>
      <c r="C717" s="36" t="s">
        <v>512</v>
      </c>
      <c r="D717" s="37" t="s">
        <v>557</v>
      </c>
      <c r="E717" s="37" t="s">
        <v>74</v>
      </c>
      <c r="F717" s="37">
        <v>1</v>
      </c>
      <c r="G717" s="37"/>
      <c r="H717" s="86"/>
      <c r="I717" s="86">
        <v>46167</v>
      </c>
      <c r="J717" s="37" t="s">
        <v>4</v>
      </c>
      <c r="K717" s="38">
        <f t="shared" si="55"/>
        <v>1</v>
      </c>
      <c r="L717" s="39">
        <f t="shared" si="56"/>
        <v>0</v>
      </c>
      <c r="M717" s="40">
        <f t="shared" ca="1" si="57"/>
        <v>54</v>
      </c>
      <c r="N717">
        <f t="shared" si="58"/>
        <v>22</v>
      </c>
      <c r="O717" t="str">
        <f t="shared" si="59"/>
        <v>Switch</v>
      </c>
    </row>
    <row r="718" spans="1:15" ht="14.25" hidden="1" customHeight="1">
      <c r="A718">
        <v>479</v>
      </c>
      <c r="B718" s="35" t="s">
        <v>22</v>
      </c>
      <c r="C718" s="36" t="s">
        <v>512</v>
      </c>
      <c r="D718" s="37" t="s">
        <v>558</v>
      </c>
      <c r="E718" s="37" t="s">
        <v>118</v>
      </c>
      <c r="F718" s="37">
        <v>1</v>
      </c>
      <c r="G718" s="37"/>
      <c r="H718" s="86"/>
      <c r="I718" s="86">
        <v>46167</v>
      </c>
      <c r="J718" s="37" t="s">
        <v>4</v>
      </c>
      <c r="K718" s="38">
        <f t="shared" si="55"/>
        <v>1</v>
      </c>
      <c r="L718" s="39">
        <f t="shared" si="56"/>
        <v>0</v>
      </c>
      <c r="M718" s="40">
        <f t="shared" ca="1" si="57"/>
        <v>54</v>
      </c>
      <c r="N718">
        <f t="shared" si="58"/>
        <v>22</v>
      </c>
      <c r="O718" t="str">
        <f t="shared" si="59"/>
        <v>Switch</v>
      </c>
    </row>
    <row r="719" spans="1:15" ht="14.25" hidden="1" customHeight="1">
      <c r="A719">
        <v>478</v>
      </c>
      <c r="B719" s="35" t="s">
        <v>22</v>
      </c>
      <c r="C719" s="36" t="s">
        <v>512</v>
      </c>
      <c r="D719" s="37" t="s">
        <v>558</v>
      </c>
      <c r="E719" s="37" t="s">
        <v>90</v>
      </c>
      <c r="F719" s="37">
        <v>1</v>
      </c>
      <c r="G719" s="37"/>
      <c r="H719" s="86"/>
      <c r="I719" s="86">
        <v>46167</v>
      </c>
      <c r="J719" s="37" t="s">
        <v>4</v>
      </c>
      <c r="K719" s="38">
        <f t="shared" si="55"/>
        <v>1</v>
      </c>
      <c r="L719" s="39">
        <f t="shared" si="56"/>
        <v>0</v>
      </c>
      <c r="M719" s="40">
        <f t="shared" ca="1" si="57"/>
        <v>54</v>
      </c>
      <c r="N719">
        <f t="shared" si="58"/>
        <v>22</v>
      </c>
      <c r="O719" t="str">
        <f t="shared" si="59"/>
        <v>Switch</v>
      </c>
    </row>
    <row r="720" spans="1:15" ht="14.25" customHeight="1">
      <c r="A720">
        <v>477</v>
      </c>
      <c r="B720" s="35" t="s">
        <v>22</v>
      </c>
      <c r="C720" s="36" t="s">
        <v>512</v>
      </c>
      <c r="D720" s="37" t="s">
        <v>558</v>
      </c>
      <c r="E720" s="37" t="s">
        <v>80</v>
      </c>
      <c r="F720" s="37">
        <v>1</v>
      </c>
      <c r="G720" s="37"/>
      <c r="H720" s="86"/>
      <c r="I720" s="86">
        <v>46167</v>
      </c>
      <c r="J720" s="37" t="s">
        <v>4</v>
      </c>
      <c r="K720" s="38">
        <f t="shared" si="55"/>
        <v>1</v>
      </c>
      <c r="L720" s="39">
        <f t="shared" si="56"/>
        <v>0</v>
      </c>
      <c r="M720" s="40">
        <f t="shared" ca="1" si="57"/>
        <v>54</v>
      </c>
      <c r="N720">
        <f t="shared" si="58"/>
        <v>22</v>
      </c>
      <c r="O720" t="str">
        <f t="shared" si="59"/>
        <v>Switch</v>
      </c>
    </row>
    <row r="721" spans="1:15" ht="14.25" customHeight="1">
      <c r="A721">
        <v>476</v>
      </c>
      <c r="B721" s="35" t="s">
        <v>22</v>
      </c>
      <c r="C721" s="36" t="s">
        <v>512</v>
      </c>
      <c r="D721" s="37" t="s">
        <v>558</v>
      </c>
      <c r="E721" s="37" t="s">
        <v>74</v>
      </c>
      <c r="F721" s="37">
        <v>2</v>
      </c>
      <c r="G721" s="37"/>
      <c r="H721" s="86"/>
      <c r="I721" s="86">
        <v>46167</v>
      </c>
      <c r="J721" s="37" t="s">
        <v>4</v>
      </c>
      <c r="K721" s="38">
        <f t="shared" si="55"/>
        <v>2</v>
      </c>
      <c r="L721" s="39">
        <f t="shared" si="56"/>
        <v>0</v>
      </c>
      <c r="M721" s="40">
        <f t="shared" ca="1" si="57"/>
        <v>54</v>
      </c>
      <c r="N721">
        <f t="shared" si="58"/>
        <v>22</v>
      </c>
      <c r="O721" t="str">
        <f t="shared" si="59"/>
        <v>Switch</v>
      </c>
    </row>
    <row r="722" spans="1:15" ht="14.25" customHeight="1">
      <c r="A722">
        <v>481</v>
      </c>
      <c r="B722" s="35" t="s">
        <v>22</v>
      </c>
      <c r="C722" s="36" t="s">
        <v>512</v>
      </c>
      <c r="D722" s="37" t="s">
        <v>559</v>
      </c>
      <c r="E722" s="37" t="s">
        <v>80</v>
      </c>
      <c r="F722" s="37">
        <v>1</v>
      </c>
      <c r="G722" s="37"/>
      <c r="H722" s="86"/>
      <c r="I722" s="86">
        <v>46167</v>
      </c>
      <c r="J722" s="37" t="s">
        <v>4</v>
      </c>
      <c r="K722" s="38">
        <f t="shared" si="55"/>
        <v>1</v>
      </c>
      <c r="L722" s="39">
        <f t="shared" si="56"/>
        <v>0</v>
      </c>
      <c r="M722" s="40">
        <f t="shared" ca="1" si="57"/>
        <v>54</v>
      </c>
      <c r="N722">
        <f t="shared" si="58"/>
        <v>22</v>
      </c>
      <c r="O722" t="str">
        <f t="shared" si="59"/>
        <v>Switch</v>
      </c>
    </row>
    <row r="723" spans="1:15" ht="14.25" customHeight="1">
      <c r="A723">
        <v>480</v>
      </c>
      <c r="B723" s="35" t="s">
        <v>22</v>
      </c>
      <c r="C723" s="36" t="s">
        <v>512</v>
      </c>
      <c r="D723" s="37" t="s">
        <v>559</v>
      </c>
      <c r="E723" s="37" t="s">
        <v>74</v>
      </c>
      <c r="F723" s="37">
        <v>1</v>
      </c>
      <c r="G723" s="37"/>
      <c r="H723" s="86"/>
      <c r="I723" s="86">
        <v>46167</v>
      </c>
      <c r="J723" s="37" t="s">
        <v>4</v>
      </c>
      <c r="K723" s="38">
        <f t="shared" si="55"/>
        <v>1</v>
      </c>
      <c r="L723" s="39">
        <f t="shared" si="56"/>
        <v>0</v>
      </c>
      <c r="M723" s="40">
        <f t="shared" ca="1" si="57"/>
        <v>54</v>
      </c>
      <c r="N723">
        <f t="shared" si="58"/>
        <v>22</v>
      </c>
      <c r="O723" t="str">
        <f t="shared" si="59"/>
        <v>Switch</v>
      </c>
    </row>
    <row r="724" spans="1:15" ht="14.25" hidden="1" customHeight="1">
      <c r="A724">
        <v>485</v>
      </c>
      <c r="B724" s="35" t="s">
        <v>22</v>
      </c>
      <c r="C724" s="36" t="s">
        <v>512</v>
      </c>
      <c r="D724" s="37" t="s">
        <v>560</v>
      </c>
      <c r="E724" s="37" t="s">
        <v>118</v>
      </c>
      <c r="F724" s="37">
        <v>1</v>
      </c>
      <c r="G724" s="37"/>
      <c r="H724" s="86"/>
      <c r="I724" s="86">
        <v>46167</v>
      </c>
      <c r="J724" s="37" t="s">
        <v>4</v>
      </c>
      <c r="K724" s="38">
        <f t="shared" si="55"/>
        <v>1</v>
      </c>
      <c r="L724" s="39">
        <f t="shared" si="56"/>
        <v>0</v>
      </c>
      <c r="M724" s="40">
        <f t="shared" ca="1" si="57"/>
        <v>54</v>
      </c>
      <c r="N724">
        <f t="shared" si="58"/>
        <v>22</v>
      </c>
      <c r="O724" t="str">
        <f t="shared" si="59"/>
        <v>Switch</v>
      </c>
    </row>
    <row r="725" spans="1:15" ht="14.25" hidden="1" customHeight="1">
      <c r="A725">
        <v>484</v>
      </c>
      <c r="B725" s="35" t="s">
        <v>22</v>
      </c>
      <c r="C725" s="36" t="s">
        <v>512</v>
      </c>
      <c r="D725" s="37" t="s">
        <v>560</v>
      </c>
      <c r="E725" s="37" t="s">
        <v>90</v>
      </c>
      <c r="F725" s="37">
        <v>1</v>
      </c>
      <c r="G725" s="37"/>
      <c r="H725" s="86"/>
      <c r="I725" s="86">
        <v>46167</v>
      </c>
      <c r="J725" s="37" t="s">
        <v>4</v>
      </c>
      <c r="K725" s="38">
        <f t="shared" si="55"/>
        <v>1</v>
      </c>
      <c r="L725" s="39">
        <f t="shared" si="56"/>
        <v>0</v>
      </c>
      <c r="M725" s="40">
        <f t="shared" ca="1" si="57"/>
        <v>54</v>
      </c>
      <c r="N725">
        <f t="shared" si="58"/>
        <v>22</v>
      </c>
      <c r="O725" t="str">
        <f t="shared" si="59"/>
        <v>Switch</v>
      </c>
    </row>
    <row r="726" spans="1:15" ht="14.25" customHeight="1">
      <c r="A726">
        <v>483</v>
      </c>
      <c r="B726" s="35" t="s">
        <v>22</v>
      </c>
      <c r="C726" s="36" t="s">
        <v>512</v>
      </c>
      <c r="D726" s="37" t="s">
        <v>560</v>
      </c>
      <c r="E726" s="37" t="s">
        <v>80</v>
      </c>
      <c r="F726" s="37">
        <v>1</v>
      </c>
      <c r="G726" s="37"/>
      <c r="H726" s="86"/>
      <c r="I726" s="86">
        <v>46167</v>
      </c>
      <c r="J726" s="37" t="s">
        <v>4</v>
      </c>
      <c r="K726" s="38">
        <f t="shared" si="55"/>
        <v>1</v>
      </c>
      <c r="L726" s="39">
        <f t="shared" si="56"/>
        <v>0</v>
      </c>
      <c r="M726" s="40">
        <f t="shared" ca="1" si="57"/>
        <v>54</v>
      </c>
      <c r="N726">
        <f t="shared" si="58"/>
        <v>22</v>
      </c>
      <c r="O726" t="str">
        <f t="shared" si="59"/>
        <v>Switch</v>
      </c>
    </row>
    <row r="727" spans="1:15" ht="14.25" customHeight="1">
      <c r="A727">
        <v>482</v>
      </c>
      <c r="B727" s="35" t="s">
        <v>22</v>
      </c>
      <c r="C727" s="36" t="s">
        <v>512</v>
      </c>
      <c r="D727" s="37" t="s">
        <v>560</v>
      </c>
      <c r="E727" s="37" t="s">
        <v>74</v>
      </c>
      <c r="F727" s="37">
        <v>1</v>
      </c>
      <c r="G727" s="37"/>
      <c r="H727" s="86"/>
      <c r="I727" s="86">
        <v>46167</v>
      </c>
      <c r="J727" s="37" t="s">
        <v>4</v>
      </c>
      <c r="K727" s="38">
        <f t="shared" si="55"/>
        <v>1</v>
      </c>
      <c r="L727" s="39">
        <f t="shared" si="56"/>
        <v>0</v>
      </c>
      <c r="M727" s="40">
        <f t="shared" ca="1" si="57"/>
        <v>54</v>
      </c>
      <c r="N727">
        <f t="shared" si="58"/>
        <v>22</v>
      </c>
      <c r="O727" t="str">
        <f t="shared" si="59"/>
        <v>Switch</v>
      </c>
    </row>
    <row r="728" spans="1:15" ht="14.25" hidden="1" customHeight="1">
      <c r="A728">
        <v>489</v>
      </c>
      <c r="B728" s="35" t="s">
        <v>22</v>
      </c>
      <c r="C728" s="36" t="s">
        <v>512</v>
      </c>
      <c r="D728" s="37" t="s">
        <v>561</v>
      </c>
      <c r="E728" s="37" t="s">
        <v>118</v>
      </c>
      <c r="F728" s="37">
        <v>1</v>
      </c>
      <c r="G728" s="37"/>
      <c r="H728" s="86"/>
      <c r="I728" s="86">
        <v>46168</v>
      </c>
      <c r="J728" s="37" t="s">
        <v>4</v>
      </c>
      <c r="K728" s="38">
        <f t="shared" si="55"/>
        <v>1</v>
      </c>
      <c r="L728" s="39">
        <f t="shared" si="56"/>
        <v>0</v>
      </c>
      <c r="M728" s="40">
        <f t="shared" ca="1" si="57"/>
        <v>55</v>
      </c>
      <c r="N728">
        <f t="shared" si="58"/>
        <v>22</v>
      </c>
      <c r="O728" t="str">
        <f t="shared" si="59"/>
        <v>Switch</v>
      </c>
    </row>
    <row r="729" spans="1:15" ht="14.25" hidden="1" customHeight="1">
      <c r="A729">
        <v>488</v>
      </c>
      <c r="B729" s="35" t="s">
        <v>22</v>
      </c>
      <c r="C729" s="36" t="s">
        <v>512</v>
      </c>
      <c r="D729" s="37" t="s">
        <v>561</v>
      </c>
      <c r="E729" s="37" t="s">
        <v>90</v>
      </c>
      <c r="F729" s="37">
        <v>1</v>
      </c>
      <c r="G729" s="37"/>
      <c r="H729" s="86"/>
      <c r="I729" s="86">
        <v>46168</v>
      </c>
      <c r="J729" s="37" t="s">
        <v>4</v>
      </c>
      <c r="K729" s="38">
        <f t="shared" si="55"/>
        <v>1</v>
      </c>
      <c r="L729" s="39">
        <f t="shared" si="56"/>
        <v>0</v>
      </c>
      <c r="M729" s="40">
        <f t="shared" ca="1" si="57"/>
        <v>55</v>
      </c>
      <c r="N729">
        <f t="shared" si="58"/>
        <v>22</v>
      </c>
      <c r="O729" t="str">
        <f t="shared" si="59"/>
        <v>Switch</v>
      </c>
    </row>
    <row r="730" spans="1:15" ht="14.25" customHeight="1">
      <c r="A730">
        <v>487</v>
      </c>
      <c r="B730" s="35" t="s">
        <v>22</v>
      </c>
      <c r="C730" s="36" t="s">
        <v>512</v>
      </c>
      <c r="D730" s="37" t="s">
        <v>561</v>
      </c>
      <c r="E730" s="37" t="s">
        <v>80</v>
      </c>
      <c r="F730" s="37">
        <v>1</v>
      </c>
      <c r="G730" s="37"/>
      <c r="H730" s="86"/>
      <c r="I730" s="86">
        <v>46168</v>
      </c>
      <c r="J730" s="37" t="s">
        <v>4</v>
      </c>
      <c r="K730" s="38">
        <f t="shared" si="55"/>
        <v>1</v>
      </c>
      <c r="L730" s="39">
        <f t="shared" si="56"/>
        <v>0</v>
      </c>
      <c r="M730" s="40">
        <f t="shared" ca="1" si="57"/>
        <v>55</v>
      </c>
      <c r="N730">
        <f t="shared" si="58"/>
        <v>22</v>
      </c>
      <c r="O730" t="str">
        <f t="shared" si="59"/>
        <v>Switch</v>
      </c>
    </row>
    <row r="731" spans="1:15" ht="14.25" customHeight="1">
      <c r="A731">
        <v>486</v>
      </c>
      <c r="B731" s="35" t="s">
        <v>22</v>
      </c>
      <c r="C731" s="36" t="s">
        <v>512</v>
      </c>
      <c r="D731" s="37" t="s">
        <v>561</v>
      </c>
      <c r="E731" s="37" t="s">
        <v>74</v>
      </c>
      <c r="F731" s="37">
        <v>2</v>
      </c>
      <c r="G731" s="37"/>
      <c r="H731" s="86"/>
      <c r="I731" s="86">
        <v>46168</v>
      </c>
      <c r="J731" s="37" t="s">
        <v>4</v>
      </c>
      <c r="K731" s="38">
        <f t="shared" si="55"/>
        <v>2</v>
      </c>
      <c r="L731" s="39">
        <f t="shared" si="56"/>
        <v>0</v>
      </c>
      <c r="M731" s="40">
        <f t="shared" ca="1" si="57"/>
        <v>55</v>
      </c>
      <c r="N731">
        <f t="shared" si="58"/>
        <v>22</v>
      </c>
      <c r="O731" t="str">
        <f t="shared" si="59"/>
        <v>Switch</v>
      </c>
    </row>
    <row r="732" spans="1:15" ht="14.25" customHeight="1">
      <c r="A732">
        <v>491</v>
      </c>
      <c r="B732" s="35" t="s">
        <v>22</v>
      </c>
      <c r="C732" s="36" t="s">
        <v>512</v>
      </c>
      <c r="D732" s="37" t="s">
        <v>562</v>
      </c>
      <c r="E732" s="37" t="s">
        <v>80</v>
      </c>
      <c r="F732" s="37">
        <v>1</v>
      </c>
      <c r="G732" s="37"/>
      <c r="H732" s="86"/>
      <c r="I732" s="86">
        <v>46168</v>
      </c>
      <c r="J732" s="37" t="s">
        <v>4</v>
      </c>
      <c r="K732" s="38">
        <f t="shared" si="55"/>
        <v>1</v>
      </c>
      <c r="L732" s="39">
        <f t="shared" si="56"/>
        <v>0</v>
      </c>
      <c r="M732" s="40">
        <f t="shared" ca="1" si="57"/>
        <v>55</v>
      </c>
      <c r="N732">
        <f t="shared" si="58"/>
        <v>22</v>
      </c>
      <c r="O732" t="str">
        <f t="shared" si="59"/>
        <v>Switch</v>
      </c>
    </row>
    <row r="733" spans="1:15" ht="14.25" customHeight="1">
      <c r="A733">
        <v>490</v>
      </c>
      <c r="B733" s="35" t="s">
        <v>22</v>
      </c>
      <c r="C733" s="36" t="s">
        <v>512</v>
      </c>
      <c r="D733" s="37" t="s">
        <v>562</v>
      </c>
      <c r="E733" s="37" t="s">
        <v>74</v>
      </c>
      <c r="F733" s="37">
        <v>1</v>
      </c>
      <c r="G733" s="37"/>
      <c r="H733" s="86"/>
      <c r="I733" s="86">
        <v>46168</v>
      </c>
      <c r="J733" s="37" t="s">
        <v>4</v>
      </c>
      <c r="K733" s="38">
        <f t="shared" si="55"/>
        <v>1</v>
      </c>
      <c r="L733" s="39">
        <f t="shared" si="56"/>
        <v>0</v>
      </c>
      <c r="M733" s="40">
        <f t="shared" ca="1" si="57"/>
        <v>55</v>
      </c>
      <c r="N733">
        <f t="shared" si="58"/>
        <v>22</v>
      </c>
      <c r="O733" t="str">
        <f t="shared" si="59"/>
        <v>Switch</v>
      </c>
    </row>
    <row r="734" spans="1:15" ht="14.25" customHeight="1">
      <c r="A734">
        <v>492</v>
      </c>
      <c r="B734" s="35" t="s">
        <v>22</v>
      </c>
      <c r="C734" s="36" t="s">
        <v>512</v>
      </c>
      <c r="D734" s="37" t="s">
        <v>563</v>
      </c>
      <c r="E734" s="37" t="s">
        <v>74</v>
      </c>
      <c r="F734" s="37">
        <v>1</v>
      </c>
      <c r="G734" s="37"/>
      <c r="H734" s="86"/>
      <c r="I734" s="86">
        <v>46168</v>
      </c>
      <c r="J734" s="37" t="s">
        <v>4</v>
      </c>
      <c r="K734" s="38">
        <f t="shared" si="55"/>
        <v>1</v>
      </c>
      <c r="L734" s="39">
        <f t="shared" si="56"/>
        <v>0</v>
      </c>
      <c r="M734" s="40">
        <f t="shared" ca="1" si="57"/>
        <v>55</v>
      </c>
      <c r="N734">
        <f t="shared" si="58"/>
        <v>22</v>
      </c>
      <c r="O734" t="str">
        <f t="shared" si="59"/>
        <v>Switch</v>
      </c>
    </row>
    <row r="735" spans="1:15" ht="14.25" customHeight="1">
      <c r="A735">
        <v>493</v>
      </c>
      <c r="B735" s="35" t="s">
        <v>22</v>
      </c>
      <c r="C735" s="36" t="s">
        <v>512</v>
      </c>
      <c r="D735" s="37" t="s">
        <v>564</v>
      </c>
      <c r="E735" s="37" t="s">
        <v>74</v>
      </c>
      <c r="F735" s="37">
        <v>1</v>
      </c>
      <c r="G735" s="37"/>
      <c r="H735" s="86"/>
      <c r="I735" s="86">
        <v>46168</v>
      </c>
      <c r="J735" s="37" t="s">
        <v>4</v>
      </c>
      <c r="K735" s="38">
        <f t="shared" si="55"/>
        <v>1</v>
      </c>
      <c r="L735" s="39">
        <f t="shared" si="56"/>
        <v>0</v>
      </c>
      <c r="M735" s="40">
        <f t="shared" ca="1" si="57"/>
        <v>55</v>
      </c>
      <c r="N735">
        <f t="shared" si="58"/>
        <v>22</v>
      </c>
      <c r="O735" t="str">
        <f t="shared" si="59"/>
        <v>Switch</v>
      </c>
    </row>
    <row r="736" spans="1:15" ht="14.25" customHeight="1">
      <c r="A736">
        <v>494</v>
      </c>
      <c r="B736" s="35" t="s">
        <v>22</v>
      </c>
      <c r="C736" s="36" t="s">
        <v>512</v>
      </c>
      <c r="D736" s="37" t="s">
        <v>565</v>
      </c>
      <c r="E736" s="37" t="s">
        <v>74</v>
      </c>
      <c r="F736" s="37">
        <v>1</v>
      </c>
      <c r="G736" s="37"/>
      <c r="H736" s="86"/>
      <c r="I736" s="86">
        <v>46168</v>
      </c>
      <c r="J736" s="37" t="s">
        <v>4</v>
      </c>
      <c r="K736" s="38">
        <f t="shared" si="55"/>
        <v>1</v>
      </c>
      <c r="L736" s="39">
        <f t="shared" si="56"/>
        <v>0</v>
      </c>
      <c r="M736" s="40">
        <f t="shared" ca="1" si="57"/>
        <v>55</v>
      </c>
      <c r="N736">
        <f t="shared" si="58"/>
        <v>22</v>
      </c>
      <c r="O736" t="str">
        <f t="shared" si="59"/>
        <v>Switch</v>
      </c>
    </row>
    <row r="737" spans="1:15" ht="14.25" customHeight="1">
      <c r="A737">
        <v>495</v>
      </c>
      <c r="B737" s="35" t="s">
        <v>22</v>
      </c>
      <c r="C737" s="36" t="s">
        <v>512</v>
      </c>
      <c r="D737" s="37" t="s">
        <v>566</v>
      </c>
      <c r="E737" s="37" t="s">
        <v>74</v>
      </c>
      <c r="F737" s="37">
        <v>1</v>
      </c>
      <c r="G737" s="37"/>
      <c r="H737" s="86"/>
      <c r="I737" s="86">
        <v>46169</v>
      </c>
      <c r="J737" s="37" t="s">
        <v>4</v>
      </c>
      <c r="K737" s="38">
        <f t="shared" si="55"/>
        <v>1</v>
      </c>
      <c r="L737" s="39">
        <f t="shared" si="56"/>
        <v>0</v>
      </c>
      <c r="M737" s="40">
        <f t="shared" ca="1" si="57"/>
        <v>56</v>
      </c>
      <c r="N737">
        <f t="shared" si="58"/>
        <v>22</v>
      </c>
      <c r="O737" t="str">
        <f t="shared" si="59"/>
        <v>Switch</v>
      </c>
    </row>
    <row r="738" spans="1:15" ht="14.25" customHeight="1">
      <c r="A738">
        <v>496</v>
      </c>
      <c r="B738" s="35" t="s">
        <v>22</v>
      </c>
      <c r="C738" s="36" t="s">
        <v>512</v>
      </c>
      <c r="D738" s="37" t="s">
        <v>567</v>
      </c>
      <c r="E738" s="37" t="s">
        <v>74</v>
      </c>
      <c r="F738" s="37">
        <v>1</v>
      </c>
      <c r="G738" s="37"/>
      <c r="H738" s="86"/>
      <c r="I738" s="86">
        <v>46169</v>
      </c>
      <c r="J738" s="37" t="s">
        <v>4</v>
      </c>
      <c r="K738" s="38">
        <f t="shared" si="55"/>
        <v>1</v>
      </c>
      <c r="L738" s="39">
        <f t="shared" si="56"/>
        <v>0</v>
      </c>
      <c r="M738" s="40">
        <f t="shared" ca="1" si="57"/>
        <v>56</v>
      </c>
      <c r="N738">
        <f t="shared" si="58"/>
        <v>22</v>
      </c>
      <c r="O738" t="str">
        <f t="shared" si="59"/>
        <v>Switch</v>
      </c>
    </row>
    <row r="739" spans="1:15" ht="14.25" customHeight="1">
      <c r="A739">
        <v>498</v>
      </c>
      <c r="B739" s="35" t="s">
        <v>22</v>
      </c>
      <c r="C739" s="36" t="s">
        <v>512</v>
      </c>
      <c r="D739" s="37" t="s">
        <v>568</v>
      </c>
      <c r="E739" s="37" t="s">
        <v>80</v>
      </c>
      <c r="F739" s="37">
        <v>1</v>
      </c>
      <c r="G739" s="37"/>
      <c r="H739" s="86"/>
      <c r="I739" s="86">
        <v>46169</v>
      </c>
      <c r="J739" s="37" t="s">
        <v>4</v>
      </c>
      <c r="K739" s="38">
        <f t="shared" si="55"/>
        <v>1</v>
      </c>
      <c r="L739" s="39">
        <f t="shared" si="56"/>
        <v>0</v>
      </c>
      <c r="M739" s="40">
        <f t="shared" ca="1" si="57"/>
        <v>56</v>
      </c>
      <c r="N739">
        <f t="shared" si="58"/>
        <v>22</v>
      </c>
      <c r="O739" t="str">
        <f t="shared" si="59"/>
        <v>Switch</v>
      </c>
    </row>
    <row r="740" spans="1:15" ht="14.25" customHeight="1">
      <c r="A740">
        <v>497</v>
      </c>
      <c r="B740" s="45" t="s">
        <v>22</v>
      </c>
      <c r="C740" s="89" t="s">
        <v>512</v>
      </c>
      <c r="D740" s="46" t="s">
        <v>568</v>
      </c>
      <c r="E740" s="46" t="s">
        <v>74</v>
      </c>
      <c r="F740" s="46">
        <v>1</v>
      </c>
      <c r="G740" s="46"/>
      <c r="H740" s="88"/>
      <c r="I740" s="86">
        <v>46169</v>
      </c>
      <c r="J740" s="46" t="s">
        <v>4</v>
      </c>
      <c r="K740" s="47">
        <f t="shared" si="55"/>
        <v>1</v>
      </c>
      <c r="L740" s="39">
        <f t="shared" si="56"/>
        <v>0</v>
      </c>
      <c r="M740" s="40">
        <f t="shared" ca="1" si="57"/>
        <v>56</v>
      </c>
      <c r="N740">
        <f t="shared" si="58"/>
        <v>22</v>
      </c>
      <c r="O740" t="str">
        <f t="shared" si="59"/>
        <v>Switch</v>
      </c>
    </row>
  </sheetData>
  <autoFilter ref="F745" xr:uid="{00000000-0009-0000-0000-000001000000}"/>
  <conditionalFormatting sqref="J2:J740">
    <cfRule type="containsText" dxfId="7" priority="2" operator="containsText" text="Pending">
      <formula>NOT(ISERROR(SEARCH("Pending",J2)))</formula>
    </cfRule>
    <cfRule type="containsText" dxfId="6" priority="3" operator="containsText" text="On Plan">
      <formula>NOT(ISERROR(SEARCH("On Plan",J2)))</formula>
    </cfRule>
    <cfRule type="containsText" dxfId="5" priority="4" operator="containsText" text="Success">
      <formula>NOT(ISERROR(SEARCH("Success",J2)))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zoomScaleNormal="100" workbookViewId="0">
      <selection activeCell="D17" sqref="D17"/>
    </sheetView>
  </sheetViews>
  <sheetFormatPr defaultColWidth="8.85546875" defaultRowHeight="14.25" customHeight="1"/>
  <cols>
    <col min="1" max="1" width="50" customWidth="1"/>
    <col min="2" max="3" width="12" customWidth="1"/>
    <col min="4" max="4" width="10" customWidth="1"/>
    <col min="5" max="5" width="7" customWidth="1"/>
    <col min="6" max="6" width="8" customWidth="1"/>
    <col min="7" max="7" width="5" customWidth="1"/>
    <col min="8" max="8" width="11" customWidth="1"/>
    <col min="9" max="9" width="12" customWidth="1"/>
    <col min="10" max="10" width="8" customWidth="1"/>
    <col min="11" max="11" width="11" customWidth="1"/>
    <col min="12" max="12" width="7" customWidth="1"/>
  </cols>
  <sheetData>
    <row r="1" spans="1:12" ht="21" customHeight="1">
      <c r="A1" s="97" t="s">
        <v>569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2" spans="1:12" ht="14.25" customHeight="1">
      <c r="A2" t="s">
        <v>570</v>
      </c>
    </row>
    <row r="3" spans="1:12" ht="15" customHeight="1"/>
    <row r="4" spans="1:12" ht="14.25" customHeight="1">
      <c r="A4" s="48" t="s">
        <v>12</v>
      </c>
      <c r="B4" s="48" t="s">
        <v>17</v>
      </c>
      <c r="C4" s="48" t="s">
        <v>18</v>
      </c>
      <c r="D4" s="48" t="s">
        <v>571</v>
      </c>
      <c r="E4" s="48" t="s">
        <v>13</v>
      </c>
      <c r="F4" s="48" t="s">
        <v>30</v>
      </c>
      <c r="G4" s="48" t="s">
        <v>31</v>
      </c>
      <c r="H4" s="48" t="s">
        <v>572</v>
      </c>
      <c r="I4" s="48" t="s">
        <v>573</v>
      </c>
      <c r="J4" s="48" t="s">
        <v>574</v>
      </c>
      <c r="K4" s="48" t="s">
        <v>575</v>
      </c>
      <c r="L4" s="48" t="s">
        <v>576</v>
      </c>
    </row>
    <row r="5" spans="1:12" ht="14.25" customHeight="1">
      <c r="A5" s="49" t="s">
        <v>20</v>
      </c>
      <c r="B5" s="50" t="s">
        <v>577</v>
      </c>
      <c r="C5" s="50" t="s">
        <v>578</v>
      </c>
      <c r="D5" s="50">
        <v>117</v>
      </c>
      <c r="E5" s="50">
        <v>712</v>
      </c>
      <c r="F5" s="50">
        <v>422</v>
      </c>
      <c r="G5" s="50">
        <v>290</v>
      </c>
      <c r="H5" s="50">
        <v>6.09</v>
      </c>
      <c r="I5" s="50">
        <v>3.61</v>
      </c>
      <c r="J5" s="50">
        <v>2.48</v>
      </c>
      <c r="K5" s="50">
        <v>19</v>
      </c>
      <c r="L5" s="50">
        <v>132</v>
      </c>
    </row>
    <row r="6" spans="1:12" ht="14.25" customHeight="1">
      <c r="A6" s="49" t="s">
        <v>21</v>
      </c>
      <c r="B6" s="50" t="s">
        <v>579</v>
      </c>
      <c r="C6" s="50" t="s">
        <v>580</v>
      </c>
      <c r="D6" s="50">
        <v>46</v>
      </c>
      <c r="E6" s="50">
        <v>187</v>
      </c>
      <c r="F6" s="50">
        <v>162</v>
      </c>
      <c r="G6" s="50">
        <v>25</v>
      </c>
      <c r="H6" s="50">
        <v>4.07</v>
      </c>
      <c r="I6" s="50">
        <v>3.52</v>
      </c>
      <c r="J6" s="50">
        <v>0.54</v>
      </c>
      <c r="K6" s="50">
        <v>31</v>
      </c>
      <c r="L6" s="50">
        <v>58</v>
      </c>
    </row>
    <row r="7" spans="1:12" ht="14.25" customHeight="1">
      <c r="A7" s="49" t="s">
        <v>22</v>
      </c>
      <c r="B7" s="50" t="s">
        <v>581</v>
      </c>
      <c r="C7" s="50" t="s">
        <v>582</v>
      </c>
      <c r="D7" s="50">
        <v>72</v>
      </c>
      <c r="E7" s="50">
        <v>327</v>
      </c>
      <c r="F7" s="50">
        <v>283</v>
      </c>
      <c r="G7" s="50">
        <v>44</v>
      </c>
      <c r="H7" s="50">
        <v>4.54</v>
      </c>
      <c r="I7" s="50">
        <v>3.93</v>
      </c>
      <c r="J7" s="50">
        <v>0.61</v>
      </c>
      <c r="K7" s="50">
        <v>5</v>
      </c>
      <c r="L7" s="50">
        <v>65</v>
      </c>
    </row>
    <row r="8" spans="1:12" ht="14.25" customHeight="1">
      <c r="A8" s="49" t="s">
        <v>23</v>
      </c>
      <c r="B8" s="50" t="s">
        <v>583</v>
      </c>
      <c r="C8" s="50" t="s">
        <v>584</v>
      </c>
      <c r="D8" s="50">
        <v>47</v>
      </c>
      <c r="E8" s="50">
        <v>145</v>
      </c>
      <c r="F8" s="50">
        <v>134</v>
      </c>
      <c r="G8" s="50">
        <v>11</v>
      </c>
      <c r="H8" s="50">
        <v>3.09</v>
      </c>
      <c r="I8" s="50">
        <v>2.85</v>
      </c>
      <c r="J8" s="50">
        <v>0.23</v>
      </c>
      <c r="K8" s="50">
        <v>10</v>
      </c>
      <c r="L8" s="50">
        <v>61</v>
      </c>
    </row>
    <row r="9" spans="1:12" ht="14.25" customHeight="1">
      <c r="A9" s="49" t="s">
        <v>24</v>
      </c>
      <c r="B9" s="50" t="s">
        <v>585</v>
      </c>
      <c r="C9" s="50" t="s">
        <v>586</v>
      </c>
      <c r="D9" s="50">
        <v>32</v>
      </c>
      <c r="E9" s="50">
        <v>99</v>
      </c>
      <c r="F9" s="50">
        <v>67</v>
      </c>
      <c r="G9" s="50">
        <v>32</v>
      </c>
      <c r="H9" s="50">
        <v>3.09</v>
      </c>
      <c r="I9" s="50">
        <v>2.09</v>
      </c>
      <c r="J9" s="50">
        <v>1</v>
      </c>
      <c r="K9" s="50">
        <v>15</v>
      </c>
      <c r="L9" s="50">
        <v>31</v>
      </c>
    </row>
    <row r="10" spans="1:12" ht="14.25" customHeight="1">
      <c r="A10" s="49" t="s">
        <v>25</v>
      </c>
      <c r="B10" s="50" t="s">
        <v>585</v>
      </c>
      <c r="C10" s="50" t="s">
        <v>587</v>
      </c>
      <c r="D10" s="50">
        <v>38</v>
      </c>
      <c r="E10" s="50">
        <v>114</v>
      </c>
      <c r="F10" s="50">
        <v>71</v>
      </c>
      <c r="G10" s="50">
        <v>43</v>
      </c>
      <c r="H10" s="50">
        <v>3</v>
      </c>
      <c r="I10" s="50">
        <v>1.87</v>
      </c>
      <c r="J10" s="50">
        <v>1.1299999999999999</v>
      </c>
      <c r="K10" s="50">
        <v>12</v>
      </c>
      <c r="L10" s="50">
        <v>31</v>
      </c>
    </row>
    <row r="11" spans="1:12" ht="14.25" customHeight="1">
      <c r="A11" s="49" t="s">
        <v>26</v>
      </c>
      <c r="B11" s="50" t="s">
        <v>588</v>
      </c>
      <c r="C11" s="50" t="s">
        <v>589</v>
      </c>
      <c r="D11" s="50">
        <v>16</v>
      </c>
      <c r="E11" s="50">
        <v>8</v>
      </c>
      <c r="F11" s="50">
        <v>8</v>
      </c>
      <c r="G11" s="50">
        <v>0</v>
      </c>
      <c r="H11" s="50">
        <v>0.5</v>
      </c>
      <c r="I11" s="50">
        <v>0.5</v>
      </c>
      <c r="J11" s="50">
        <v>0</v>
      </c>
      <c r="K11" s="50">
        <v>2</v>
      </c>
      <c r="L11" s="50">
        <v>3</v>
      </c>
    </row>
    <row r="12" spans="1:12" ht="14.25" customHeight="1">
      <c r="A12" s="51" t="s">
        <v>27</v>
      </c>
      <c r="B12" s="52"/>
      <c r="C12" s="52"/>
      <c r="D12" s="52"/>
      <c r="E12" s="51">
        <v>1592</v>
      </c>
      <c r="F12" s="51">
        <v>1147</v>
      </c>
      <c r="G12" s="51">
        <v>445</v>
      </c>
      <c r="H12" s="52"/>
      <c r="I12" s="52"/>
      <c r="J12" s="52"/>
      <c r="K12" s="52"/>
      <c r="L12" s="52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zoomScaleNormal="100" workbookViewId="0">
      <selection activeCell="B5" sqref="B5"/>
    </sheetView>
  </sheetViews>
  <sheetFormatPr defaultColWidth="8.85546875" defaultRowHeight="14.25" customHeight="1"/>
  <cols>
    <col min="1" max="1" width="31" customWidth="1"/>
    <col min="2" max="2" width="8" customWidth="1"/>
    <col min="3" max="3" width="5" customWidth="1"/>
    <col min="4" max="5" width="8" customWidth="1"/>
    <col min="6" max="8" width="5" customWidth="1"/>
    <col min="9" max="9" width="7" customWidth="1"/>
  </cols>
  <sheetData>
    <row r="1" spans="1:9" ht="18" customHeight="1">
      <c r="A1" s="90" t="s">
        <v>590</v>
      </c>
    </row>
    <row r="2" spans="1:9" ht="15" customHeight="1"/>
    <row r="3" spans="1:9" ht="14.25" customHeight="1">
      <c r="A3" s="48" t="s">
        <v>58</v>
      </c>
      <c r="B3" s="48" t="s">
        <v>20</v>
      </c>
      <c r="C3" s="48" t="s">
        <v>21</v>
      </c>
      <c r="D3" s="48" t="s">
        <v>22</v>
      </c>
      <c r="E3" s="48" t="s">
        <v>23</v>
      </c>
      <c r="F3" s="48" t="s">
        <v>24</v>
      </c>
      <c r="G3" s="48" t="s">
        <v>25</v>
      </c>
      <c r="H3" s="48" t="s">
        <v>26</v>
      </c>
      <c r="I3" s="48" t="s">
        <v>13</v>
      </c>
    </row>
    <row r="4" spans="1:9" ht="14.25" customHeight="1">
      <c r="A4" s="52" t="s">
        <v>196</v>
      </c>
      <c r="B4" s="50">
        <v>4</v>
      </c>
      <c r="C4" s="50">
        <v>0</v>
      </c>
      <c r="D4" s="50">
        <v>0</v>
      </c>
      <c r="E4" s="50">
        <v>0</v>
      </c>
      <c r="F4" s="50">
        <v>0</v>
      </c>
      <c r="G4" s="50">
        <v>0</v>
      </c>
      <c r="H4" s="50">
        <v>0</v>
      </c>
      <c r="I4" s="50">
        <v>4</v>
      </c>
    </row>
    <row r="5" spans="1:9" ht="14.25" customHeight="1">
      <c r="A5" s="52" t="s">
        <v>78</v>
      </c>
      <c r="B5" s="50">
        <v>290</v>
      </c>
      <c r="C5" s="50">
        <v>25</v>
      </c>
      <c r="D5" s="50">
        <v>44</v>
      </c>
      <c r="E5" s="50">
        <v>11</v>
      </c>
      <c r="F5" s="50">
        <v>32</v>
      </c>
      <c r="G5" s="50">
        <v>43</v>
      </c>
      <c r="H5" s="50">
        <v>0</v>
      </c>
      <c r="I5" s="50">
        <v>445</v>
      </c>
    </row>
    <row r="6" spans="1:9" ht="14.25" customHeight="1">
      <c r="A6" s="52" t="s">
        <v>140</v>
      </c>
      <c r="B6" s="50">
        <v>34</v>
      </c>
      <c r="C6" s="50">
        <v>0</v>
      </c>
      <c r="D6" s="50">
        <v>6</v>
      </c>
      <c r="E6" s="50">
        <v>0</v>
      </c>
      <c r="F6" s="50">
        <v>3</v>
      </c>
      <c r="G6" s="50">
        <v>2</v>
      </c>
      <c r="H6" s="50">
        <v>0</v>
      </c>
      <c r="I6" s="50">
        <v>45</v>
      </c>
    </row>
    <row r="7" spans="1:9" ht="14.25" customHeight="1">
      <c r="A7" s="52" t="s">
        <v>74</v>
      </c>
      <c r="B7" s="50">
        <v>164</v>
      </c>
      <c r="C7" s="50">
        <v>130</v>
      </c>
      <c r="D7" s="50">
        <v>140</v>
      </c>
      <c r="E7" s="50">
        <v>66</v>
      </c>
      <c r="F7" s="50">
        <v>40</v>
      </c>
      <c r="G7" s="50">
        <v>40</v>
      </c>
      <c r="H7" s="50">
        <v>4</v>
      </c>
      <c r="I7" s="50">
        <v>584</v>
      </c>
    </row>
    <row r="8" spans="1:9" ht="14.25" customHeight="1">
      <c r="A8" s="52" t="s">
        <v>142</v>
      </c>
      <c r="B8" s="50">
        <v>25</v>
      </c>
      <c r="C8" s="50">
        <v>0</v>
      </c>
      <c r="D8" s="50">
        <v>7</v>
      </c>
      <c r="E8" s="50">
        <v>0</v>
      </c>
      <c r="F8" s="50">
        <v>0</v>
      </c>
      <c r="G8" s="50">
        <v>5</v>
      </c>
      <c r="H8" s="50">
        <v>0</v>
      </c>
      <c r="I8" s="50">
        <v>37</v>
      </c>
    </row>
    <row r="9" spans="1:9" ht="14.25" customHeight="1">
      <c r="A9" s="52" t="s">
        <v>80</v>
      </c>
      <c r="B9" s="50">
        <v>128</v>
      </c>
      <c r="C9" s="50">
        <v>13</v>
      </c>
      <c r="D9" s="50">
        <v>100</v>
      </c>
      <c r="E9" s="50">
        <v>47</v>
      </c>
      <c r="F9" s="50">
        <v>17</v>
      </c>
      <c r="G9" s="50">
        <v>15</v>
      </c>
      <c r="H9" s="50">
        <v>0</v>
      </c>
      <c r="I9" s="50">
        <v>320</v>
      </c>
    </row>
    <row r="10" spans="1:9" ht="14.25" customHeight="1">
      <c r="A10" s="52" t="s">
        <v>362</v>
      </c>
      <c r="B10" s="50">
        <v>2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2</v>
      </c>
    </row>
    <row r="11" spans="1:9" ht="14.25" customHeight="1">
      <c r="A11" s="52" t="s">
        <v>90</v>
      </c>
      <c r="B11" s="50">
        <v>25</v>
      </c>
      <c r="C11" s="50">
        <v>0</v>
      </c>
      <c r="D11" s="50">
        <v>13</v>
      </c>
      <c r="E11" s="50">
        <v>6</v>
      </c>
      <c r="F11" s="50">
        <v>1</v>
      </c>
      <c r="G11" s="50">
        <v>2</v>
      </c>
      <c r="H11" s="50">
        <v>0</v>
      </c>
      <c r="I11" s="50">
        <v>47</v>
      </c>
    </row>
    <row r="12" spans="1:9" ht="14.25" customHeight="1">
      <c r="A12" s="52" t="s">
        <v>118</v>
      </c>
      <c r="B12" s="50">
        <v>18</v>
      </c>
      <c r="C12" s="50">
        <v>11</v>
      </c>
      <c r="D12" s="50">
        <v>13</v>
      </c>
      <c r="E12" s="50">
        <v>15</v>
      </c>
      <c r="F12" s="50">
        <v>2</v>
      </c>
      <c r="G12" s="50">
        <v>3</v>
      </c>
      <c r="H12" s="50">
        <v>0</v>
      </c>
      <c r="I12" s="50">
        <v>62</v>
      </c>
    </row>
    <row r="13" spans="1:9" ht="14.25" customHeight="1">
      <c r="A13" s="52" t="s">
        <v>314</v>
      </c>
      <c r="B13" s="50">
        <v>4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4</v>
      </c>
    </row>
    <row r="14" spans="1:9" ht="14.25" customHeight="1">
      <c r="A14" s="52" t="s">
        <v>84</v>
      </c>
      <c r="B14" s="50">
        <v>4</v>
      </c>
      <c r="C14" s="50">
        <v>0</v>
      </c>
      <c r="D14" s="50">
        <v>2</v>
      </c>
      <c r="E14" s="50">
        <v>0</v>
      </c>
      <c r="F14" s="50">
        <v>2</v>
      </c>
      <c r="G14" s="50">
        <v>2</v>
      </c>
      <c r="H14" s="50">
        <v>0</v>
      </c>
      <c r="I14" s="50">
        <v>10</v>
      </c>
    </row>
    <row r="15" spans="1:9" ht="14.25" customHeight="1">
      <c r="A15" s="52" t="s">
        <v>176</v>
      </c>
      <c r="B15" s="50">
        <v>0</v>
      </c>
      <c r="C15" s="50">
        <v>2</v>
      </c>
      <c r="D15" s="50">
        <v>0</v>
      </c>
      <c r="E15" s="50">
        <v>0</v>
      </c>
      <c r="F15" s="50">
        <v>0</v>
      </c>
      <c r="G15" s="50">
        <v>0</v>
      </c>
      <c r="H15" s="50">
        <v>2</v>
      </c>
      <c r="I15" s="50">
        <v>4</v>
      </c>
    </row>
    <row r="16" spans="1:9" ht="14.25" customHeight="1">
      <c r="A16" s="52" t="s">
        <v>313</v>
      </c>
      <c r="B16" s="50">
        <v>2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2</v>
      </c>
    </row>
    <row r="17" spans="1:9" ht="14.25" customHeight="1">
      <c r="A17" s="52" t="s">
        <v>194</v>
      </c>
      <c r="B17" s="50">
        <v>2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2</v>
      </c>
    </row>
    <row r="18" spans="1:9" ht="14.25" customHeight="1">
      <c r="A18" s="52" t="s">
        <v>312</v>
      </c>
      <c r="B18" s="50">
        <v>2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2</v>
      </c>
    </row>
    <row r="19" spans="1:9" ht="14.25" customHeight="1">
      <c r="A19" s="52" t="s">
        <v>154</v>
      </c>
      <c r="B19" s="50">
        <v>0</v>
      </c>
      <c r="C19" s="50">
        <v>4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4</v>
      </c>
    </row>
    <row r="20" spans="1:9" ht="14.25" customHeight="1">
      <c r="A20" s="52" t="s">
        <v>193</v>
      </c>
      <c r="B20" s="50">
        <v>3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3</v>
      </c>
    </row>
    <row r="21" spans="1:9" ht="14.25" customHeight="1">
      <c r="A21" s="52" t="s">
        <v>191</v>
      </c>
      <c r="B21" s="50">
        <v>1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</row>
    <row r="22" spans="1:9" ht="14.25" customHeight="1">
      <c r="A22" s="52" t="s">
        <v>83</v>
      </c>
      <c r="B22" s="50">
        <v>4</v>
      </c>
      <c r="C22" s="50">
        <v>2</v>
      </c>
      <c r="D22" s="50">
        <v>2</v>
      </c>
      <c r="E22" s="50">
        <v>0</v>
      </c>
      <c r="F22" s="50">
        <v>2</v>
      </c>
      <c r="G22" s="50">
        <v>2</v>
      </c>
      <c r="H22" s="50">
        <v>2</v>
      </c>
      <c r="I22" s="50">
        <v>14</v>
      </c>
    </row>
    <row r="23" spans="1:9" ht="14.25" customHeight="1">
      <c r="A23" s="7" t="s">
        <v>27</v>
      </c>
      <c r="B23" s="7">
        <v>712</v>
      </c>
      <c r="C23" s="7">
        <v>187</v>
      </c>
      <c r="D23" s="7">
        <v>327</v>
      </c>
      <c r="E23" s="7">
        <v>145</v>
      </c>
      <c r="F23" s="7">
        <v>99</v>
      </c>
      <c r="G23" s="7">
        <v>114</v>
      </c>
      <c r="H23" s="7">
        <v>8</v>
      </c>
      <c r="I23" s="7">
        <v>1592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9"/>
  <sheetViews>
    <sheetView zoomScaleNormal="100" workbookViewId="0">
      <selection sqref="A1:M1"/>
    </sheetView>
  </sheetViews>
  <sheetFormatPr defaultColWidth="8.85546875" defaultRowHeight="14.25" customHeight="1"/>
  <cols>
    <col min="1" max="2" width="50" customWidth="1"/>
    <col min="3" max="3" width="7" customWidth="1"/>
    <col min="4" max="4" width="8" customWidth="1"/>
    <col min="5" max="5" width="5" customWidth="1"/>
    <col min="6" max="6" width="6" customWidth="1"/>
    <col min="7" max="7" width="11" customWidth="1"/>
    <col min="8" max="8" width="12" customWidth="1"/>
    <col min="9" max="9" width="8" customWidth="1"/>
    <col min="10" max="10" width="7" customWidth="1"/>
    <col min="11" max="12" width="12" customWidth="1"/>
    <col min="13" max="13" width="9" customWidth="1"/>
  </cols>
  <sheetData>
    <row r="1" spans="1:13" ht="18" customHeight="1">
      <c r="A1" s="98" t="s">
        <v>591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1:13" ht="14.25" customHeight="1">
      <c r="A2" t="s">
        <v>592</v>
      </c>
    </row>
    <row r="3" spans="1:13" ht="15" customHeight="1"/>
    <row r="4" spans="1:13" ht="14.25" customHeight="1">
      <c r="A4" s="48" t="s">
        <v>12</v>
      </c>
      <c r="B4" s="48" t="s">
        <v>56</v>
      </c>
      <c r="C4" s="48" t="s">
        <v>13</v>
      </c>
      <c r="D4" s="48" t="s">
        <v>30</v>
      </c>
      <c r="E4" s="48" t="s">
        <v>31</v>
      </c>
      <c r="F4" s="48" t="s">
        <v>593</v>
      </c>
      <c r="G4" s="48" t="s">
        <v>572</v>
      </c>
      <c r="H4" s="48" t="s">
        <v>573</v>
      </c>
      <c r="I4" s="48" t="s">
        <v>574</v>
      </c>
      <c r="J4" s="48" t="s">
        <v>576</v>
      </c>
      <c r="K4" s="48" t="s">
        <v>17</v>
      </c>
      <c r="L4" s="48" t="s">
        <v>18</v>
      </c>
      <c r="M4" s="48" t="s">
        <v>61</v>
      </c>
    </row>
    <row r="5" spans="1:13" ht="14.25" customHeight="1">
      <c r="A5" s="49" t="s">
        <v>20</v>
      </c>
      <c r="B5" s="53" t="s">
        <v>138</v>
      </c>
      <c r="C5" s="50">
        <v>318</v>
      </c>
      <c r="D5" s="50">
        <v>99</v>
      </c>
      <c r="E5" s="50">
        <v>219</v>
      </c>
      <c r="F5" s="50">
        <v>49</v>
      </c>
      <c r="G5" s="50">
        <v>6.49</v>
      </c>
      <c r="H5" s="50">
        <v>2.02</v>
      </c>
      <c r="I5" s="50">
        <v>4.47</v>
      </c>
      <c r="J5" s="50">
        <v>27</v>
      </c>
      <c r="K5" s="50" t="s">
        <v>577</v>
      </c>
      <c r="L5" s="50" t="s">
        <v>594</v>
      </c>
      <c r="M5" s="50" t="s">
        <v>6</v>
      </c>
    </row>
    <row r="6" spans="1:13" ht="14.25" customHeight="1">
      <c r="A6" s="54" t="s">
        <v>20</v>
      </c>
      <c r="B6" s="54" t="s">
        <v>87</v>
      </c>
      <c r="C6" s="55">
        <v>106</v>
      </c>
      <c r="D6" s="55">
        <v>106</v>
      </c>
      <c r="E6" s="55">
        <v>0</v>
      </c>
      <c r="F6" s="55">
        <v>16</v>
      </c>
      <c r="G6" s="55">
        <v>6.62</v>
      </c>
      <c r="H6" s="55">
        <v>6.62</v>
      </c>
      <c r="I6" s="55">
        <v>0</v>
      </c>
      <c r="J6" s="55">
        <v>29</v>
      </c>
      <c r="K6" s="55" t="s">
        <v>595</v>
      </c>
      <c r="L6" s="55" t="s">
        <v>596</v>
      </c>
      <c r="M6" s="55" t="s">
        <v>6</v>
      </c>
    </row>
    <row r="7" spans="1:13" ht="14.25" customHeight="1">
      <c r="A7" s="49" t="s">
        <v>20</v>
      </c>
      <c r="B7" s="49" t="s">
        <v>93</v>
      </c>
      <c r="C7" s="50">
        <v>71</v>
      </c>
      <c r="D7" s="50">
        <v>71</v>
      </c>
      <c r="E7" s="50">
        <v>0</v>
      </c>
      <c r="F7" s="50">
        <v>11</v>
      </c>
      <c r="G7" s="50">
        <v>6.45</v>
      </c>
      <c r="H7" s="50">
        <v>6.45</v>
      </c>
      <c r="I7" s="50">
        <v>0</v>
      </c>
      <c r="J7" s="50">
        <v>33</v>
      </c>
      <c r="K7" s="50" t="s">
        <v>597</v>
      </c>
      <c r="L7" s="50" t="s">
        <v>598</v>
      </c>
      <c r="M7" s="50" t="s">
        <v>6</v>
      </c>
    </row>
    <row r="8" spans="1:13" ht="14.25" customHeight="1">
      <c r="A8" s="54" t="s">
        <v>20</v>
      </c>
      <c r="B8" s="54" t="s">
        <v>103</v>
      </c>
      <c r="C8" s="55">
        <v>64</v>
      </c>
      <c r="D8" s="55">
        <v>45</v>
      </c>
      <c r="E8" s="55">
        <v>19</v>
      </c>
      <c r="F8" s="55">
        <v>10</v>
      </c>
      <c r="G8" s="55">
        <v>6.4</v>
      </c>
      <c r="H8" s="55">
        <v>4.5</v>
      </c>
      <c r="I8" s="55">
        <v>1.9</v>
      </c>
      <c r="J8" s="55">
        <v>9</v>
      </c>
      <c r="K8" s="55" t="s">
        <v>599</v>
      </c>
      <c r="L8" s="55" t="s">
        <v>600</v>
      </c>
      <c r="M8" s="55" t="s">
        <v>6</v>
      </c>
    </row>
    <row r="9" spans="1:13" ht="14.25" customHeight="1">
      <c r="A9" s="49" t="s">
        <v>20</v>
      </c>
      <c r="B9" s="49" t="s">
        <v>100</v>
      </c>
      <c r="C9" s="50">
        <v>35</v>
      </c>
      <c r="D9" s="50">
        <v>35</v>
      </c>
      <c r="E9" s="50">
        <v>0</v>
      </c>
      <c r="F9" s="50">
        <v>5</v>
      </c>
      <c r="G9" s="50">
        <v>7</v>
      </c>
      <c r="H9" s="50">
        <v>7</v>
      </c>
      <c r="I9" s="50">
        <v>0</v>
      </c>
      <c r="J9" s="50">
        <v>13</v>
      </c>
      <c r="K9" s="50" t="s">
        <v>582</v>
      </c>
      <c r="L9" s="50" t="s">
        <v>601</v>
      </c>
      <c r="M9" s="50" t="s">
        <v>6</v>
      </c>
    </row>
    <row r="10" spans="1:13" ht="14.25" customHeight="1">
      <c r="A10" s="54" t="s">
        <v>20</v>
      </c>
      <c r="B10" s="54" t="s">
        <v>96</v>
      </c>
      <c r="C10" s="55">
        <v>26</v>
      </c>
      <c r="D10" s="55">
        <v>26</v>
      </c>
      <c r="E10" s="55">
        <v>0</v>
      </c>
      <c r="F10" s="55">
        <v>3</v>
      </c>
      <c r="G10" s="55">
        <v>8.67</v>
      </c>
      <c r="H10" s="55">
        <v>8.67</v>
      </c>
      <c r="I10" s="55">
        <v>0</v>
      </c>
      <c r="J10" s="55">
        <v>9</v>
      </c>
      <c r="K10" s="55" t="s">
        <v>602</v>
      </c>
      <c r="L10" s="55" t="s">
        <v>603</v>
      </c>
      <c r="M10" s="55" t="s">
        <v>6</v>
      </c>
    </row>
    <row r="11" spans="1:13" ht="14.25" customHeight="1">
      <c r="A11" s="49" t="s">
        <v>20</v>
      </c>
      <c r="B11" s="53" t="s">
        <v>355</v>
      </c>
      <c r="C11" s="50">
        <v>18</v>
      </c>
      <c r="D11" s="50">
        <v>7</v>
      </c>
      <c r="E11" s="50">
        <v>11</v>
      </c>
      <c r="F11" s="50">
        <v>2</v>
      </c>
      <c r="G11" s="50">
        <v>9</v>
      </c>
      <c r="H11" s="50">
        <v>3.5</v>
      </c>
      <c r="I11" s="50">
        <v>5.5</v>
      </c>
      <c r="J11" s="50">
        <v>6</v>
      </c>
      <c r="K11" s="50" t="s">
        <v>604</v>
      </c>
      <c r="L11" s="50" t="s">
        <v>605</v>
      </c>
      <c r="M11" s="50" t="s">
        <v>6</v>
      </c>
    </row>
    <row r="12" spans="1:13" ht="14.25" customHeight="1">
      <c r="A12" s="54" t="s">
        <v>20</v>
      </c>
      <c r="B12" s="56" t="s">
        <v>352</v>
      </c>
      <c r="C12" s="55">
        <v>14</v>
      </c>
      <c r="D12" s="55">
        <v>10</v>
      </c>
      <c r="E12" s="55">
        <v>4</v>
      </c>
      <c r="F12" s="55">
        <v>1</v>
      </c>
      <c r="G12" s="55">
        <v>14</v>
      </c>
      <c r="H12" s="55">
        <v>10</v>
      </c>
      <c r="I12" s="55">
        <v>4</v>
      </c>
      <c r="J12" s="55">
        <v>2</v>
      </c>
      <c r="K12" s="55" t="s">
        <v>606</v>
      </c>
      <c r="L12" s="55" t="s">
        <v>606</v>
      </c>
      <c r="M12" s="55" t="s">
        <v>6</v>
      </c>
    </row>
    <row r="13" spans="1:13" ht="14.25" customHeight="1">
      <c r="A13" s="49" t="s">
        <v>20</v>
      </c>
      <c r="B13" s="53" t="s">
        <v>346</v>
      </c>
      <c r="C13" s="50">
        <v>13</v>
      </c>
      <c r="D13" s="50">
        <v>4</v>
      </c>
      <c r="E13" s="50">
        <v>9</v>
      </c>
      <c r="F13" s="50">
        <v>1</v>
      </c>
      <c r="G13" s="50">
        <v>13</v>
      </c>
      <c r="H13" s="50">
        <v>4</v>
      </c>
      <c r="I13" s="50">
        <v>9</v>
      </c>
      <c r="J13" s="50">
        <v>2</v>
      </c>
      <c r="K13" s="50" t="s">
        <v>607</v>
      </c>
      <c r="L13" s="50" t="s">
        <v>607</v>
      </c>
      <c r="M13" s="50" t="s">
        <v>6</v>
      </c>
    </row>
    <row r="14" spans="1:13" ht="14.25" customHeight="1">
      <c r="A14" s="54" t="s">
        <v>20</v>
      </c>
      <c r="B14" s="56" t="s">
        <v>347</v>
      </c>
      <c r="C14" s="55">
        <v>12</v>
      </c>
      <c r="D14" s="55">
        <v>3</v>
      </c>
      <c r="E14" s="55">
        <v>9</v>
      </c>
      <c r="F14" s="55">
        <v>1</v>
      </c>
      <c r="G14" s="55">
        <v>12</v>
      </c>
      <c r="H14" s="55">
        <v>3</v>
      </c>
      <c r="I14" s="55">
        <v>9</v>
      </c>
      <c r="J14" s="55">
        <v>2</v>
      </c>
      <c r="K14" s="55" t="s">
        <v>608</v>
      </c>
      <c r="L14" s="55" t="s">
        <v>608</v>
      </c>
      <c r="M14" s="55" t="s">
        <v>6</v>
      </c>
    </row>
    <row r="15" spans="1:13" ht="14.25" customHeight="1">
      <c r="A15" s="49" t="s">
        <v>20</v>
      </c>
      <c r="B15" s="53" t="s">
        <v>351</v>
      </c>
      <c r="C15" s="50">
        <v>10</v>
      </c>
      <c r="D15" s="50">
        <v>0</v>
      </c>
      <c r="E15" s="50">
        <v>10</v>
      </c>
      <c r="F15" s="50">
        <v>1</v>
      </c>
      <c r="G15" s="50">
        <v>10</v>
      </c>
      <c r="H15" s="50">
        <v>0</v>
      </c>
      <c r="I15" s="50">
        <v>10</v>
      </c>
      <c r="J15" s="50">
        <v>1</v>
      </c>
      <c r="K15" s="50" t="s">
        <v>609</v>
      </c>
      <c r="L15" s="50" t="s">
        <v>609</v>
      </c>
      <c r="M15" s="50" t="s">
        <v>6</v>
      </c>
    </row>
    <row r="16" spans="1:13" ht="14.25" customHeight="1">
      <c r="A16" s="54" t="s">
        <v>20</v>
      </c>
      <c r="B16" s="56" t="s">
        <v>344</v>
      </c>
      <c r="C16" s="55">
        <v>10</v>
      </c>
      <c r="D16" s="55">
        <v>4</v>
      </c>
      <c r="E16" s="55">
        <v>6</v>
      </c>
      <c r="F16" s="55">
        <v>1</v>
      </c>
      <c r="G16" s="55">
        <v>10</v>
      </c>
      <c r="H16" s="55">
        <v>4</v>
      </c>
      <c r="I16" s="55">
        <v>6</v>
      </c>
      <c r="J16" s="55">
        <v>2</v>
      </c>
      <c r="K16" s="55" t="s">
        <v>610</v>
      </c>
      <c r="L16" s="55" t="s">
        <v>610</v>
      </c>
      <c r="M16" s="55" t="s">
        <v>6</v>
      </c>
    </row>
    <row r="17" spans="1:13" ht="14.25" customHeight="1">
      <c r="A17" s="49" t="s">
        <v>20</v>
      </c>
      <c r="B17" s="53" t="s">
        <v>349</v>
      </c>
      <c r="C17" s="50">
        <v>6</v>
      </c>
      <c r="D17" s="50">
        <v>3</v>
      </c>
      <c r="E17" s="50">
        <v>3</v>
      </c>
      <c r="F17" s="50">
        <v>1</v>
      </c>
      <c r="G17" s="50">
        <v>6</v>
      </c>
      <c r="H17" s="50">
        <v>3</v>
      </c>
      <c r="I17" s="50">
        <v>3</v>
      </c>
      <c r="J17" s="50">
        <v>2</v>
      </c>
      <c r="K17" s="50" t="s">
        <v>611</v>
      </c>
      <c r="L17" s="50" t="s">
        <v>611</v>
      </c>
      <c r="M17" s="50" t="s">
        <v>6</v>
      </c>
    </row>
    <row r="18" spans="1:13" ht="14.25" customHeight="1">
      <c r="A18" s="54" t="s">
        <v>20</v>
      </c>
      <c r="B18" s="54" t="s">
        <v>371</v>
      </c>
      <c r="C18" s="55">
        <v>2</v>
      </c>
      <c r="D18" s="55">
        <v>2</v>
      </c>
      <c r="E18" s="55">
        <v>0</v>
      </c>
      <c r="F18" s="55">
        <v>1</v>
      </c>
      <c r="G18" s="55">
        <v>2</v>
      </c>
      <c r="H18" s="55">
        <v>2</v>
      </c>
      <c r="I18" s="55">
        <v>0</v>
      </c>
      <c r="J18" s="55">
        <v>1</v>
      </c>
      <c r="K18" s="55" t="s">
        <v>612</v>
      </c>
      <c r="L18" s="55" t="s">
        <v>612</v>
      </c>
      <c r="M18" s="55" t="s">
        <v>6</v>
      </c>
    </row>
    <row r="19" spans="1:13" ht="14.25" customHeight="1">
      <c r="A19" s="49" t="s">
        <v>20</v>
      </c>
      <c r="B19" s="49" t="s">
        <v>370</v>
      </c>
      <c r="C19" s="50">
        <v>2</v>
      </c>
      <c r="D19" s="50">
        <v>2</v>
      </c>
      <c r="E19" s="50">
        <v>0</v>
      </c>
      <c r="F19" s="50">
        <v>1</v>
      </c>
      <c r="G19" s="50">
        <v>2</v>
      </c>
      <c r="H19" s="50">
        <v>2</v>
      </c>
      <c r="I19" s="50">
        <v>0</v>
      </c>
      <c r="J19" s="50">
        <v>1</v>
      </c>
      <c r="K19" s="50" t="s">
        <v>613</v>
      </c>
      <c r="L19" s="50" t="s">
        <v>613</v>
      </c>
      <c r="M19" s="50" t="s">
        <v>6</v>
      </c>
    </row>
    <row r="20" spans="1:13" ht="14.25" customHeight="1">
      <c r="A20" s="54" t="s">
        <v>20</v>
      </c>
      <c r="B20" s="54" t="s">
        <v>369</v>
      </c>
      <c r="C20" s="55">
        <v>2</v>
      </c>
      <c r="D20" s="55">
        <v>2</v>
      </c>
      <c r="E20" s="55">
        <v>0</v>
      </c>
      <c r="F20" s="55">
        <v>1</v>
      </c>
      <c r="G20" s="55">
        <v>2</v>
      </c>
      <c r="H20" s="55">
        <v>2</v>
      </c>
      <c r="I20" s="55">
        <v>0</v>
      </c>
      <c r="J20" s="55">
        <v>1</v>
      </c>
      <c r="K20" s="55" t="s">
        <v>614</v>
      </c>
      <c r="L20" s="55" t="s">
        <v>614</v>
      </c>
      <c r="M20" s="55" t="s">
        <v>6</v>
      </c>
    </row>
    <row r="21" spans="1:13" ht="14.25" customHeight="1">
      <c r="A21" s="49" t="s">
        <v>20</v>
      </c>
      <c r="B21" s="49" t="s">
        <v>372</v>
      </c>
      <c r="C21" s="50">
        <v>1</v>
      </c>
      <c r="D21" s="50">
        <v>1</v>
      </c>
      <c r="E21" s="50">
        <v>0</v>
      </c>
      <c r="F21" s="50">
        <v>1</v>
      </c>
      <c r="G21" s="50">
        <v>1</v>
      </c>
      <c r="H21" s="50">
        <v>1</v>
      </c>
      <c r="I21" s="50">
        <v>0</v>
      </c>
      <c r="J21" s="50">
        <v>1</v>
      </c>
      <c r="K21" s="50" t="s">
        <v>615</v>
      </c>
      <c r="L21" s="50" t="s">
        <v>615</v>
      </c>
      <c r="M21" s="50" t="s">
        <v>6</v>
      </c>
    </row>
    <row r="22" spans="1:13" ht="14.25" customHeight="1">
      <c r="A22" s="54" t="s">
        <v>20</v>
      </c>
      <c r="B22" s="56" t="s">
        <v>378</v>
      </c>
      <c r="C22" s="55">
        <v>1</v>
      </c>
      <c r="D22" s="55">
        <v>1</v>
      </c>
      <c r="E22" s="55">
        <v>0</v>
      </c>
      <c r="F22" s="55">
        <v>1</v>
      </c>
      <c r="G22" s="55">
        <v>1</v>
      </c>
      <c r="H22" s="55">
        <v>1</v>
      </c>
      <c r="I22" s="55">
        <v>0</v>
      </c>
      <c r="J22" s="55">
        <v>1</v>
      </c>
      <c r="K22" s="55" t="s">
        <v>616</v>
      </c>
      <c r="L22" s="55" t="s">
        <v>616</v>
      </c>
      <c r="M22" s="55" t="s">
        <v>6</v>
      </c>
    </row>
    <row r="23" spans="1:13" ht="14.25" customHeight="1">
      <c r="A23" s="49" t="s">
        <v>20</v>
      </c>
      <c r="B23" s="53" t="s">
        <v>380</v>
      </c>
      <c r="C23" s="50">
        <v>1</v>
      </c>
      <c r="D23" s="50">
        <v>1</v>
      </c>
      <c r="E23" s="50">
        <v>0</v>
      </c>
      <c r="F23" s="50">
        <v>1</v>
      </c>
      <c r="G23" s="50">
        <v>1</v>
      </c>
      <c r="H23" s="50">
        <v>1</v>
      </c>
      <c r="I23" s="50">
        <v>0</v>
      </c>
      <c r="J23" s="50">
        <v>1</v>
      </c>
      <c r="K23" s="50" t="s">
        <v>617</v>
      </c>
      <c r="L23" s="50" t="s">
        <v>617</v>
      </c>
      <c r="M23" s="50" t="s">
        <v>6</v>
      </c>
    </row>
    <row r="24" spans="1:13" ht="14.25" customHeight="1">
      <c r="A24" s="54" t="s">
        <v>21</v>
      </c>
      <c r="B24" s="56" t="s">
        <v>152</v>
      </c>
      <c r="C24" s="55">
        <v>59</v>
      </c>
      <c r="D24" s="55">
        <v>35</v>
      </c>
      <c r="E24" s="55">
        <v>24</v>
      </c>
      <c r="F24" s="55">
        <v>11</v>
      </c>
      <c r="G24" s="55">
        <v>5.36</v>
      </c>
      <c r="H24" s="55">
        <v>3.18</v>
      </c>
      <c r="I24" s="55">
        <v>2.1800000000000002</v>
      </c>
      <c r="J24" s="55">
        <v>7</v>
      </c>
      <c r="K24" s="55" t="s">
        <v>579</v>
      </c>
      <c r="L24" s="55" t="s">
        <v>618</v>
      </c>
      <c r="M24" s="55" t="s">
        <v>6</v>
      </c>
    </row>
    <row r="25" spans="1:13" ht="14.25" customHeight="1">
      <c r="A25" s="49" t="s">
        <v>21</v>
      </c>
      <c r="B25" s="53" t="s">
        <v>225</v>
      </c>
      <c r="C25" s="50">
        <v>35</v>
      </c>
      <c r="D25" s="50">
        <v>35</v>
      </c>
      <c r="E25" s="50">
        <v>0</v>
      </c>
      <c r="F25" s="50">
        <v>6</v>
      </c>
      <c r="G25" s="50">
        <v>5.83</v>
      </c>
      <c r="H25" s="50">
        <v>5.83</v>
      </c>
      <c r="I25" s="50">
        <v>0</v>
      </c>
      <c r="J25" s="50">
        <v>14</v>
      </c>
      <c r="K25" s="50" t="s">
        <v>619</v>
      </c>
      <c r="L25" s="50" t="s">
        <v>620</v>
      </c>
      <c r="M25" s="50" t="s">
        <v>6</v>
      </c>
    </row>
    <row r="26" spans="1:13" ht="14.25" customHeight="1">
      <c r="A26" s="54" t="s">
        <v>21</v>
      </c>
      <c r="B26" s="56" t="s">
        <v>174</v>
      </c>
      <c r="C26" s="55">
        <v>17</v>
      </c>
      <c r="D26" s="55">
        <v>17</v>
      </c>
      <c r="E26" s="55">
        <v>0</v>
      </c>
      <c r="F26" s="55">
        <v>3</v>
      </c>
      <c r="G26" s="55">
        <v>5.67</v>
      </c>
      <c r="H26" s="55">
        <v>5.67</v>
      </c>
      <c r="I26" s="55">
        <v>0</v>
      </c>
      <c r="J26" s="55">
        <v>3</v>
      </c>
      <c r="K26" s="55" t="s">
        <v>621</v>
      </c>
      <c r="L26" s="55" t="s">
        <v>622</v>
      </c>
      <c r="M26" s="55" t="s">
        <v>6</v>
      </c>
    </row>
    <row r="27" spans="1:13" ht="14.25" customHeight="1">
      <c r="A27" s="49" t="s">
        <v>21</v>
      </c>
      <c r="B27" s="53" t="s">
        <v>163</v>
      </c>
      <c r="C27" s="50">
        <v>14</v>
      </c>
      <c r="D27" s="50">
        <v>14</v>
      </c>
      <c r="E27" s="50">
        <v>0</v>
      </c>
      <c r="F27" s="50">
        <v>2</v>
      </c>
      <c r="G27" s="50">
        <v>7</v>
      </c>
      <c r="H27" s="50">
        <v>7</v>
      </c>
      <c r="I27" s="50">
        <v>0</v>
      </c>
      <c r="J27" s="50">
        <v>4</v>
      </c>
      <c r="K27" s="50" t="s">
        <v>623</v>
      </c>
      <c r="L27" s="50" t="s">
        <v>585</v>
      </c>
      <c r="M27" s="50" t="s">
        <v>6</v>
      </c>
    </row>
    <row r="28" spans="1:13" ht="14.25" customHeight="1">
      <c r="A28" s="54" t="s">
        <v>21</v>
      </c>
      <c r="B28" s="56" t="s">
        <v>160</v>
      </c>
      <c r="C28" s="55">
        <v>11</v>
      </c>
      <c r="D28" s="55">
        <v>11</v>
      </c>
      <c r="E28" s="55">
        <v>0</v>
      </c>
      <c r="F28" s="55">
        <v>2</v>
      </c>
      <c r="G28" s="55">
        <v>5.5</v>
      </c>
      <c r="H28" s="55">
        <v>5.5</v>
      </c>
      <c r="I28" s="55">
        <v>0</v>
      </c>
      <c r="J28" s="55">
        <v>3</v>
      </c>
      <c r="K28" s="55" t="s">
        <v>624</v>
      </c>
      <c r="L28" s="55" t="s">
        <v>625</v>
      </c>
      <c r="M28" s="55" t="s">
        <v>6</v>
      </c>
    </row>
    <row r="29" spans="1:13" ht="14.25" customHeight="1">
      <c r="A29" s="49" t="s">
        <v>21</v>
      </c>
      <c r="B29" s="53" t="s">
        <v>166</v>
      </c>
      <c r="C29" s="50">
        <v>7</v>
      </c>
      <c r="D29" s="50">
        <v>7</v>
      </c>
      <c r="E29" s="50">
        <v>0</v>
      </c>
      <c r="F29" s="50">
        <v>1</v>
      </c>
      <c r="G29" s="50">
        <v>7</v>
      </c>
      <c r="H29" s="50">
        <v>7</v>
      </c>
      <c r="I29" s="50">
        <v>0</v>
      </c>
      <c r="J29" s="50">
        <v>3</v>
      </c>
      <c r="K29" s="50" t="s">
        <v>626</v>
      </c>
      <c r="L29" s="50" t="s">
        <v>626</v>
      </c>
      <c r="M29" s="50" t="s">
        <v>6</v>
      </c>
    </row>
    <row r="30" spans="1:13" ht="14.25" customHeight="1">
      <c r="A30" s="54" t="s">
        <v>21</v>
      </c>
      <c r="B30" s="56" t="s">
        <v>216</v>
      </c>
      <c r="C30" s="55">
        <v>4</v>
      </c>
      <c r="D30" s="55">
        <v>4</v>
      </c>
      <c r="E30" s="55">
        <v>0</v>
      </c>
      <c r="F30" s="55">
        <v>1</v>
      </c>
      <c r="G30" s="55">
        <v>4</v>
      </c>
      <c r="H30" s="55">
        <v>4</v>
      </c>
      <c r="I30" s="55">
        <v>0</v>
      </c>
      <c r="J30" s="55">
        <v>2</v>
      </c>
      <c r="K30" s="55" t="s">
        <v>627</v>
      </c>
      <c r="L30" s="55" t="s">
        <v>627</v>
      </c>
      <c r="M30" s="55" t="s">
        <v>6</v>
      </c>
    </row>
    <row r="31" spans="1:13" ht="14.25" customHeight="1">
      <c r="A31" s="49" t="s">
        <v>21</v>
      </c>
      <c r="B31" s="53" t="s">
        <v>211</v>
      </c>
      <c r="C31" s="50">
        <v>3</v>
      </c>
      <c r="D31" s="50">
        <v>3</v>
      </c>
      <c r="E31" s="50">
        <v>0</v>
      </c>
      <c r="F31" s="50">
        <v>1</v>
      </c>
      <c r="G31" s="50">
        <v>3</v>
      </c>
      <c r="H31" s="50">
        <v>3</v>
      </c>
      <c r="I31" s="50">
        <v>0</v>
      </c>
      <c r="J31" s="50">
        <v>1</v>
      </c>
      <c r="K31" s="50" t="s">
        <v>628</v>
      </c>
      <c r="L31" s="50" t="s">
        <v>628</v>
      </c>
      <c r="M31" s="50" t="s">
        <v>6</v>
      </c>
    </row>
    <row r="32" spans="1:13" ht="14.25" customHeight="1">
      <c r="A32" s="54" t="s">
        <v>21</v>
      </c>
      <c r="B32" s="54" t="s">
        <v>127</v>
      </c>
      <c r="C32" s="55">
        <v>3</v>
      </c>
      <c r="D32" s="55">
        <v>2</v>
      </c>
      <c r="E32" s="55">
        <v>1</v>
      </c>
      <c r="F32" s="55">
        <v>1</v>
      </c>
      <c r="G32" s="55">
        <v>3</v>
      </c>
      <c r="H32" s="55">
        <v>2</v>
      </c>
      <c r="I32" s="55">
        <v>1</v>
      </c>
      <c r="J32" s="55">
        <v>2</v>
      </c>
      <c r="K32" s="55" t="s">
        <v>629</v>
      </c>
      <c r="L32" s="55" t="s">
        <v>629</v>
      </c>
      <c r="M32" s="55" t="s">
        <v>6</v>
      </c>
    </row>
    <row r="33" spans="1:13" ht="14.25" customHeight="1">
      <c r="A33" s="49" t="s">
        <v>21</v>
      </c>
      <c r="B33" s="53" t="s">
        <v>156</v>
      </c>
      <c r="C33" s="50">
        <v>3</v>
      </c>
      <c r="D33" s="50">
        <v>3</v>
      </c>
      <c r="E33" s="50">
        <v>0</v>
      </c>
      <c r="F33" s="50">
        <v>1</v>
      </c>
      <c r="G33" s="50">
        <v>3</v>
      </c>
      <c r="H33" s="50">
        <v>3</v>
      </c>
      <c r="I33" s="50">
        <v>0</v>
      </c>
      <c r="J33" s="50">
        <v>1</v>
      </c>
      <c r="K33" s="50" t="s">
        <v>630</v>
      </c>
      <c r="L33" s="50" t="s">
        <v>630</v>
      </c>
      <c r="M33" s="50" t="s">
        <v>6</v>
      </c>
    </row>
    <row r="34" spans="1:13" ht="14.25" customHeight="1">
      <c r="A34" s="54" t="s">
        <v>21</v>
      </c>
      <c r="B34" s="56" t="s">
        <v>232</v>
      </c>
      <c r="C34" s="55">
        <v>3</v>
      </c>
      <c r="D34" s="55">
        <v>3</v>
      </c>
      <c r="E34" s="55">
        <v>0</v>
      </c>
      <c r="F34" s="55">
        <v>1</v>
      </c>
      <c r="G34" s="55">
        <v>3</v>
      </c>
      <c r="H34" s="55">
        <v>3</v>
      </c>
      <c r="I34" s="55">
        <v>0</v>
      </c>
      <c r="J34" s="55">
        <v>2</v>
      </c>
      <c r="K34" s="55" t="s">
        <v>631</v>
      </c>
      <c r="L34" s="55" t="s">
        <v>631</v>
      </c>
      <c r="M34" s="55" t="s">
        <v>6</v>
      </c>
    </row>
    <row r="35" spans="1:13" ht="14.25" customHeight="1">
      <c r="A35" s="49" t="s">
        <v>21</v>
      </c>
      <c r="B35" s="53" t="s">
        <v>180</v>
      </c>
      <c r="C35" s="50">
        <v>2</v>
      </c>
      <c r="D35" s="50">
        <v>2</v>
      </c>
      <c r="E35" s="50">
        <v>0</v>
      </c>
      <c r="F35" s="50">
        <v>1</v>
      </c>
      <c r="G35" s="50">
        <v>2</v>
      </c>
      <c r="H35" s="50">
        <v>2</v>
      </c>
      <c r="I35" s="50">
        <v>0</v>
      </c>
      <c r="J35" s="50">
        <v>1</v>
      </c>
      <c r="K35" s="50" t="s">
        <v>632</v>
      </c>
      <c r="L35" s="50" t="s">
        <v>632</v>
      </c>
      <c r="M35" s="50" t="s">
        <v>6</v>
      </c>
    </row>
    <row r="36" spans="1:13" ht="14.25" customHeight="1">
      <c r="A36" s="54" t="s">
        <v>21</v>
      </c>
      <c r="B36" s="54" t="s">
        <v>326</v>
      </c>
      <c r="C36" s="55">
        <v>2</v>
      </c>
      <c r="D36" s="55">
        <v>2</v>
      </c>
      <c r="E36" s="55">
        <v>0</v>
      </c>
      <c r="F36" s="55">
        <v>1</v>
      </c>
      <c r="G36" s="55">
        <v>2</v>
      </c>
      <c r="H36" s="55">
        <v>2</v>
      </c>
      <c r="I36" s="55">
        <v>0</v>
      </c>
      <c r="J36" s="55">
        <v>1</v>
      </c>
      <c r="K36" s="55" t="s">
        <v>633</v>
      </c>
      <c r="L36" s="55" t="s">
        <v>633</v>
      </c>
      <c r="M36" s="55" t="s">
        <v>6</v>
      </c>
    </row>
    <row r="37" spans="1:13" ht="14.25" customHeight="1">
      <c r="A37" s="49" t="s">
        <v>21</v>
      </c>
      <c r="B37" s="49" t="s">
        <v>324</v>
      </c>
      <c r="C37" s="50">
        <v>2</v>
      </c>
      <c r="D37" s="50">
        <v>2</v>
      </c>
      <c r="E37" s="50">
        <v>0</v>
      </c>
      <c r="F37" s="50">
        <v>1</v>
      </c>
      <c r="G37" s="50">
        <v>2</v>
      </c>
      <c r="H37" s="50">
        <v>2</v>
      </c>
      <c r="I37" s="50">
        <v>0</v>
      </c>
      <c r="J37" s="50">
        <v>1</v>
      </c>
      <c r="K37" s="50" t="s">
        <v>634</v>
      </c>
      <c r="L37" s="50" t="s">
        <v>634</v>
      </c>
      <c r="M37" s="50" t="s">
        <v>6</v>
      </c>
    </row>
    <row r="38" spans="1:13" ht="14.25" customHeight="1">
      <c r="A38" s="54" t="s">
        <v>21</v>
      </c>
      <c r="B38" s="56" t="s">
        <v>334</v>
      </c>
      <c r="C38" s="55">
        <v>2</v>
      </c>
      <c r="D38" s="55">
        <v>2</v>
      </c>
      <c r="E38" s="55">
        <v>0</v>
      </c>
      <c r="F38" s="55">
        <v>1</v>
      </c>
      <c r="G38" s="55">
        <v>2</v>
      </c>
      <c r="H38" s="55">
        <v>2</v>
      </c>
      <c r="I38" s="55">
        <v>0</v>
      </c>
      <c r="J38" s="55">
        <v>1</v>
      </c>
      <c r="K38" s="55" t="s">
        <v>635</v>
      </c>
      <c r="L38" s="55" t="s">
        <v>635</v>
      </c>
      <c r="M38" s="55" t="s">
        <v>6</v>
      </c>
    </row>
    <row r="39" spans="1:13" ht="14.25" customHeight="1">
      <c r="A39" s="49" t="s">
        <v>21</v>
      </c>
      <c r="B39" s="49" t="s">
        <v>329</v>
      </c>
      <c r="C39" s="50">
        <v>2</v>
      </c>
      <c r="D39" s="50">
        <v>2</v>
      </c>
      <c r="E39" s="50">
        <v>0</v>
      </c>
      <c r="F39" s="50">
        <v>1</v>
      </c>
      <c r="G39" s="50">
        <v>2</v>
      </c>
      <c r="H39" s="50">
        <v>2</v>
      </c>
      <c r="I39" s="50">
        <v>0</v>
      </c>
      <c r="J39" s="50">
        <v>1</v>
      </c>
      <c r="K39" s="50" t="s">
        <v>636</v>
      </c>
      <c r="L39" s="50" t="s">
        <v>636</v>
      </c>
      <c r="M39" s="50" t="s">
        <v>6</v>
      </c>
    </row>
    <row r="40" spans="1:13" ht="14.25" customHeight="1">
      <c r="A40" s="54" t="s">
        <v>21</v>
      </c>
      <c r="B40" s="54" t="s">
        <v>124</v>
      </c>
      <c r="C40" s="55">
        <v>2</v>
      </c>
      <c r="D40" s="55">
        <v>2</v>
      </c>
      <c r="E40" s="55">
        <v>0</v>
      </c>
      <c r="F40" s="55">
        <v>1</v>
      </c>
      <c r="G40" s="55">
        <v>2</v>
      </c>
      <c r="H40" s="55">
        <v>2</v>
      </c>
      <c r="I40" s="55">
        <v>0</v>
      </c>
      <c r="J40" s="55">
        <v>1</v>
      </c>
      <c r="K40" s="55" t="s">
        <v>637</v>
      </c>
      <c r="L40" s="55" t="s">
        <v>637</v>
      </c>
      <c r="M40" s="55" t="s">
        <v>6</v>
      </c>
    </row>
    <row r="41" spans="1:13" ht="14.25" customHeight="1">
      <c r="A41" s="49" t="s">
        <v>21</v>
      </c>
      <c r="B41" s="49" t="s">
        <v>331</v>
      </c>
      <c r="C41" s="50">
        <v>2</v>
      </c>
      <c r="D41" s="50">
        <v>2</v>
      </c>
      <c r="E41" s="50">
        <v>0</v>
      </c>
      <c r="F41" s="50">
        <v>1</v>
      </c>
      <c r="G41" s="50">
        <v>2</v>
      </c>
      <c r="H41" s="50">
        <v>2</v>
      </c>
      <c r="I41" s="50">
        <v>0</v>
      </c>
      <c r="J41" s="50">
        <v>1</v>
      </c>
      <c r="K41" s="50" t="s">
        <v>638</v>
      </c>
      <c r="L41" s="50" t="s">
        <v>638</v>
      </c>
      <c r="M41" s="50" t="s">
        <v>6</v>
      </c>
    </row>
    <row r="42" spans="1:13" ht="14.25" customHeight="1">
      <c r="A42" s="54" t="s">
        <v>21</v>
      </c>
      <c r="B42" s="56" t="s">
        <v>187</v>
      </c>
      <c r="C42" s="55">
        <v>2</v>
      </c>
      <c r="D42" s="55">
        <v>2</v>
      </c>
      <c r="E42" s="55">
        <v>0</v>
      </c>
      <c r="F42" s="55">
        <v>1</v>
      </c>
      <c r="G42" s="55">
        <v>2</v>
      </c>
      <c r="H42" s="55">
        <v>2</v>
      </c>
      <c r="I42" s="55">
        <v>0</v>
      </c>
      <c r="J42" s="55">
        <v>1</v>
      </c>
      <c r="K42" s="55" t="s">
        <v>639</v>
      </c>
      <c r="L42" s="55" t="s">
        <v>639</v>
      </c>
      <c r="M42" s="55" t="s">
        <v>6</v>
      </c>
    </row>
    <row r="43" spans="1:13" ht="14.25" customHeight="1">
      <c r="A43" s="49" t="s">
        <v>21</v>
      </c>
      <c r="B43" s="53" t="s">
        <v>246</v>
      </c>
      <c r="C43" s="50">
        <v>1</v>
      </c>
      <c r="D43" s="50">
        <v>1</v>
      </c>
      <c r="E43" s="50">
        <v>0</v>
      </c>
      <c r="F43" s="50">
        <v>1</v>
      </c>
      <c r="G43" s="50">
        <v>1</v>
      </c>
      <c r="H43" s="50">
        <v>1</v>
      </c>
      <c r="I43" s="50">
        <v>0</v>
      </c>
      <c r="J43" s="50">
        <v>1</v>
      </c>
      <c r="K43" s="50" t="s">
        <v>588</v>
      </c>
      <c r="L43" s="50" t="s">
        <v>588</v>
      </c>
      <c r="M43" s="50" t="s">
        <v>6</v>
      </c>
    </row>
    <row r="44" spans="1:13" ht="14.25" customHeight="1">
      <c r="A44" s="54" t="s">
        <v>21</v>
      </c>
      <c r="B44" s="56" t="s">
        <v>184</v>
      </c>
      <c r="C44" s="55">
        <v>1</v>
      </c>
      <c r="D44" s="55">
        <v>1</v>
      </c>
      <c r="E44" s="55">
        <v>0</v>
      </c>
      <c r="F44" s="55">
        <v>1</v>
      </c>
      <c r="G44" s="55">
        <v>1</v>
      </c>
      <c r="H44" s="55">
        <v>1</v>
      </c>
      <c r="I44" s="55">
        <v>0</v>
      </c>
      <c r="J44" s="55">
        <v>1</v>
      </c>
      <c r="K44" s="55" t="s">
        <v>640</v>
      </c>
      <c r="L44" s="55" t="s">
        <v>640</v>
      </c>
      <c r="M44" s="55" t="s">
        <v>6</v>
      </c>
    </row>
    <row r="45" spans="1:13" ht="14.25" customHeight="1">
      <c r="A45" s="49" t="s">
        <v>21</v>
      </c>
      <c r="B45" s="53" t="s">
        <v>248</v>
      </c>
      <c r="C45" s="50">
        <v>1</v>
      </c>
      <c r="D45" s="50">
        <v>1</v>
      </c>
      <c r="E45" s="50">
        <v>0</v>
      </c>
      <c r="F45" s="50">
        <v>1</v>
      </c>
      <c r="G45" s="50">
        <v>1</v>
      </c>
      <c r="H45" s="50">
        <v>1</v>
      </c>
      <c r="I45" s="50">
        <v>0</v>
      </c>
      <c r="J45" s="50">
        <v>1</v>
      </c>
      <c r="K45" s="50" t="s">
        <v>594</v>
      </c>
      <c r="L45" s="50" t="s">
        <v>594</v>
      </c>
      <c r="M45" s="50" t="s">
        <v>6</v>
      </c>
    </row>
    <row r="46" spans="1:13" ht="14.25" customHeight="1">
      <c r="A46" s="54" t="s">
        <v>21</v>
      </c>
      <c r="B46" s="56" t="s">
        <v>168</v>
      </c>
      <c r="C46" s="55">
        <v>1</v>
      </c>
      <c r="D46" s="55">
        <v>1</v>
      </c>
      <c r="E46" s="55">
        <v>0</v>
      </c>
      <c r="F46" s="55">
        <v>1</v>
      </c>
      <c r="G46" s="55">
        <v>1</v>
      </c>
      <c r="H46" s="55">
        <v>1</v>
      </c>
      <c r="I46" s="55">
        <v>0</v>
      </c>
      <c r="J46" s="55">
        <v>1</v>
      </c>
      <c r="K46" s="55" t="s">
        <v>595</v>
      </c>
      <c r="L46" s="55" t="s">
        <v>595</v>
      </c>
      <c r="M46" s="55" t="s">
        <v>6</v>
      </c>
    </row>
    <row r="47" spans="1:13" ht="14.25" customHeight="1">
      <c r="A47" s="49" t="s">
        <v>21</v>
      </c>
      <c r="B47" s="53" t="s">
        <v>251</v>
      </c>
      <c r="C47" s="50">
        <v>1</v>
      </c>
      <c r="D47" s="50">
        <v>1</v>
      </c>
      <c r="E47" s="50">
        <v>0</v>
      </c>
      <c r="F47" s="50">
        <v>1</v>
      </c>
      <c r="G47" s="50">
        <v>1</v>
      </c>
      <c r="H47" s="50">
        <v>1</v>
      </c>
      <c r="I47" s="50">
        <v>0</v>
      </c>
      <c r="J47" s="50">
        <v>1</v>
      </c>
      <c r="K47" s="50" t="s">
        <v>641</v>
      </c>
      <c r="L47" s="50" t="s">
        <v>641</v>
      </c>
      <c r="M47" s="50" t="s">
        <v>6</v>
      </c>
    </row>
    <row r="48" spans="1:13" ht="14.25" customHeight="1">
      <c r="A48" s="54" t="s">
        <v>21</v>
      </c>
      <c r="B48" s="56" t="s">
        <v>235</v>
      </c>
      <c r="C48" s="55">
        <v>1</v>
      </c>
      <c r="D48" s="55">
        <v>1</v>
      </c>
      <c r="E48" s="55">
        <v>0</v>
      </c>
      <c r="F48" s="55">
        <v>1</v>
      </c>
      <c r="G48" s="55">
        <v>1</v>
      </c>
      <c r="H48" s="55">
        <v>1</v>
      </c>
      <c r="I48" s="55">
        <v>0</v>
      </c>
      <c r="J48" s="55">
        <v>1</v>
      </c>
      <c r="K48" s="55" t="s">
        <v>642</v>
      </c>
      <c r="L48" s="55" t="s">
        <v>642</v>
      </c>
      <c r="M48" s="55" t="s">
        <v>6</v>
      </c>
    </row>
    <row r="49" spans="1:13" ht="14.25" customHeight="1">
      <c r="A49" s="49" t="s">
        <v>21</v>
      </c>
      <c r="B49" s="53" t="s">
        <v>237</v>
      </c>
      <c r="C49" s="50">
        <v>1</v>
      </c>
      <c r="D49" s="50">
        <v>1</v>
      </c>
      <c r="E49" s="50">
        <v>0</v>
      </c>
      <c r="F49" s="50">
        <v>1</v>
      </c>
      <c r="G49" s="50">
        <v>1</v>
      </c>
      <c r="H49" s="50">
        <v>1</v>
      </c>
      <c r="I49" s="50">
        <v>0</v>
      </c>
      <c r="J49" s="50">
        <v>1</v>
      </c>
      <c r="K49" s="50" t="s">
        <v>643</v>
      </c>
      <c r="L49" s="50" t="s">
        <v>643</v>
      </c>
      <c r="M49" s="50" t="s">
        <v>6</v>
      </c>
    </row>
    <row r="50" spans="1:13" ht="14.25" customHeight="1">
      <c r="A50" s="54" t="s">
        <v>21</v>
      </c>
      <c r="B50" s="56" t="s">
        <v>239</v>
      </c>
      <c r="C50" s="55">
        <v>1</v>
      </c>
      <c r="D50" s="55">
        <v>1</v>
      </c>
      <c r="E50" s="55">
        <v>0</v>
      </c>
      <c r="F50" s="55">
        <v>1</v>
      </c>
      <c r="G50" s="55">
        <v>1</v>
      </c>
      <c r="H50" s="55">
        <v>1</v>
      </c>
      <c r="I50" s="55">
        <v>0</v>
      </c>
      <c r="J50" s="55">
        <v>1</v>
      </c>
      <c r="K50" s="55" t="s">
        <v>580</v>
      </c>
      <c r="L50" s="55" t="s">
        <v>580</v>
      </c>
      <c r="M50" s="55" t="s">
        <v>6</v>
      </c>
    </row>
    <row r="51" spans="1:13" ht="14.25" customHeight="1">
      <c r="A51" s="49" t="s">
        <v>21</v>
      </c>
      <c r="B51" s="53" t="s">
        <v>241</v>
      </c>
      <c r="C51" s="50">
        <v>1</v>
      </c>
      <c r="D51" s="50">
        <v>1</v>
      </c>
      <c r="E51" s="50">
        <v>0</v>
      </c>
      <c r="F51" s="50">
        <v>0</v>
      </c>
      <c r="G51" s="50">
        <v>1</v>
      </c>
      <c r="H51" s="50">
        <v>1</v>
      </c>
      <c r="I51" s="50">
        <v>0</v>
      </c>
      <c r="J51" s="50">
        <v>1</v>
      </c>
      <c r="K51" s="50" t="s">
        <v>644</v>
      </c>
      <c r="L51" s="50" t="s">
        <v>580</v>
      </c>
      <c r="M51" s="50" t="s">
        <v>6</v>
      </c>
    </row>
    <row r="52" spans="1:13" ht="14.25" customHeight="1">
      <c r="A52" s="54" t="s">
        <v>21</v>
      </c>
      <c r="B52" s="56" t="s">
        <v>243</v>
      </c>
      <c r="C52" s="55">
        <v>1</v>
      </c>
      <c r="D52" s="55">
        <v>1</v>
      </c>
      <c r="E52" s="55">
        <v>0</v>
      </c>
      <c r="F52" s="55">
        <v>0</v>
      </c>
      <c r="G52" s="55">
        <v>1</v>
      </c>
      <c r="H52" s="55">
        <v>1</v>
      </c>
      <c r="I52" s="55">
        <v>0</v>
      </c>
      <c r="J52" s="55">
        <v>1</v>
      </c>
      <c r="K52" s="55" t="s">
        <v>644</v>
      </c>
      <c r="L52" s="55" t="s">
        <v>580</v>
      </c>
      <c r="M52" s="55" t="s">
        <v>6</v>
      </c>
    </row>
    <row r="53" spans="1:13" ht="14.25" customHeight="1">
      <c r="A53" s="49" t="s">
        <v>21</v>
      </c>
      <c r="B53" s="53" t="s">
        <v>253</v>
      </c>
      <c r="C53" s="50">
        <v>1</v>
      </c>
      <c r="D53" s="50">
        <v>1</v>
      </c>
      <c r="E53" s="50">
        <v>0</v>
      </c>
      <c r="F53" s="50">
        <v>0</v>
      </c>
      <c r="G53" s="50">
        <v>1</v>
      </c>
      <c r="H53" s="50">
        <v>1</v>
      </c>
      <c r="I53" s="50">
        <v>0</v>
      </c>
      <c r="J53" s="50">
        <v>1</v>
      </c>
      <c r="K53" s="50" t="s">
        <v>644</v>
      </c>
      <c r="L53" s="50" t="s">
        <v>580</v>
      </c>
      <c r="M53" s="50" t="s">
        <v>6</v>
      </c>
    </row>
    <row r="54" spans="1:13" ht="14.25" customHeight="1">
      <c r="A54" s="54" t="s">
        <v>21</v>
      </c>
      <c r="B54" s="56" t="s">
        <v>182</v>
      </c>
      <c r="C54" s="55">
        <v>1</v>
      </c>
      <c r="D54" s="55">
        <v>1</v>
      </c>
      <c r="E54" s="55">
        <v>0</v>
      </c>
      <c r="F54" s="55">
        <v>0</v>
      </c>
      <c r="G54" s="55">
        <v>1</v>
      </c>
      <c r="H54" s="55">
        <v>1</v>
      </c>
      <c r="I54" s="55">
        <v>0</v>
      </c>
      <c r="J54" s="55">
        <v>1</v>
      </c>
      <c r="K54" s="55" t="s">
        <v>644</v>
      </c>
      <c r="L54" s="55" t="s">
        <v>580</v>
      </c>
      <c r="M54" s="55" t="s">
        <v>6</v>
      </c>
    </row>
    <row r="55" spans="1:13" ht="14.25" customHeight="1">
      <c r="A55" s="49" t="s">
        <v>22</v>
      </c>
      <c r="B55" s="53" t="s">
        <v>512</v>
      </c>
      <c r="C55" s="50">
        <v>232</v>
      </c>
      <c r="D55" s="50">
        <v>188</v>
      </c>
      <c r="E55" s="50">
        <v>44</v>
      </c>
      <c r="F55" s="50">
        <v>50</v>
      </c>
      <c r="G55" s="50">
        <v>4.6399999999999997</v>
      </c>
      <c r="H55" s="50">
        <v>3.76</v>
      </c>
      <c r="I55" s="50">
        <v>0.88</v>
      </c>
      <c r="J55" s="50">
        <v>57</v>
      </c>
      <c r="K55" s="50" t="s">
        <v>581</v>
      </c>
      <c r="L55" s="50" t="s">
        <v>596</v>
      </c>
      <c r="M55" s="50" t="s">
        <v>6</v>
      </c>
    </row>
    <row r="56" spans="1:13" ht="14.25" customHeight="1">
      <c r="A56" s="54" t="s">
        <v>22</v>
      </c>
      <c r="B56" s="54" t="s">
        <v>504</v>
      </c>
      <c r="C56" s="55">
        <v>44</v>
      </c>
      <c r="D56" s="55">
        <v>44</v>
      </c>
      <c r="E56" s="55">
        <v>0</v>
      </c>
      <c r="F56" s="55">
        <v>9</v>
      </c>
      <c r="G56" s="55">
        <v>4.8899999999999997</v>
      </c>
      <c r="H56" s="55">
        <v>4.8899999999999997</v>
      </c>
      <c r="I56" s="55">
        <v>0</v>
      </c>
      <c r="J56" s="55">
        <v>3</v>
      </c>
      <c r="K56" s="55" t="s">
        <v>597</v>
      </c>
      <c r="L56" s="55" t="s">
        <v>645</v>
      </c>
      <c r="M56" s="55" t="s">
        <v>6</v>
      </c>
    </row>
    <row r="57" spans="1:13" ht="14.25" customHeight="1">
      <c r="A57" s="49" t="s">
        <v>22</v>
      </c>
      <c r="B57" s="49" t="s">
        <v>501</v>
      </c>
      <c r="C57" s="50">
        <v>39</v>
      </c>
      <c r="D57" s="50">
        <v>39</v>
      </c>
      <c r="E57" s="50">
        <v>0</v>
      </c>
      <c r="F57" s="50">
        <v>8</v>
      </c>
      <c r="G57" s="50">
        <v>4.88</v>
      </c>
      <c r="H57" s="50">
        <v>4.88</v>
      </c>
      <c r="I57" s="50">
        <v>0</v>
      </c>
      <c r="J57" s="50">
        <v>2</v>
      </c>
      <c r="K57" s="50" t="s">
        <v>646</v>
      </c>
      <c r="L57" s="50" t="s">
        <v>647</v>
      </c>
      <c r="M57" s="50" t="s">
        <v>6</v>
      </c>
    </row>
    <row r="58" spans="1:13" ht="14.25" customHeight="1">
      <c r="A58" s="54" t="s">
        <v>22</v>
      </c>
      <c r="B58" s="56" t="s">
        <v>509</v>
      </c>
      <c r="C58" s="55">
        <v>8</v>
      </c>
      <c r="D58" s="55">
        <v>8</v>
      </c>
      <c r="E58" s="55">
        <v>0</v>
      </c>
      <c r="F58" s="55">
        <v>1</v>
      </c>
      <c r="G58" s="55">
        <v>8</v>
      </c>
      <c r="H58" s="55">
        <v>8</v>
      </c>
      <c r="I58" s="55">
        <v>0</v>
      </c>
      <c r="J58" s="55">
        <v>2</v>
      </c>
      <c r="K58" s="55" t="s">
        <v>648</v>
      </c>
      <c r="L58" s="55" t="s">
        <v>648</v>
      </c>
      <c r="M58" s="55" t="s">
        <v>6</v>
      </c>
    </row>
    <row r="59" spans="1:13" ht="14.25" customHeight="1">
      <c r="A59" s="49" t="s">
        <v>22</v>
      </c>
      <c r="B59" s="49" t="s">
        <v>508</v>
      </c>
      <c r="C59" s="50">
        <v>4</v>
      </c>
      <c r="D59" s="50">
        <v>4</v>
      </c>
      <c r="E59" s="50">
        <v>0</v>
      </c>
      <c r="F59" s="50">
        <v>1</v>
      </c>
      <c r="G59" s="50">
        <v>4</v>
      </c>
      <c r="H59" s="50">
        <v>4</v>
      </c>
      <c r="I59" s="50">
        <v>0</v>
      </c>
      <c r="J59" s="50">
        <v>1</v>
      </c>
      <c r="K59" s="50" t="s">
        <v>649</v>
      </c>
      <c r="L59" s="50" t="s">
        <v>649</v>
      </c>
      <c r="M59" s="50" t="s">
        <v>6</v>
      </c>
    </row>
    <row r="60" spans="1:13" ht="14.25" customHeight="1">
      <c r="A60" s="54" t="s">
        <v>23</v>
      </c>
      <c r="B60" s="54" t="s">
        <v>415</v>
      </c>
      <c r="C60" s="55">
        <v>59</v>
      </c>
      <c r="D60" s="55">
        <v>59</v>
      </c>
      <c r="E60" s="55">
        <v>0</v>
      </c>
      <c r="F60" s="55">
        <v>17</v>
      </c>
      <c r="G60" s="55">
        <v>3.47</v>
      </c>
      <c r="H60" s="55">
        <v>3.47</v>
      </c>
      <c r="I60" s="55">
        <v>0</v>
      </c>
      <c r="J60" s="55">
        <v>29</v>
      </c>
      <c r="K60" s="55" t="s">
        <v>583</v>
      </c>
      <c r="L60" s="55" t="s">
        <v>632</v>
      </c>
      <c r="M60" s="55" t="s">
        <v>6</v>
      </c>
    </row>
    <row r="61" spans="1:13" ht="14.25" customHeight="1">
      <c r="A61" s="49" t="s">
        <v>23</v>
      </c>
      <c r="B61" s="49" t="s">
        <v>391</v>
      </c>
      <c r="C61" s="50">
        <v>36</v>
      </c>
      <c r="D61" s="50">
        <v>36</v>
      </c>
      <c r="E61" s="50">
        <v>0</v>
      </c>
      <c r="F61" s="50">
        <v>11</v>
      </c>
      <c r="G61" s="50">
        <v>3.27</v>
      </c>
      <c r="H61" s="50">
        <v>3.27</v>
      </c>
      <c r="I61" s="50">
        <v>0</v>
      </c>
      <c r="J61" s="50">
        <v>13</v>
      </c>
      <c r="K61" s="50" t="s">
        <v>633</v>
      </c>
      <c r="L61" s="50" t="s">
        <v>595</v>
      </c>
      <c r="M61" s="50" t="s">
        <v>6</v>
      </c>
    </row>
    <row r="62" spans="1:13" ht="14.25" customHeight="1">
      <c r="A62" s="54" t="s">
        <v>23</v>
      </c>
      <c r="B62" s="54" t="s">
        <v>405</v>
      </c>
      <c r="C62" s="55">
        <v>23</v>
      </c>
      <c r="D62" s="55">
        <v>23</v>
      </c>
      <c r="E62" s="55">
        <v>0</v>
      </c>
      <c r="F62" s="55">
        <v>6</v>
      </c>
      <c r="G62" s="55">
        <v>3.83</v>
      </c>
      <c r="H62" s="55">
        <v>3.83</v>
      </c>
      <c r="I62" s="55">
        <v>0</v>
      </c>
      <c r="J62" s="55">
        <v>9</v>
      </c>
      <c r="K62" s="55" t="s">
        <v>641</v>
      </c>
      <c r="L62" s="55" t="s">
        <v>650</v>
      </c>
      <c r="M62" s="55" t="s">
        <v>6</v>
      </c>
    </row>
    <row r="63" spans="1:13" ht="14.25" customHeight="1">
      <c r="A63" s="49" t="s">
        <v>23</v>
      </c>
      <c r="B63" s="53" t="s">
        <v>453</v>
      </c>
      <c r="C63" s="50">
        <v>17</v>
      </c>
      <c r="D63" s="50">
        <v>6</v>
      </c>
      <c r="E63" s="50">
        <v>11</v>
      </c>
      <c r="F63" s="50">
        <v>5</v>
      </c>
      <c r="G63" s="50">
        <v>3.4</v>
      </c>
      <c r="H63" s="50">
        <v>1.2</v>
      </c>
      <c r="I63" s="50">
        <v>2.2000000000000002</v>
      </c>
      <c r="J63" s="50">
        <v>5</v>
      </c>
      <c r="K63" s="50" t="s">
        <v>651</v>
      </c>
      <c r="L63" s="50" t="s">
        <v>586</v>
      </c>
      <c r="M63" s="50" t="s">
        <v>6</v>
      </c>
    </row>
    <row r="64" spans="1:13" ht="14.25" customHeight="1">
      <c r="A64" s="54" t="s">
        <v>23</v>
      </c>
      <c r="B64" s="56" t="s">
        <v>448</v>
      </c>
      <c r="C64" s="55">
        <v>3</v>
      </c>
      <c r="D64" s="55">
        <v>3</v>
      </c>
      <c r="E64" s="55">
        <v>0</v>
      </c>
      <c r="F64" s="55">
        <v>1</v>
      </c>
      <c r="G64" s="55">
        <v>3</v>
      </c>
      <c r="H64" s="55">
        <v>3</v>
      </c>
      <c r="I64" s="55">
        <v>0</v>
      </c>
      <c r="J64" s="55">
        <v>1</v>
      </c>
      <c r="K64" s="55" t="s">
        <v>589</v>
      </c>
      <c r="L64" s="55" t="s">
        <v>589</v>
      </c>
      <c r="M64" s="55" t="s">
        <v>6</v>
      </c>
    </row>
    <row r="65" spans="1:13" ht="14.25" customHeight="1">
      <c r="A65" s="49" t="s">
        <v>23</v>
      </c>
      <c r="B65" s="49" t="s">
        <v>445</v>
      </c>
      <c r="C65" s="50">
        <v>2</v>
      </c>
      <c r="D65" s="50">
        <v>2</v>
      </c>
      <c r="E65" s="50">
        <v>0</v>
      </c>
      <c r="F65" s="50">
        <v>1</v>
      </c>
      <c r="G65" s="50">
        <v>2</v>
      </c>
      <c r="H65" s="50">
        <v>2</v>
      </c>
      <c r="I65" s="50">
        <v>0</v>
      </c>
      <c r="J65" s="50">
        <v>1</v>
      </c>
      <c r="K65" s="50" t="s">
        <v>652</v>
      </c>
      <c r="L65" s="50" t="s">
        <v>652</v>
      </c>
      <c r="M65" s="50" t="s">
        <v>6</v>
      </c>
    </row>
    <row r="66" spans="1:13" ht="14.25" customHeight="1">
      <c r="A66" s="54" t="s">
        <v>23</v>
      </c>
      <c r="B66" s="56" t="s">
        <v>446</v>
      </c>
      <c r="C66" s="55">
        <v>2</v>
      </c>
      <c r="D66" s="55">
        <v>2</v>
      </c>
      <c r="E66" s="55">
        <v>0</v>
      </c>
      <c r="F66" s="55">
        <v>1</v>
      </c>
      <c r="G66" s="55">
        <v>2</v>
      </c>
      <c r="H66" s="55">
        <v>2</v>
      </c>
      <c r="I66" s="55">
        <v>0</v>
      </c>
      <c r="J66" s="55">
        <v>1</v>
      </c>
      <c r="K66" s="55" t="s">
        <v>653</v>
      </c>
      <c r="L66" s="55" t="s">
        <v>653</v>
      </c>
      <c r="M66" s="55" t="s">
        <v>6</v>
      </c>
    </row>
    <row r="67" spans="1:13" ht="14.25" customHeight="1">
      <c r="A67" s="49" t="s">
        <v>23</v>
      </c>
      <c r="B67" s="49" t="s">
        <v>389</v>
      </c>
      <c r="C67" s="50">
        <v>1</v>
      </c>
      <c r="D67" s="50">
        <v>1</v>
      </c>
      <c r="E67" s="50">
        <v>0</v>
      </c>
      <c r="F67" s="50">
        <v>1</v>
      </c>
      <c r="G67" s="50">
        <v>1</v>
      </c>
      <c r="H67" s="50">
        <v>1</v>
      </c>
      <c r="I67" s="50">
        <v>0</v>
      </c>
      <c r="J67" s="50">
        <v>1</v>
      </c>
      <c r="K67" s="50" t="s">
        <v>596</v>
      </c>
      <c r="L67" s="50" t="s">
        <v>596</v>
      </c>
      <c r="M67" s="50" t="s">
        <v>6</v>
      </c>
    </row>
    <row r="68" spans="1:13" ht="14.25" customHeight="1">
      <c r="A68" s="54" t="s">
        <v>23</v>
      </c>
      <c r="B68" s="56" t="s">
        <v>449</v>
      </c>
      <c r="C68" s="55">
        <v>1</v>
      </c>
      <c r="D68" s="55">
        <v>1</v>
      </c>
      <c r="E68" s="55">
        <v>0</v>
      </c>
      <c r="F68" s="55">
        <v>1</v>
      </c>
      <c r="G68" s="55">
        <v>1</v>
      </c>
      <c r="H68" s="55">
        <v>1</v>
      </c>
      <c r="I68" s="55">
        <v>0</v>
      </c>
      <c r="J68" s="55">
        <v>1</v>
      </c>
      <c r="K68" s="55" t="s">
        <v>597</v>
      </c>
      <c r="L68" s="55" t="s">
        <v>597</v>
      </c>
      <c r="M68" s="55" t="s">
        <v>6</v>
      </c>
    </row>
    <row r="69" spans="1:13" ht="14.25" customHeight="1">
      <c r="A69" s="49" t="s">
        <v>23</v>
      </c>
      <c r="B69" s="53" t="s">
        <v>451</v>
      </c>
      <c r="C69" s="50">
        <v>1</v>
      </c>
      <c r="D69" s="50">
        <v>1</v>
      </c>
      <c r="E69" s="50">
        <v>0</v>
      </c>
      <c r="F69" s="50">
        <v>1</v>
      </c>
      <c r="G69" s="50">
        <v>1</v>
      </c>
      <c r="H69" s="50">
        <v>1</v>
      </c>
      <c r="I69" s="50">
        <v>0</v>
      </c>
      <c r="J69" s="50">
        <v>1</v>
      </c>
      <c r="K69" s="50" t="s">
        <v>587</v>
      </c>
      <c r="L69" s="50" t="s">
        <v>587</v>
      </c>
      <c r="M69" s="50" t="s">
        <v>6</v>
      </c>
    </row>
    <row r="70" spans="1:13" ht="14.25" customHeight="1">
      <c r="A70" s="54" t="s">
        <v>24</v>
      </c>
      <c r="B70" s="54" t="s">
        <v>24</v>
      </c>
      <c r="C70" s="55">
        <v>49</v>
      </c>
      <c r="D70" s="55">
        <v>24</v>
      </c>
      <c r="E70" s="55">
        <v>25</v>
      </c>
      <c r="F70" s="55">
        <v>14</v>
      </c>
      <c r="G70" s="55">
        <v>3.5</v>
      </c>
      <c r="H70" s="55">
        <v>1.71</v>
      </c>
      <c r="I70" s="55">
        <v>1.79</v>
      </c>
      <c r="J70" s="55">
        <v>14</v>
      </c>
      <c r="K70" s="55" t="s">
        <v>585</v>
      </c>
      <c r="L70" s="55" t="s">
        <v>636</v>
      </c>
      <c r="M70" s="55" t="s">
        <v>6</v>
      </c>
    </row>
    <row r="71" spans="1:13" ht="14.25" customHeight="1">
      <c r="A71" s="49" t="s">
        <v>24</v>
      </c>
      <c r="B71" s="53" t="s">
        <v>494</v>
      </c>
      <c r="C71" s="50">
        <v>23</v>
      </c>
      <c r="D71" s="50">
        <v>18</v>
      </c>
      <c r="E71" s="50">
        <v>5</v>
      </c>
      <c r="F71" s="50">
        <v>6</v>
      </c>
      <c r="G71" s="50">
        <v>3.83</v>
      </c>
      <c r="H71" s="50">
        <v>3</v>
      </c>
      <c r="I71" s="50">
        <v>0.83</v>
      </c>
      <c r="J71" s="50">
        <v>9</v>
      </c>
      <c r="K71" s="50" t="s">
        <v>637</v>
      </c>
      <c r="L71" s="50" t="s">
        <v>594</v>
      </c>
      <c r="M71" s="50" t="s">
        <v>6</v>
      </c>
    </row>
    <row r="72" spans="1:13" ht="14.25" customHeight="1">
      <c r="A72" s="54" t="s">
        <v>24</v>
      </c>
      <c r="B72" s="54" t="s">
        <v>469</v>
      </c>
      <c r="C72" s="55">
        <v>3</v>
      </c>
      <c r="D72" s="55">
        <v>2</v>
      </c>
      <c r="E72" s="55">
        <v>1</v>
      </c>
      <c r="F72" s="55">
        <v>1</v>
      </c>
      <c r="G72" s="55">
        <v>3</v>
      </c>
      <c r="H72" s="55">
        <v>2</v>
      </c>
      <c r="I72" s="55">
        <v>1</v>
      </c>
      <c r="J72" s="55">
        <v>2</v>
      </c>
      <c r="K72" s="55" t="s">
        <v>595</v>
      </c>
      <c r="L72" s="55" t="s">
        <v>595</v>
      </c>
      <c r="M72" s="55" t="s">
        <v>6</v>
      </c>
    </row>
    <row r="73" spans="1:13" ht="14.25" customHeight="1">
      <c r="A73" s="49" t="s">
        <v>24</v>
      </c>
      <c r="B73" s="49" t="s">
        <v>493</v>
      </c>
      <c r="C73" s="50">
        <v>3</v>
      </c>
      <c r="D73" s="50">
        <v>2</v>
      </c>
      <c r="E73" s="50">
        <v>1</v>
      </c>
      <c r="F73" s="50">
        <v>1</v>
      </c>
      <c r="G73" s="50">
        <v>3</v>
      </c>
      <c r="H73" s="50">
        <v>2</v>
      </c>
      <c r="I73" s="50">
        <v>1</v>
      </c>
      <c r="J73" s="50">
        <v>2</v>
      </c>
      <c r="K73" s="50" t="s">
        <v>641</v>
      </c>
      <c r="L73" s="50" t="s">
        <v>641</v>
      </c>
      <c r="M73" s="50" t="s">
        <v>6</v>
      </c>
    </row>
    <row r="74" spans="1:13" ht="14.25" customHeight="1">
      <c r="A74" s="54" t="s">
        <v>24</v>
      </c>
      <c r="B74" s="54" t="s">
        <v>459</v>
      </c>
      <c r="C74" s="55">
        <v>2</v>
      </c>
      <c r="D74" s="55">
        <v>2</v>
      </c>
      <c r="E74" s="55">
        <v>0</v>
      </c>
      <c r="F74" s="55">
        <v>1</v>
      </c>
      <c r="G74" s="55">
        <v>2</v>
      </c>
      <c r="H74" s="55">
        <v>2</v>
      </c>
      <c r="I74" s="55">
        <v>0</v>
      </c>
      <c r="J74" s="55">
        <v>1</v>
      </c>
      <c r="K74" s="55" t="s">
        <v>642</v>
      </c>
      <c r="L74" s="55" t="s">
        <v>642</v>
      </c>
      <c r="M74" s="55" t="s">
        <v>6</v>
      </c>
    </row>
    <row r="75" spans="1:13" ht="14.25" customHeight="1">
      <c r="A75" s="49" t="s">
        <v>24</v>
      </c>
      <c r="B75" s="49" t="s">
        <v>461</v>
      </c>
      <c r="C75" s="50">
        <v>2</v>
      </c>
      <c r="D75" s="50">
        <v>2</v>
      </c>
      <c r="E75" s="50">
        <v>0</v>
      </c>
      <c r="F75" s="50">
        <v>1</v>
      </c>
      <c r="G75" s="50">
        <v>2</v>
      </c>
      <c r="H75" s="50">
        <v>2</v>
      </c>
      <c r="I75" s="50">
        <v>0</v>
      </c>
      <c r="J75" s="50">
        <v>1</v>
      </c>
      <c r="K75" s="50" t="s">
        <v>643</v>
      </c>
      <c r="L75" s="50" t="s">
        <v>643</v>
      </c>
      <c r="M75" s="50" t="s">
        <v>6</v>
      </c>
    </row>
    <row r="76" spans="1:13" ht="14.25" customHeight="1">
      <c r="A76" s="54" t="s">
        <v>24</v>
      </c>
      <c r="B76" s="54" t="s">
        <v>464</v>
      </c>
      <c r="C76" s="55">
        <v>2</v>
      </c>
      <c r="D76" s="55">
        <v>2</v>
      </c>
      <c r="E76" s="55">
        <v>0</v>
      </c>
      <c r="F76" s="55">
        <v>1</v>
      </c>
      <c r="G76" s="55">
        <v>2</v>
      </c>
      <c r="H76" s="55">
        <v>2</v>
      </c>
      <c r="I76" s="55">
        <v>0</v>
      </c>
      <c r="J76" s="55">
        <v>1</v>
      </c>
      <c r="K76" s="55" t="s">
        <v>580</v>
      </c>
      <c r="L76" s="55" t="s">
        <v>580</v>
      </c>
      <c r="M76" s="55" t="s">
        <v>6</v>
      </c>
    </row>
    <row r="77" spans="1:13" ht="14.25" customHeight="1">
      <c r="A77" s="49" t="s">
        <v>24</v>
      </c>
      <c r="B77" s="49" t="s">
        <v>463</v>
      </c>
      <c r="C77" s="50">
        <v>2</v>
      </c>
      <c r="D77" s="50">
        <v>2</v>
      </c>
      <c r="E77" s="50">
        <v>0</v>
      </c>
      <c r="F77" s="50">
        <v>1</v>
      </c>
      <c r="G77" s="50">
        <v>2</v>
      </c>
      <c r="H77" s="50">
        <v>2</v>
      </c>
      <c r="I77" s="50">
        <v>0</v>
      </c>
      <c r="J77" s="50">
        <v>1</v>
      </c>
      <c r="K77" s="50" t="s">
        <v>644</v>
      </c>
      <c r="L77" s="50" t="s">
        <v>644</v>
      </c>
      <c r="M77" s="50" t="s">
        <v>6</v>
      </c>
    </row>
    <row r="78" spans="1:13" ht="14.25" customHeight="1">
      <c r="A78" s="54" t="s">
        <v>24</v>
      </c>
      <c r="B78" s="54" t="s">
        <v>466</v>
      </c>
      <c r="C78" s="55">
        <v>2</v>
      </c>
      <c r="D78" s="55">
        <v>2</v>
      </c>
      <c r="E78" s="55">
        <v>0</v>
      </c>
      <c r="F78" s="55">
        <v>1</v>
      </c>
      <c r="G78" s="55">
        <v>2</v>
      </c>
      <c r="H78" s="55">
        <v>2</v>
      </c>
      <c r="I78" s="55">
        <v>0</v>
      </c>
      <c r="J78" s="55">
        <v>1</v>
      </c>
      <c r="K78" s="55" t="s">
        <v>650</v>
      </c>
      <c r="L78" s="55" t="s">
        <v>650</v>
      </c>
      <c r="M78" s="55" t="s">
        <v>6</v>
      </c>
    </row>
    <row r="79" spans="1:13" ht="14.25" customHeight="1">
      <c r="A79" s="49" t="s">
        <v>24</v>
      </c>
      <c r="B79" s="49" t="s">
        <v>468</v>
      </c>
      <c r="C79" s="50">
        <v>2</v>
      </c>
      <c r="D79" s="50">
        <v>2</v>
      </c>
      <c r="E79" s="50">
        <v>0</v>
      </c>
      <c r="F79" s="50">
        <v>1</v>
      </c>
      <c r="G79" s="50">
        <v>2</v>
      </c>
      <c r="H79" s="50">
        <v>2</v>
      </c>
      <c r="I79" s="50">
        <v>0</v>
      </c>
      <c r="J79" s="50">
        <v>1</v>
      </c>
      <c r="K79" s="50" t="s">
        <v>651</v>
      </c>
      <c r="L79" s="50" t="s">
        <v>651</v>
      </c>
      <c r="M79" s="50" t="s">
        <v>6</v>
      </c>
    </row>
    <row r="80" spans="1:13" ht="14.25" customHeight="1">
      <c r="A80" s="54" t="s">
        <v>24</v>
      </c>
      <c r="B80" s="54" t="s">
        <v>470</v>
      </c>
      <c r="C80" s="55">
        <v>2</v>
      </c>
      <c r="D80" s="55">
        <v>2</v>
      </c>
      <c r="E80" s="55">
        <v>0</v>
      </c>
      <c r="F80" s="55">
        <v>1</v>
      </c>
      <c r="G80" s="55">
        <v>2</v>
      </c>
      <c r="H80" s="55">
        <v>2</v>
      </c>
      <c r="I80" s="55">
        <v>0</v>
      </c>
      <c r="J80" s="55">
        <v>1</v>
      </c>
      <c r="K80" s="55" t="s">
        <v>654</v>
      </c>
      <c r="L80" s="55" t="s">
        <v>654</v>
      </c>
      <c r="M80" s="55" t="s">
        <v>6</v>
      </c>
    </row>
    <row r="81" spans="1:13" ht="14.25" customHeight="1">
      <c r="A81" s="49" t="s">
        <v>24</v>
      </c>
      <c r="B81" s="49" t="s">
        <v>489</v>
      </c>
      <c r="C81" s="50">
        <v>2</v>
      </c>
      <c r="D81" s="50">
        <v>2</v>
      </c>
      <c r="E81" s="50">
        <v>0</v>
      </c>
      <c r="F81" s="50">
        <v>1</v>
      </c>
      <c r="G81" s="50">
        <v>2</v>
      </c>
      <c r="H81" s="50">
        <v>2</v>
      </c>
      <c r="I81" s="50">
        <v>0</v>
      </c>
      <c r="J81" s="50">
        <v>1</v>
      </c>
      <c r="K81" s="50" t="s">
        <v>655</v>
      </c>
      <c r="L81" s="50" t="s">
        <v>655</v>
      </c>
      <c r="M81" s="50" t="s">
        <v>6</v>
      </c>
    </row>
    <row r="82" spans="1:13" ht="14.25" customHeight="1">
      <c r="A82" s="54" t="s">
        <v>24</v>
      </c>
      <c r="B82" s="54" t="s">
        <v>485</v>
      </c>
      <c r="C82" s="55">
        <v>2</v>
      </c>
      <c r="D82" s="55">
        <v>2</v>
      </c>
      <c r="E82" s="55">
        <v>0</v>
      </c>
      <c r="F82" s="55">
        <v>1</v>
      </c>
      <c r="G82" s="55">
        <v>2</v>
      </c>
      <c r="H82" s="55">
        <v>2</v>
      </c>
      <c r="I82" s="55">
        <v>0</v>
      </c>
      <c r="J82" s="55">
        <v>1</v>
      </c>
      <c r="K82" s="55" t="s">
        <v>656</v>
      </c>
      <c r="L82" s="55" t="s">
        <v>656</v>
      </c>
      <c r="M82" s="55" t="s">
        <v>6</v>
      </c>
    </row>
    <row r="83" spans="1:13" ht="14.25" customHeight="1">
      <c r="A83" s="49" t="s">
        <v>24</v>
      </c>
      <c r="B83" s="49" t="s">
        <v>487</v>
      </c>
      <c r="C83" s="50">
        <v>2</v>
      </c>
      <c r="D83" s="50">
        <v>2</v>
      </c>
      <c r="E83" s="50">
        <v>0</v>
      </c>
      <c r="F83" s="50">
        <v>1</v>
      </c>
      <c r="G83" s="50">
        <v>2</v>
      </c>
      <c r="H83" s="50">
        <v>2</v>
      </c>
      <c r="I83" s="50">
        <v>0</v>
      </c>
      <c r="J83" s="50">
        <v>1</v>
      </c>
      <c r="K83" s="50" t="s">
        <v>586</v>
      </c>
      <c r="L83" s="50" t="s">
        <v>586</v>
      </c>
      <c r="M83" s="50" t="s">
        <v>6</v>
      </c>
    </row>
    <row r="84" spans="1:13" ht="14.25" customHeight="1">
      <c r="A84" s="54" t="s">
        <v>24</v>
      </c>
      <c r="B84" s="54" t="s">
        <v>491</v>
      </c>
      <c r="C84" s="55">
        <v>1</v>
      </c>
      <c r="D84" s="55">
        <v>1</v>
      </c>
      <c r="E84" s="55">
        <v>0</v>
      </c>
      <c r="F84" s="55">
        <v>0</v>
      </c>
      <c r="G84" s="55">
        <v>1</v>
      </c>
      <c r="H84" s="55">
        <v>1</v>
      </c>
      <c r="I84" s="55">
        <v>0</v>
      </c>
      <c r="J84" s="55">
        <v>1</v>
      </c>
      <c r="K84" s="55" t="s">
        <v>589</v>
      </c>
      <c r="L84" s="55" t="s">
        <v>586</v>
      </c>
      <c r="M84" s="55" t="s">
        <v>6</v>
      </c>
    </row>
    <row r="85" spans="1:13" ht="14.25" customHeight="1">
      <c r="A85" s="49" t="s">
        <v>25</v>
      </c>
      <c r="B85" s="49" t="s">
        <v>76</v>
      </c>
      <c r="C85" s="50">
        <v>50</v>
      </c>
      <c r="D85" s="50">
        <v>32</v>
      </c>
      <c r="E85" s="50">
        <v>18</v>
      </c>
      <c r="F85" s="50">
        <v>16</v>
      </c>
      <c r="G85" s="50">
        <v>3.12</v>
      </c>
      <c r="H85" s="50">
        <v>2</v>
      </c>
      <c r="I85" s="50">
        <v>1.1200000000000001</v>
      </c>
      <c r="J85" s="50">
        <v>10</v>
      </c>
      <c r="K85" s="50" t="s">
        <v>585</v>
      </c>
      <c r="L85" s="50" t="s">
        <v>638</v>
      </c>
      <c r="M85" s="50" t="s">
        <v>6</v>
      </c>
    </row>
    <row r="86" spans="1:13" ht="14.25" customHeight="1">
      <c r="A86" s="54" t="s">
        <v>25</v>
      </c>
      <c r="B86" s="54" t="s">
        <v>72</v>
      </c>
      <c r="C86" s="55">
        <v>16</v>
      </c>
      <c r="D86" s="55">
        <v>8</v>
      </c>
      <c r="E86" s="55">
        <v>8</v>
      </c>
      <c r="F86" s="55">
        <v>4</v>
      </c>
      <c r="G86" s="55">
        <v>4</v>
      </c>
      <c r="H86" s="55">
        <v>2</v>
      </c>
      <c r="I86" s="55">
        <v>2</v>
      </c>
      <c r="J86" s="55">
        <v>5</v>
      </c>
      <c r="K86" s="55" t="s">
        <v>639</v>
      </c>
      <c r="L86" s="55" t="s">
        <v>594</v>
      </c>
      <c r="M86" s="55" t="s">
        <v>6</v>
      </c>
    </row>
    <row r="87" spans="1:13" ht="14.25" customHeight="1">
      <c r="A87" s="49" t="s">
        <v>25</v>
      </c>
      <c r="B87" s="49" t="s">
        <v>98</v>
      </c>
      <c r="C87" s="50">
        <v>15</v>
      </c>
      <c r="D87" s="50">
        <v>9</v>
      </c>
      <c r="E87" s="50">
        <v>6</v>
      </c>
      <c r="F87" s="50">
        <v>4</v>
      </c>
      <c r="G87" s="50">
        <v>3.75</v>
      </c>
      <c r="H87" s="50">
        <v>2.25</v>
      </c>
      <c r="I87" s="50">
        <v>1.5</v>
      </c>
      <c r="J87" s="50">
        <v>5</v>
      </c>
      <c r="K87" s="50" t="s">
        <v>595</v>
      </c>
      <c r="L87" s="50" t="s">
        <v>643</v>
      </c>
      <c r="M87" s="50" t="s">
        <v>6</v>
      </c>
    </row>
    <row r="88" spans="1:13" ht="14.25" customHeight="1">
      <c r="A88" s="54" t="s">
        <v>25</v>
      </c>
      <c r="B88" s="54" t="s">
        <v>114</v>
      </c>
      <c r="C88" s="55">
        <v>7</v>
      </c>
      <c r="D88" s="55">
        <v>2</v>
      </c>
      <c r="E88" s="55">
        <v>5</v>
      </c>
      <c r="F88" s="55">
        <v>1</v>
      </c>
      <c r="G88" s="55">
        <v>7</v>
      </c>
      <c r="H88" s="55">
        <v>2</v>
      </c>
      <c r="I88" s="55">
        <v>5</v>
      </c>
      <c r="J88" s="55">
        <v>2</v>
      </c>
      <c r="K88" s="55" t="s">
        <v>580</v>
      </c>
      <c r="L88" s="55" t="s">
        <v>580</v>
      </c>
      <c r="M88" s="55" t="s">
        <v>6</v>
      </c>
    </row>
    <row r="89" spans="1:13" ht="14.25" customHeight="1">
      <c r="A89" s="49" t="s">
        <v>25</v>
      </c>
      <c r="B89" s="49" t="s">
        <v>105</v>
      </c>
      <c r="C89" s="50">
        <v>6</v>
      </c>
      <c r="D89" s="50">
        <v>4</v>
      </c>
      <c r="E89" s="50">
        <v>2</v>
      </c>
      <c r="F89" s="50">
        <v>1</v>
      </c>
      <c r="G89" s="50">
        <v>6</v>
      </c>
      <c r="H89" s="50">
        <v>4</v>
      </c>
      <c r="I89" s="50">
        <v>2</v>
      </c>
      <c r="J89" s="50">
        <v>3</v>
      </c>
      <c r="K89" s="50" t="s">
        <v>644</v>
      </c>
      <c r="L89" s="50" t="s">
        <v>644</v>
      </c>
      <c r="M89" s="50" t="s">
        <v>6</v>
      </c>
    </row>
    <row r="90" spans="1:13" ht="14.25" customHeight="1">
      <c r="A90" s="54" t="s">
        <v>25</v>
      </c>
      <c r="B90" s="54" t="s">
        <v>109</v>
      </c>
      <c r="C90" s="55">
        <v>5</v>
      </c>
      <c r="D90" s="55">
        <v>2</v>
      </c>
      <c r="E90" s="55">
        <v>3</v>
      </c>
      <c r="F90" s="55">
        <v>1</v>
      </c>
      <c r="G90" s="55">
        <v>5</v>
      </c>
      <c r="H90" s="55">
        <v>2</v>
      </c>
      <c r="I90" s="55">
        <v>3</v>
      </c>
      <c r="J90" s="55">
        <v>3</v>
      </c>
      <c r="K90" s="55" t="s">
        <v>650</v>
      </c>
      <c r="L90" s="55" t="s">
        <v>650</v>
      </c>
      <c r="M90" s="55" t="s">
        <v>6</v>
      </c>
    </row>
    <row r="91" spans="1:13" ht="14.25" customHeight="1">
      <c r="A91" s="49" t="s">
        <v>25</v>
      </c>
      <c r="B91" s="49" t="s">
        <v>111</v>
      </c>
      <c r="C91" s="50">
        <v>4</v>
      </c>
      <c r="D91" s="50">
        <v>3</v>
      </c>
      <c r="E91" s="50">
        <v>1</v>
      </c>
      <c r="F91" s="50">
        <v>1</v>
      </c>
      <c r="G91" s="50">
        <v>4</v>
      </c>
      <c r="H91" s="50">
        <v>3</v>
      </c>
      <c r="I91" s="50">
        <v>1</v>
      </c>
      <c r="J91" s="50">
        <v>3</v>
      </c>
      <c r="K91" s="50" t="s">
        <v>651</v>
      </c>
      <c r="L91" s="50" t="s">
        <v>651</v>
      </c>
      <c r="M91" s="50" t="s">
        <v>6</v>
      </c>
    </row>
    <row r="92" spans="1:13" ht="14.25" customHeight="1">
      <c r="A92" s="54" t="s">
        <v>25</v>
      </c>
      <c r="B92" s="56" t="s">
        <v>116</v>
      </c>
      <c r="C92" s="55">
        <v>4</v>
      </c>
      <c r="D92" s="55">
        <v>4</v>
      </c>
      <c r="E92" s="55">
        <v>0</v>
      </c>
      <c r="F92" s="55">
        <v>1</v>
      </c>
      <c r="G92" s="55">
        <v>4</v>
      </c>
      <c r="H92" s="55">
        <v>4</v>
      </c>
      <c r="I92" s="55">
        <v>0</v>
      </c>
      <c r="J92" s="55">
        <v>3</v>
      </c>
      <c r="K92" s="55" t="s">
        <v>654</v>
      </c>
      <c r="L92" s="55" t="s">
        <v>654</v>
      </c>
      <c r="M92" s="55" t="s">
        <v>6</v>
      </c>
    </row>
    <row r="93" spans="1:13" ht="14.25" customHeight="1">
      <c r="A93" s="49" t="s">
        <v>25</v>
      </c>
      <c r="B93" s="49" t="s">
        <v>289</v>
      </c>
      <c r="C93" s="50">
        <v>2</v>
      </c>
      <c r="D93" s="50">
        <v>2</v>
      </c>
      <c r="E93" s="50">
        <v>0</v>
      </c>
      <c r="F93" s="50">
        <v>1</v>
      </c>
      <c r="G93" s="50">
        <v>2</v>
      </c>
      <c r="H93" s="50">
        <v>2</v>
      </c>
      <c r="I93" s="50">
        <v>0</v>
      </c>
      <c r="J93" s="50">
        <v>1</v>
      </c>
      <c r="K93" s="50" t="s">
        <v>655</v>
      </c>
      <c r="L93" s="50" t="s">
        <v>655</v>
      </c>
      <c r="M93" s="50" t="s">
        <v>6</v>
      </c>
    </row>
    <row r="94" spans="1:13" ht="14.25" customHeight="1">
      <c r="A94" s="54" t="s">
        <v>25</v>
      </c>
      <c r="B94" s="54" t="s">
        <v>316</v>
      </c>
      <c r="C94" s="55">
        <v>2</v>
      </c>
      <c r="D94" s="55">
        <v>2</v>
      </c>
      <c r="E94" s="55">
        <v>0</v>
      </c>
      <c r="F94" s="55">
        <v>1</v>
      </c>
      <c r="G94" s="55">
        <v>2</v>
      </c>
      <c r="H94" s="55">
        <v>2</v>
      </c>
      <c r="I94" s="55">
        <v>0</v>
      </c>
      <c r="J94" s="55">
        <v>1</v>
      </c>
      <c r="K94" s="55" t="s">
        <v>656</v>
      </c>
      <c r="L94" s="55" t="s">
        <v>656</v>
      </c>
      <c r="M94" s="55" t="s">
        <v>6</v>
      </c>
    </row>
    <row r="95" spans="1:13" ht="14.25" customHeight="1">
      <c r="A95" s="49" t="s">
        <v>25</v>
      </c>
      <c r="B95" s="53" t="s">
        <v>121</v>
      </c>
      <c r="C95" s="50">
        <v>2</v>
      </c>
      <c r="D95" s="50">
        <v>2</v>
      </c>
      <c r="E95" s="50">
        <v>0</v>
      </c>
      <c r="F95" s="50">
        <v>1</v>
      </c>
      <c r="G95" s="50">
        <v>2</v>
      </c>
      <c r="H95" s="50">
        <v>2</v>
      </c>
      <c r="I95" s="50">
        <v>0</v>
      </c>
      <c r="J95" s="50">
        <v>1</v>
      </c>
      <c r="K95" s="50" t="s">
        <v>586</v>
      </c>
      <c r="L95" s="50" t="s">
        <v>586</v>
      </c>
      <c r="M95" s="50" t="s">
        <v>6</v>
      </c>
    </row>
    <row r="96" spans="1:13" ht="14.25" customHeight="1">
      <c r="A96" s="54" t="s">
        <v>25</v>
      </c>
      <c r="B96" s="56" t="s">
        <v>320</v>
      </c>
      <c r="C96" s="55">
        <v>1</v>
      </c>
      <c r="D96" s="55">
        <v>1</v>
      </c>
      <c r="E96" s="55">
        <v>0</v>
      </c>
      <c r="F96" s="55">
        <v>1</v>
      </c>
      <c r="G96" s="55">
        <v>1</v>
      </c>
      <c r="H96" s="55">
        <v>1</v>
      </c>
      <c r="I96" s="55">
        <v>0</v>
      </c>
      <c r="J96" s="55">
        <v>1</v>
      </c>
      <c r="K96" s="55" t="s">
        <v>589</v>
      </c>
      <c r="L96" s="55" t="s">
        <v>589</v>
      </c>
      <c r="M96" s="55" t="s">
        <v>6</v>
      </c>
    </row>
    <row r="97" spans="1:13" ht="14.25" customHeight="1">
      <c r="A97" s="49" t="s">
        <v>26</v>
      </c>
      <c r="B97" s="49" t="s">
        <v>26</v>
      </c>
      <c r="C97" s="50">
        <v>6</v>
      </c>
      <c r="D97" s="50">
        <v>6</v>
      </c>
      <c r="E97" s="50">
        <v>0</v>
      </c>
      <c r="F97" s="50">
        <v>12</v>
      </c>
      <c r="G97" s="50">
        <v>0.5</v>
      </c>
      <c r="H97" s="50">
        <v>0.5</v>
      </c>
      <c r="I97" s="50">
        <v>0</v>
      </c>
      <c r="J97" s="50">
        <v>2</v>
      </c>
      <c r="K97" s="50" t="s">
        <v>588</v>
      </c>
      <c r="L97" s="50" t="s">
        <v>654</v>
      </c>
      <c r="M97" s="50" t="s">
        <v>6</v>
      </c>
    </row>
    <row r="98" spans="1:13" ht="14.25" customHeight="1">
      <c r="A98" s="54" t="s">
        <v>26</v>
      </c>
      <c r="B98" s="54" t="s">
        <v>456</v>
      </c>
      <c r="C98" s="55">
        <v>2</v>
      </c>
      <c r="D98" s="55">
        <v>2</v>
      </c>
      <c r="E98" s="55">
        <v>0</v>
      </c>
      <c r="F98" s="55">
        <v>4</v>
      </c>
      <c r="G98" s="55">
        <v>0.5</v>
      </c>
      <c r="H98" s="55">
        <v>0.5</v>
      </c>
      <c r="I98" s="55">
        <v>0</v>
      </c>
      <c r="J98" s="55">
        <v>1</v>
      </c>
      <c r="K98" s="55" t="s">
        <v>655</v>
      </c>
      <c r="L98" s="55" t="s">
        <v>589</v>
      </c>
      <c r="M98" s="55" t="s">
        <v>6</v>
      </c>
    </row>
    <row r="99" spans="1:13" ht="14.25" customHeight="1">
      <c r="A99" s="51" t="s">
        <v>27</v>
      </c>
      <c r="B99" s="52" t="s">
        <v>657</v>
      </c>
      <c r="C99" s="51">
        <v>1592</v>
      </c>
      <c r="D99" s="52">
        <v>1147</v>
      </c>
      <c r="E99" s="52">
        <v>445</v>
      </c>
      <c r="F99" s="52"/>
      <c r="G99" s="52"/>
      <c r="H99" s="52"/>
      <c r="I99" s="52"/>
      <c r="J99" s="52">
        <v>370</v>
      </c>
      <c r="K99" s="52"/>
      <c r="L99" s="52"/>
      <c r="M99" s="52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16"/>
  <sheetViews>
    <sheetView zoomScaleNormal="100" workbookViewId="0">
      <selection sqref="A1:O1"/>
    </sheetView>
  </sheetViews>
  <sheetFormatPr defaultColWidth="8.85546875" defaultRowHeight="14.25" customHeight="1"/>
  <cols>
    <col min="1" max="2" width="50" customWidth="1"/>
    <col min="3" max="3" width="47" customWidth="1"/>
    <col min="4" max="4" width="7" customWidth="1"/>
    <col min="5" max="5" width="8" customWidth="1"/>
    <col min="6" max="6" width="5" customWidth="1"/>
    <col min="7" max="7" width="6" customWidth="1"/>
    <col min="8" max="8" width="11" customWidth="1"/>
    <col min="9" max="10" width="12" customWidth="1"/>
    <col min="11" max="11" width="10" customWidth="1"/>
    <col min="12" max="12" width="9" customWidth="1"/>
    <col min="13" max="13" width="6" customWidth="1"/>
    <col min="14" max="14" width="7" customWidth="1"/>
    <col min="15" max="15" width="2" customWidth="1"/>
  </cols>
  <sheetData>
    <row r="1" spans="1:15" ht="18" customHeight="1">
      <c r="A1" s="98" t="s">
        <v>658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</row>
    <row r="2" spans="1:15" ht="14.25" customHeight="1">
      <c r="A2" t="s">
        <v>659</v>
      </c>
    </row>
    <row r="3" spans="1:15" ht="15" customHeight="1"/>
    <row r="4" spans="1:15" ht="14.25" customHeight="1">
      <c r="A4" s="48" t="s">
        <v>12</v>
      </c>
      <c r="B4" s="48" t="s">
        <v>56</v>
      </c>
      <c r="C4" s="48" t="s">
        <v>57</v>
      </c>
      <c r="D4" s="48" t="s">
        <v>13</v>
      </c>
      <c r="E4" s="48" t="s">
        <v>30</v>
      </c>
      <c r="F4" s="48" t="s">
        <v>31</v>
      </c>
      <c r="G4" s="48" t="s">
        <v>593</v>
      </c>
      <c r="H4" s="48" t="s">
        <v>572</v>
      </c>
      <c r="I4" s="48" t="s">
        <v>17</v>
      </c>
      <c r="J4" s="48" t="s">
        <v>18</v>
      </c>
      <c r="K4" s="48" t="s">
        <v>660</v>
      </c>
      <c r="L4" s="48" t="s">
        <v>61</v>
      </c>
      <c r="M4" s="48" t="s">
        <v>661</v>
      </c>
      <c r="N4" s="48" t="s">
        <v>662</v>
      </c>
    </row>
    <row r="5" spans="1:15" ht="14.25" customHeight="1">
      <c r="A5" s="49" t="s">
        <v>20</v>
      </c>
      <c r="B5" s="53" t="s">
        <v>138</v>
      </c>
      <c r="C5" s="49" t="s">
        <v>77</v>
      </c>
      <c r="D5" s="50">
        <v>219</v>
      </c>
      <c r="E5" s="50">
        <v>0</v>
      </c>
      <c r="F5" s="50">
        <v>219</v>
      </c>
      <c r="G5" s="50">
        <v>36</v>
      </c>
      <c r="H5" s="50">
        <v>6.08</v>
      </c>
      <c r="I5" s="50" t="s">
        <v>577</v>
      </c>
      <c r="J5" s="50" t="s">
        <v>629</v>
      </c>
      <c r="K5" s="50">
        <v>1</v>
      </c>
      <c r="L5" s="50" t="s">
        <v>6</v>
      </c>
      <c r="M5" s="50"/>
      <c r="N5" s="49"/>
    </row>
    <row r="6" spans="1:15" ht="14.25" customHeight="1">
      <c r="A6" s="54" t="s">
        <v>20</v>
      </c>
      <c r="B6" s="56" t="s">
        <v>138</v>
      </c>
      <c r="C6" s="54" t="s">
        <v>208</v>
      </c>
      <c r="D6" s="55">
        <v>10</v>
      </c>
      <c r="E6" s="55">
        <v>10</v>
      </c>
      <c r="F6" s="55">
        <v>0</v>
      </c>
      <c r="G6" s="55">
        <v>2</v>
      </c>
      <c r="H6" s="55">
        <v>5</v>
      </c>
      <c r="I6" s="55" t="s">
        <v>630</v>
      </c>
      <c r="J6" s="55" t="s">
        <v>631</v>
      </c>
      <c r="K6" s="55">
        <v>37</v>
      </c>
      <c r="L6" s="55" t="s">
        <v>6</v>
      </c>
      <c r="M6" s="55"/>
      <c r="N6" s="54"/>
    </row>
    <row r="7" spans="1:15" ht="14.25" customHeight="1">
      <c r="A7" s="49" t="s">
        <v>20</v>
      </c>
      <c r="B7" s="53" t="s">
        <v>138</v>
      </c>
      <c r="C7" s="49" t="s">
        <v>267</v>
      </c>
      <c r="D7" s="50">
        <v>8</v>
      </c>
      <c r="E7" s="50">
        <v>8</v>
      </c>
      <c r="F7" s="50">
        <v>0</v>
      </c>
      <c r="G7" s="50">
        <v>1</v>
      </c>
      <c r="H7" s="50">
        <v>8</v>
      </c>
      <c r="I7" s="50" t="s">
        <v>632</v>
      </c>
      <c r="J7" s="50" t="s">
        <v>632</v>
      </c>
      <c r="K7" s="50">
        <v>39</v>
      </c>
      <c r="L7" s="50" t="s">
        <v>6</v>
      </c>
      <c r="M7" s="50"/>
      <c r="N7" s="49"/>
    </row>
    <row r="8" spans="1:15" ht="14.25" customHeight="1">
      <c r="A8" s="54" t="s">
        <v>20</v>
      </c>
      <c r="B8" s="56" t="s">
        <v>138</v>
      </c>
      <c r="C8" s="54" t="s">
        <v>139</v>
      </c>
      <c r="D8" s="55">
        <v>7</v>
      </c>
      <c r="E8" s="55">
        <v>7</v>
      </c>
      <c r="F8" s="55">
        <v>0</v>
      </c>
      <c r="G8" s="55">
        <v>1</v>
      </c>
      <c r="H8" s="55">
        <v>7</v>
      </c>
      <c r="I8" s="55" t="s">
        <v>632</v>
      </c>
      <c r="J8" s="55" t="s">
        <v>632</v>
      </c>
      <c r="K8" s="55">
        <v>39</v>
      </c>
      <c r="L8" s="55" t="s">
        <v>6</v>
      </c>
      <c r="M8" s="55"/>
      <c r="N8" s="54"/>
    </row>
    <row r="9" spans="1:15" ht="14.25" customHeight="1">
      <c r="A9" s="49" t="s">
        <v>20</v>
      </c>
      <c r="B9" s="53" t="s">
        <v>138</v>
      </c>
      <c r="C9" s="53" t="s">
        <v>388</v>
      </c>
      <c r="D9" s="50">
        <v>7</v>
      </c>
      <c r="E9" s="50">
        <v>7</v>
      </c>
      <c r="F9" s="50">
        <v>0</v>
      </c>
      <c r="G9" s="50">
        <v>1</v>
      </c>
      <c r="H9" s="50">
        <v>7</v>
      </c>
      <c r="I9" s="50" t="s">
        <v>633</v>
      </c>
      <c r="J9" s="50" t="s">
        <v>633</v>
      </c>
      <c r="K9" s="50">
        <v>40</v>
      </c>
      <c r="L9" s="50" t="s">
        <v>6</v>
      </c>
      <c r="M9" s="50"/>
      <c r="N9" s="49"/>
    </row>
    <row r="10" spans="1:15" ht="14.25" customHeight="1">
      <c r="A10" s="54" t="s">
        <v>20</v>
      </c>
      <c r="B10" s="56" t="s">
        <v>138</v>
      </c>
      <c r="C10" s="54" t="s">
        <v>278</v>
      </c>
      <c r="D10" s="55">
        <v>6</v>
      </c>
      <c r="E10" s="55">
        <v>6</v>
      </c>
      <c r="F10" s="55">
        <v>0</v>
      </c>
      <c r="G10" s="55">
        <v>1</v>
      </c>
      <c r="H10" s="55">
        <v>6</v>
      </c>
      <c r="I10" s="55" t="s">
        <v>634</v>
      </c>
      <c r="J10" s="55" t="s">
        <v>634</v>
      </c>
      <c r="K10" s="55">
        <v>41</v>
      </c>
      <c r="L10" s="55" t="s">
        <v>6</v>
      </c>
      <c r="M10" s="55"/>
      <c r="N10" s="54"/>
    </row>
    <row r="11" spans="1:15" ht="14.25" customHeight="1">
      <c r="A11" s="49" t="s">
        <v>20</v>
      </c>
      <c r="B11" s="53" t="s">
        <v>138</v>
      </c>
      <c r="C11" s="49" t="s">
        <v>386</v>
      </c>
      <c r="D11" s="50">
        <v>6</v>
      </c>
      <c r="E11" s="50">
        <v>6</v>
      </c>
      <c r="F11" s="50">
        <v>0</v>
      </c>
      <c r="G11" s="50">
        <v>1</v>
      </c>
      <c r="H11" s="50">
        <v>6</v>
      </c>
      <c r="I11" s="50" t="s">
        <v>635</v>
      </c>
      <c r="J11" s="50" t="s">
        <v>635</v>
      </c>
      <c r="K11" s="50">
        <v>42</v>
      </c>
      <c r="L11" s="50" t="s">
        <v>6</v>
      </c>
      <c r="M11" s="50"/>
      <c r="N11" s="49"/>
    </row>
    <row r="12" spans="1:15" ht="14.25" customHeight="1">
      <c r="A12" s="54" t="s">
        <v>20</v>
      </c>
      <c r="B12" s="56" t="s">
        <v>138</v>
      </c>
      <c r="C12" s="54" t="s">
        <v>206</v>
      </c>
      <c r="D12" s="55">
        <v>5</v>
      </c>
      <c r="E12" s="55">
        <v>5</v>
      </c>
      <c r="F12" s="55">
        <v>0</v>
      </c>
      <c r="G12" s="55">
        <v>1</v>
      </c>
      <c r="H12" s="55">
        <v>5</v>
      </c>
      <c r="I12" s="55" t="s">
        <v>636</v>
      </c>
      <c r="J12" s="55" t="s">
        <v>636</v>
      </c>
      <c r="K12" s="55">
        <v>43</v>
      </c>
      <c r="L12" s="55" t="s">
        <v>6</v>
      </c>
      <c r="M12" s="55"/>
      <c r="N12" s="54"/>
    </row>
    <row r="13" spans="1:15" ht="14.25" customHeight="1">
      <c r="A13" s="49" t="s">
        <v>20</v>
      </c>
      <c r="B13" s="53" t="s">
        <v>138</v>
      </c>
      <c r="C13" s="49" t="s">
        <v>266</v>
      </c>
      <c r="D13" s="50">
        <v>4</v>
      </c>
      <c r="E13" s="50">
        <v>4</v>
      </c>
      <c r="F13" s="50">
        <v>0</v>
      </c>
      <c r="G13" s="50">
        <v>1</v>
      </c>
      <c r="H13" s="50">
        <v>4</v>
      </c>
      <c r="I13" s="50" t="s">
        <v>637</v>
      </c>
      <c r="J13" s="50" t="s">
        <v>637</v>
      </c>
      <c r="K13" s="50">
        <v>44</v>
      </c>
      <c r="L13" s="50" t="s">
        <v>6</v>
      </c>
      <c r="M13" s="50"/>
      <c r="N13" s="49"/>
    </row>
    <row r="14" spans="1:15" ht="14.25" customHeight="1">
      <c r="A14" s="54" t="s">
        <v>20</v>
      </c>
      <c r="B14" s="56" t="s">
        <v>138</v>
      </c>
      <c r="C14" s="54" t="s">
        <v>286</v>
      </c>
      <c r="D14" s="55">
        <v>4</v>
      </c>
      <c r="E14" s="55">
        <v>4</v>
      </c>
      <c r="F14" s="55">
        <v>0</v>
      </c>
      <c r="G14" s="55">
        <v>1</v>
      </c>
      <c r="H14" s="55">
        <v>4</v>
      </c>
      <c r="I14" s="55" t="s">
        <v>638</v>
      </c>
      <c r="J14" s="55" t="s">
        <v>638</v>
      </c>
      <c r="K14" s="55">
        <v>45</v>
      </c>
      <c r="L14" s="55" t="s">
        <v>6</v>
      </c>
      <c r="M14" s="55"/>
      <c r="N14" s="54"/>
    </row>
    <row r="15" spans="1:15" ht="14.25" customHeight="1">
      <c r="A15" s="49" t="s">
        <v>20</v>
      </c>
      <c r="B15" s="53" t="s">
        <v>138</v>
      </c>
      <c r="C15" s="49" t="s">
        <v>209</v>
      </c>
      <c r="D15" s="50">
        <v>4</v>
      </c>
      <c r="E15" s="50">
        <v>4</v>
      </c>
      <c r="F15" s="50">
        <v>0</v>
      </c>
      <c r="G15" s="50">
        <v>1</v>
      </c>
      <c r="H15" s="50">
        <v>4</v>
      </c>
      <c r="I15" s="50" t="s">
        <v>639</v>
      </c>
      <c r="J15" s="50" t="s">
        <v>639</v>
      </c>
      <c r="K15" s="50">
        <v>46</v>
      </c>
      <c r="L15" s="50" t="s">
        <v>6</v>
      </c>
      <c r="M15" s="50"/>
      <c r="N15" s="49"/>
    </row>
    <row r="16" spans="1:15" ht="14.25" customHeight="1">
      <c r="A16" s="54" t="s">
        <v>20</v>
      </c>
      <c r="B16" s="56" t="s">
        <v>138</v>
      </c>
      <c r="C16" s="54" t="s">
        <v>270</v>
      </c>
      <c r="D16" s="55">
        <v>4</v>
      </c>
      <c r="E16" s="55">
        <v>4</v>
      </c>
      <c r="F16" s="55">
        <v>0</v>
      </c>
      <c r="G16" s="55">
        <v>1</v>
      </c>
      <c r="H16" s="55">
        <v>4</v>
      </c>
      <c r="I16" s="55" t="s">
        <v>588</v>
      </c>
      <c r="J16" s="55" t="s">
        <v>588</v>
      </c>
      <c r="K16" s="55">
        <v>47</v>
      </c>
      <c r="L16" s="55" t="s">
        <v>6</v>
      </c>
      <c r="M16" s="55"/>
      <c r="N16" s="54"/>
    </row>
    <row r="17" spans="1:14" ht="14.25" customHeight="1">
      <c r="A17" s="49" t="s">
        <v>20</v>
      </c>
      <c r="B17" s="53" t="s">
        <v>138</v>
      </c>
      <c r="C17" s="49" t="s">
        <v>262</v>
      </c>
      <c r="D17" s="50">
        <v>4</v>
      </c>
      <c r="E17" s="50">
        <v>4</v>
      </c>
      <c r="F17" s="50">
        <v>0</v>
      </c>
      <c r="G17" s="50">
        <v>1</v>
      </c>
      <c r="H17" s="50">
        <v>4</v>
      </c>
      <c r="I17" s="50" t="s">
        <v>588</v>
      </c>
      <c r="J17" s="50" t="s">
        <v>588</v>
      </c>
      <c r="K17" s="50">
        <v>47</v>
      </c>
      <c r="L17" s="50" t="s">
        <v>6</v>
      </c>
      <c r="M17" s="50"/>
      <c r="N17" s="49"/>
    </row>
    <row r="18" spans="1:14" ht="14.25" customHeight="1">
      <c r="A18" s="54" t="s">
        <v>20</v>
      </c>
      <c r="B18" s="56" t="s">
        <v>138</v>
      </c>
      <c r="C18" s="54" t="s">
        <v>141</v>
      </c>
      <c r="D18" s="55">
        <v>3</v>
      </c>
      <c r="E18" s="55">
        <v>3</v>
      </c>
      <c r="F18" s="55">
        <v>0</v>
      </c>
      <c r="G18" s="55">
        <v>1</v>
      </c>
      <c r="H18" s="55">
        <v>3</v>
      </c>
      <c r="I18" s="55" t="s">
        <v>640</v>
      </c>
      <c r="J18" s="55" t="s">
        <v>640</v>
      </c>
      <c r="K18" s="55">
        <v>48</v>
      </c>
      <c r="L18" s="55" t="s">
        <v>6</v>
      </c>
      <c r="M18" s="55"/>
      <c r="N18" s="54"/>
    </row>
    <row r="19" spans="1:14" ht="14.25" customHeight="1">
      <c r="A19" s="49" t="s">
        <v>20</v>
      </c>
      <c r="B19" s="53" t="s">
        <v>138</v>
      </c>
      <c r="C19" s="53" t="s">
        <v>284</v>
      </c>
      <c r="D19" s="50">
        <v>3</v>
      </c>
      <c r="E19" s="50">
        <v>3</v>
      </c>
      <c r="F19" s="50">
        <v>0</v>
      </c>
      <c r="G19" s="50">
        <v>1</v>
      </c>
      <c r="H19" s="50">
        <v>3</v>
      </c>
      <c r="I19" s="50" t="s">
        <v>640</v>
      </c>
      <c r="J19" s="50" t="s">
        <v>640</v>
      </c>
      <c r="K19" s="50">
        <v>48</v>
      </c>
      <c r="L19" s="50" t="s">
        <v>6</v>
      </c>
      <c r="M19" s="50"/>
      <c r="N19" s="49"/>
    </row>
    <row r="20" spans="1:14" ht="14.25" customHeight="1">
      <c r="A20" s="54" t="s">
        <v>20</v>
      </c>
      <c r="B20" s="56" t="s">
        <v>138</v>
      </c>
      <c r="C20" s="54" t="s">
        <v>207</v>
      </c>
      <c r="D20" s="55">
        <v>3</v>
      </c>
      <c r="E20" s="55">
        <v>3</v>
      </c>
      <c r="F20" s="55">
        <v>0</v>
      </c>
      <c r="G20" s="55">
        <v>1</v>
      </c>
      <c r="H20" s="55">
        <v>3</v>
      </c>
      <c r="I20" s="55" t="s">
        <v>594</v>
      </c>
      <c r="J20" s="55" t="s">
        <v>594</v>
      </c>
      <c r="K20" s="55">
        <v>49</v>
      </c>
      <c r="L20" s="55" t="s">
        <v>6</v>
      </c>
      <c r="M20" s="55"/>
      <c r="N20" s="54"/>
    </row>
    <row r="21" spans="1:14" ht="14.25" customHeight="1">
      <c r="A21" s="49" t="s">
        <v>20</v>
      </c>
      <c r="B21" s="53" t="s">
        <v>138</v>
      </c>
      <c r="C21" s="49" t="s">
        <v>268</v>
      </c>
      <c r="D21" s="50">
        <v>3</v>
      </c>
      <c r="E21" s="50">
        <v>3</v>
      </c>
      <c r="F21" s="50">
        <v>0</v>
      </c>
      <c r="G21" s="50">
        <v>1</v>
      </c>
      <c r="H21" s="50">
        <v>3</v>
      </c>
      <c r="I21" s="50" t="s">
        <v>594</v>
      </c>
      <c r="J21" s="50" t="s">
        <v>594</v>
      </c>
      <c r="K21" s="50">
        <v>49</v>
      </c>
      <c r="L21" s="50" t="s">
        <v>6</v>
      </c>
      <c r="M21" s="50"/>
      <c r="N21" s="49"/>
    </row>
    <row r="22" spans="1:14" ht="14.25" customHeight="1">
      <c r="A22" s="54" t="s">
        <v>20</v>
      </c>
      <c r="B22" s="56" t="s">
        <v>138</v>
      </c>
      <c r="C22" s="54" t="s">
        <v>385</v>
      </c>
      <c r="D22" s="55">
        <v>2</v>
      </c>
      <c r="E22" s="55">
        <v>2</v>
      </c>
      <c r="F22" s="55">
        <v>0</v>
      </c>
      <c r="G22" s="55">
        <v>1</v>
      </c>
      <c r="H22" s="55">
        <v>2</v>
      </c>
      <c r="I22" s="55" t="s">
        <v>595</v>
      </c>
      <c r="J22" s="55" t="s">
        <v>595</v>
      </c>
      <c r="K22" s="55">
        <v>50</v>
      </c>
      <c r="L22" s="55" t="s">
        <v>6</v>
      </c>
      <c r="M22" s="55"/>
      <c r="N22" s="54"/>
    </row>
    <row r="23" spans="1:14" ht="14.25" customHeight="1">
      <c r="A23" s="49" t="s">
        <v>20</v>
      </c>
      <c r="B23" s="53" t="s">
        <v>138</v>
      </c>
      <c r="C23" s="49" t="s">
        <v>287</v>
      </c>
      <c r="D23" s="50">
        <v>2</v>
      </c>
      <c r="E23" s="50">
        <v>2</v>
      </c>
      <c r="F23" s="50">
        <v>0</v>
      </c>
      <c r="G23" s="50">
        <v>1</v>
      </c>
      <c r="H23" s="50">
        <v>2</v>
      </c>
      <c r="I23" s="50" t="s">
        <v>595</v>
      </c>
      <c r="J23" s="50" t="s">
        <v>595</v>
      </c>
      <c r="K23" s="50">
        <v>50</v>
      </c>
      <c r="L23" s="50" t="s">
        <v>6</v>
      </c>
      <c r="M23" s="50"/>
      <c r="N23" s="49"/>
    </row>
    <row r="24" spans="1:14" ht="14.25" customHeight="1">
      <c r="A24" s="54" t="s">
        <v>20</v>
      </c>
      <c r="B24" s="56" t="s">
        <v>138</v>
      </c>
      <c r="C24" s="54" t="s">
        <v>375</v>
      </c>
      <c r="D24" s="55">
        <v>2</v>
      </c>
      <c r="E24" s="55">
        <v>2</v>
      </c>
      <c r="F24" s="55">
        <v>0</v>
      </c>
      <c r="G24" s="55">
        <v>1</v>
      </c>
      <c r="H24" s="55">
        <v>2</v>
      </c>
      <c r="I24" s="55" t="s">
        <v>595</v>
      </c>
      <c r="J24" s="55" t="s">
        <v>595</v>
      </c>
      <c r="K24" s="55">
        <v>50</v>
      </c>
      <c r="L24" s="55" t="s">
        <v>6</v>
      </c>
      <c r="M24" s="55"/>
      <c r="N24" s="54"/>
    </row>
    <row r="25" spans="1:14" ht="14.25" customHeight="1">
      <c r="A25" s="49" t="s">
        <v>20</v>
      </c>
      <c r="B25" s="53" t="s">
        <v>138</v>
      </c>
      <c r="C25" s="53" t="s">
        <v>210</v>
      </c>
      <c r="D25" s="50">
        <v>2</v>
      </c>
      <c r="E25" s="50">
        <v>2</v>
      </c>
      <c r="F25" s="50">
        <v>0</v>
      </c>
      <c r="G25" s="50">
        <v>1</v>
      </c>
      <c r="H25" s="50">
        <v>2</v>
      </c>
      <c r="I25" s="50" t="s">
        <v>641</v>
      </c>
      <c r="J25" s="50" t="s">
        <v>641</v>
      </c>
      <c r="K25" s="50">
        <v>51</v>
      </c>
      <c r="L25" s="50" t="s">
        <v>6</v>
      </c>
      <c r="M25" s="50"/>
      <c r="N25" s="49"/>
    </row>
    <row r="26" spans="1:14" ht="14.25" customHeight="1">
      <c r="A26" s="54" t="s">
        <v>20</v>
      </c>
      <c r="B26" s="56" t="s">
        <v>138</v>
      </c>
      <c r="C26" s="56" t="s">
        <v>273</v>
      </c>
      <c r="D26" s="55">
        <v>2</v>
      </c>
      <c r="E26" s="55">
        <v>2</v>
      </c>
      <c r="F26" s="55">
        <v>0</v>
      </c>
      <c r="G26" s="55">
        <v>1</v>
      </c>
      <c r="H26" s="55">
        <v>2</v>
      </c>
      <c r="I26" s="55" t="s">
        <v>641</v>
      </c>
      <c r="J26" s="55" t="s">
        <v>641</v>
      </c>
      <c r="K26" s="55">
        <v>51</v>
      </c>
      <c r="L26" s="55" t="s">
        <v>6</v>
      </c>
      <c r="M26" s="55"/>
      <c r="N26" s="54"/>
    </row>
    <row r="27" spans="1:14" ht="14.25" customHeight="1">
      <c r="A27" s="49" t="s">
        <v>20</v>
      </c>
      <c r="B27" s="53" t="s">
        <v>138</v>
      </c>
      <c r="C27" s="53" t="s">
        <v>281</v>
      </c>
      <c r="D27" s="50">
        <v>2</v>
      </c>
      <c r="E27" s="50">
        <v>2</v>
      </c>
      <c r="F27" s="50">
        <v>0</v>
      </c>
      <c r="G27" s="50">
        <v>1</v>
      </c>
      <c r="H27" s="50">
        <v>2</v>
      </c>
      <c r="I27" s="50" t="s">
        <v>641</v>
      </c>
      <c r="J27" s="50" t="s">
        <v>641</v>
      </c>
      <c r="K27" s="50">
        <v>51</v>
      </c>
      <c r="L27" s="50" t="s">
        <v>6</v>
      </c>
      <c r="M27" s="50"/>
      <c r="N27" s="49"/>
    </row>
    <row r="28" spans="1:14" ht="14.25" customHeight="1">
      <c r="A28" s="54" t="s">
        <v>20</v>
      </c>
      <c r="B28" s="56" t="s">
        <v>138</v>
      </c>
      <c r="C28" s="54" t="s">
        <v>361</v>
      </c>
      <c r="D28" s="55">
        <v>2</v>
      </c>
      <c r="E28" s="55">
        <v>2</v>
      </c>
      <c r="F28" s="55">
        <v>0</v>
      </c>
      <c r="G28" s="55">
        <v>1</v>
      </c>
      <c r="H28" s="55">
        <v>2</v>
      </c>
      <c r="I28" s="55" t="s">
        <v>642</v>
      </c>
      <c r="J28" s="55" t="s">
        <v>642</v>
      </c>
      <c r="K28" s="55">
        <v>52</v>
      </c>
      <c r="L28" s="55" t="s">
        <v>6</v>
      </c>
      <c r="M28" s="55"/>
      <c r="N28" s="54"/>
    </row>
    <row r="29" spans="1:14" ht="14.25" customHeight="1">
      <c r="A29" s="49" t="s">
        <v>20</v>
      </c>
      <c r="B29" s="53" t="s">
        <v>138</v>
      </c>
      <c r="C29" s="49" t="s">
        <v>265</v>
      </c>
      <c r="D29" s="50">
        <v>2</v>
      </c>
      <c r="E29" s="50">
        <v>2</v>
      </c>
      <c r="F29" s="50">
        <v>0</v>
      </c>
      <c r="G29" s="50">
        <v>1</v>
      </c>
      <c r="H29" s="50">
        <v>2</v>
      </c>
      <c r="I29" s="50" t="s">
        <v>642</v>
      </c>
      <c r="J29" s="50" t="s">
        <v>642</v>
      </c>
      <c r="K29" s="50">
        <v>52</v>
      </c>
      <c r="L29" s="50" t="s">
        <v>6</v>
      </c>
      <c r="M29" s="50"/>
      <c r="N29" s="49"/>
    </row>
    <row r="30" spans="1:14" ht="14.25" customHeight="1">
      <c r="A30" s="54" t="s">
        <v>20</v>
      </c>
      <c r="B30" s="56" t="s">
        <v>138</v>
      </c>
      <c r="C30" s="54" t="s">
        <v>269</v>
      </c>
      <c r="D30" s="55">
        <v>1</v>
      </c>
      <c r="E30" s="55">
        <v>1</v>
      </c>
      <c r="F30" s="55">
        <v>0</v>
      </c>
      <c r="G30" s="55">
        <v>1</v>
      </c>
      <c r="H30" s="55">
        <v>1</v>
      </c>
      <c r="I30" s="55" t="s">
        <v>642</v>
      </c>
      <c r="J30" s="55" t="s">
        <v>642</v>
      </c>
      <c r="K30" s="55">
        <v>52</v>
      </c>
      <c r="L30" s="55" t="s">
        <v>6</v>
      </c>
      <c r="M30" s="55"/>
      <c r="N30" s="54"/>
    </row>
    <row r="31" spans="1:14" ht="14.25" customHeight="1">
      <c r="A31" s="49" t="s">
        <v>20</v>
      </c>
      <c r="B31" s="53" t="s">
        <v>138</v>
      </c>
      <c r="C31" s="49" t="s">
        <v>271</v>
      </c>
      <c r="D31" s="50">
        <v>1</v>
      </c>
      <c r="E31" s="50">
        <v>1</v>
      </c>
      <c r="F31" s="50">
        <v>0</v>
      </c>
      <c r="G31" s="50">
        <v>1</v>
      </c>
      <c r="H31" s="50">
        <v>1</v>
      </c>
      <c r="I31" s="50" t="s">
        <v>643</v>
      </c>
      <c r="J31" s="50" t="s">
        <v>643</v>
      </c>
      <c r="K31" s="50">
        <v>53</v>
      </c>
      <c r="L31" s="50" t="s">
        <v>6</v>
      </c>
      <c r="M31" s="50"/>
      <c r="N31" s="49"/>
    </row>
    <row r="32" spans="1:14" ht="14.25" customHeight="1">
      <c r="A32" s="54" t="s">
        <v>20</v>
      </c>
      <c r="B32" s="54" t="s">
        <v>87</v>
      </c>
      <c r="C32" s="54" t="s">
        <v>20</v>
      </c>
      <c r="D32" s="55">
        <v>21</v>
      </c>
      <c r="E32" s="55">
        <v>21</v>
      </c>
      <c r="F32" s="55">
        <v>0</v>
      </c>
      <c r="G32" s="55">
        <v>3</v>
      </c>
      <c r="H32" s="55">
        <v>7</v>
      </c>
      <c r="I32" s="55" t="s">
        <v>643</v>
      </c>
      <c r="J32" s="55" t="s">
        <v>644</v>
      </c>
      <c r="K32" s="55">
        <v>53</v>
      </c>
      <c r="L32" s="55" t="s">
        <v>6</v>
      </c>
      <c r="M32" s="55"/>
      <c r="N32" s="54"/>
    </row>
    <row r="33" spans="1:14" ht="14.25" customHeight="1">
      <c r="A33" s="49" t="s">
        <v>20</v>
      </c>
      <c r="B33" s="49" t="s">
        <v>87</v>
      </c>
      <c r="C33" s="49" t="s">
        <v>23</v>
      </c>
      <c r="D33" s="50">
        <v>17</v>
      </c>
      <c r="E33" s="50">
        <v>17</v>
      </c>
      <c r="F33" s="50">
        <v>0</v>
      </c>
      <c r="G33" s="50">
        <v>3</v>
      </c>
      <c r="H33" s="50">
        <v>5.67</v>
      </c>
      <c r="I33" s="50" t="s">
        <v>650</v>
      </c>
      <c r="J33" s="50" t="s">
        <v>654</v>
      </c>
      <c r="K33" s="50">
        <v>56</v>
      </c>
      <c r="L33" s="50" t="s">
        <v>6</v>
      </c>
      <c r="M33" s="50"/>
      <c r="N33" s="49"/>
    </row>
    <row r="34" spans="1:14" ht="14.25" customHeight="1">
      <c r="A34" s="54" t="s">
        <v>20</v>
      </c>
      <c r="B34" s="54" t="s">
        <v>87</v>
      </c>
      <c r="C34" s="54" t="s">
        <v>343</v>
      </c>
      <c r="D34" s="55">
        <v>5</v>
      </c>
      <c r="E34" s="55">
        <v>5</v>
      </c>
      <c r="F34" s="55">
        <v>0</v>
      </c>
      <c r="G34" s="55">
        <v>1</v>
      </c>
      <c r="H34" s="55">
        <v>5</v>
      </c>
      <c r="I34" s="55" t="s">
        <v>655</v>
      </c>
      <c r="J34" s="55" t="s">
        <v>655</v>
      </c>
      <c r="K34" s="55">
        <v>59</v>
      </c>
      <c r="L34" s="55" t="s">
        <v>6</v>
      </c>
      <c r="M34" s="55"/>
      <c r="N34" s="54"/>
    </row>
    <row r="35" spans="1:14" ht="14.25" customHeight="1">
      <c r="A35" s="49" t="s">
        <v>20</v>
      </c>
      <c r="B35" s="49" t="s">
        <v>87</v>
      </c>
      <c r="C35" s="49" t="s">
        <v>303</v>
      </c>
      <c r="D35" s="50">
        <v>4</v>
      </c>
      <c r="E35" s="50">
        <v>4</v>
      </c>
      <c r="F35" s="50">
        <v>0</v>
      </c>
      <c r="G35" s="50">
        <v>1</v>
      </c>
      <c r="H35" s="50">
        <v>4</v>
      </c>
      <c r="I35" s="50" t="s">
        <v>656</v>
      </c>
      <c r="J35" s="50" t="s">
        <v>656</v>
      </c>
      <c r="K35" s="50">
        <v>60</v>
      </c>
      <c r="L35" s="50" t="s">
        <v>6</v>
      </c>
      <c r="M35" s="50"/>
      <c r="N35" s="49"/>
    </row>
    <row r="36" spans="1:14" ht="14.25" customHeight="1">
      <c r="A36" s="54" t="s">
        <v>20</v>
      </c>
      <c r="B36" s="54" t="s">
        <v>87</v>
      </c>
      <c r="C36" s="54" t="s">
        <v>305</v>
      </c>
      <c r="D36" s="55">
        <v>4</v>
      </c>
      <c r="E36" s="55">
        <v>4</v>
      </c>
      <c r="F36" s="55">
        <v>0</v>
      </c>
      <c r="G36" s="55">
        <v>1</v>
      </c>
      <c r="H36" s="55">
        <v>4</v>
      </c>
      <c r="I36" s="55" t="s">
        <v>656</v>
      </c>
      <c r="J36" s="55" t="s">
        <v>656</v>
      </c>
      <c r="K36" s="55">
        <v>60</v>
      </c>
      <c r="L36" s="55" t="s">
        <v>6</v>
      </c>
      <c r="M36" s="55"/>
      <c r="N36" s="54"/>
    </row>
    <row r="37" spans="1:14" ht="14.25" customHeight="1">
      <c r="A37" s="49" t="s">
        <v>20</v>
      </c>
      <c r="B37" s="49" t="s">
        <v>87</v>
      </c>
      <c r="C37" s="49" t="s">
        <v>134</v>
      </c>
      <c r="D37" s="50">
        <v>4</v>
      </c>
      <c r="E37" s="50">
        <v>4</v>
      </c>
      <c r="F37" s="50">
        <v>0</v>
      </c>
      <c r="G37" s="50">
        <v>1</v>
      </c>
      <c r="H37" s="50">
        <v>4</v>
      </c>
      <c r="I37" s="50" t="s">
        <v>586</v>
      </c>
      <c r="J37" s="50" t="s">
        <v>586</v>
      </c>
      <c r="K37" s="50">
        <v>61</v>
      </c>
      <c r="L37" s="50" t="s">
        <v>6</v>
      </c>
      <c r="M37" s="50"/>
      <c r="N37" s="49"/>
    </row>
    <row r="38" spans="1:14" ht="14.25" customHeight="1">
      <c r="A38" s="54" t="s">
        <v>20</v>
      </c>
      <c r="B38" s="54" t="s">
        <v>87</v>
      </c>
      <c r="C38" s="54" t="s">
        <v>311</v>
      </c>
      <c r="D38" s="55">
        <v>4</v>
      </c>
      <c r="E38" s="55">
        <v>4</v>
      </c>
      <c r="F38" s="55">
        <v>0</v>
      </c>
      <c r="G38" s="55">
        <v>1</v>
      </c>
      <c r="H38" s="55">
        <v>4</v>
      </c>
      <c r="I38" s="55" t="s">
        <v>589</v>
      </c>
      <c r="J38" s="55" t="s">
        <v>589</v>
      </c>
      <c r="K38" s="55">
        <v>62</v>
      </c>
      <c r="L38" s="55" t="s">
        <v>6</v>
      </c>
      <c r="M38" s="55"/>
      <c r="N38" s="54"/>
    </row>
    <row r="39" spans="1:14" ht="14.25" customHeight="1">
      <c r="A39" s="49" t="s">
        <v>20</v>
      </c>
      <c r="B39" s="49" t="s">
        <v>87</v>
      </c>
      <c r="C39" s="49" t="s">
        <v>300</v>
      </c>
      <c r="D39" s="50">
        <v>4</v>
      </c>
      <c r="E39" s="50">
        <v>4</v>
      </c>
      <c r="F39" s="50">
        <v>0</v>
      </c>
      <c r="G39" s="50">
        <v>1</v>
      </c>
      <c r="H39" s="50">
        <v>4</v>
      </c>
      <c r="I39" s="50" t="s">
        <v>589</v>
      </c>
      <c r="J39" s="50" t="s">
        <v>589</v>
      </c>
      <c r="K39" s="50">
        <v>62</v>
      </c>
      <c r="L39" s="50" t="s">
        <v>6</v>
      </c>
      <c r="M39" s="50"/>
      <c r="N39" s="49"/>
    </row>
    <row r="40" spans="1:14" ht="14.25" customHeight="1">
      <c r="A40" s="54" t="s">
        <v>20</v>
      </c>
      <c r="B40" s="54" t="s">
        <v>87</v>
      </c>
      <c r="C40" s="54" t="s">
        <v>297</v>
      </c>
      <c r="D40" s="55">
        <v>3</v>
      </c>
      <c r="E40" s="55">
        <v>3</v>
      </c>
      <c r="F40" s="55">
        <v>0</v>
      </c>
      <c r="G40" s="55">
        <v>1</v>
      </c>
      <c r="H40" s="55">
        <v>3</v>
      </c>
      <c r="I40" s="55" t="s">
        <v>652</v>
      </c>
      <c r="J40" s="55" t="s">
        <v>652</v>
      </c>
      <c r="K40" s="55">
        <v>63</v>
      </c>
      <c r="L40" s="55" t="s">
        <v>6</v>
      </c>
      <c r="M40" s="55"/>
      <c r="N40" s="54"/>
    </row>
    <row r="41" spans="1:14" ht="14.25" customHeight="1">
      <c r="A41" s="49" t="s">
        <v>20</v>
      </c>
      <c r="B41" s="49" t="s">
        <v>87</v>
      </c>
      <c r="C41" s="49" t="s">
        <v>277</v>
      </c>
      <c r="D41" s="50">
        <v>3</v>
      </c>
      <c r="E41" s="50">
        <v>3</v>
      </c>
      <c r="F41" s="50">
        <v>0</v>
      </c>
      <c r="G41" s="50">
        <v>1</v>
      </c>
      <c r="H41" s="50">
        <v>3</v>
      </c>
      <c r="I41" s="50" t="s">
        <v>653</v>
      </c>
      <c r="J41" s="50" t="s">
        <v>653</v>
      </c>
      <c r="K41" s="50">
        <v>64</v>
      </c>
      <c r="L41" s="50" t="s">
        <v>6</v>
      </c>
      <c r="M41" s="50"/>
      <c r="N41" s="49"/>
    </row>
    <row r="42" spans="1:14" ht="14.25" customHeight="1">
      <c r="A42" s="54" t="s">
        <v>20</v>
      </c>
      <c r="B42" s="54" t="s">
        <v>87</v>
      </c>
      <c r="C42" s="54" t="s">
        <v>321</v>
      </c>
      <c r="D42" s="55">
        <v>3</v>
      </c>
      <c r="E42" s="55">
        <v>3</v>
      </c>
      <c r="F42" s="55">
        <v>0</v>
      </c>
      <c r="G42" s="55">
        <v>1</v>
      </c>
      <c r="H42" s="55">
        <v>3</v>
      </c>
      <c r="I42" s="55" t="s">
        <v>653</v>
      </c>
      <c r="J42" s="55" t="s">
        <v>653</v>
      </c>
      <c r="K42" s="55">
        <v>64</v>
      </c>
      <c r="L42" s="55" t="s">
        <v>6</v>
      </c>
      <c r="M42" s="55"/>
      <c r="N42" s="54"/>
    </row>
    <row r="43" spans="1:14" ht="14.25" customHeight="1">
      <c r="A43" s="49" t="s">
        <v>20</v>
      </c>
      <c r="B43" s="49" t="s">
        <v>87</v>
      </c>
      <c r="C43" s="49" t="s">
        <v>318</v>
      </c>
      <c r="D43" s="50">
        <v>3</v>
      </c>
      <c r="E43" s="50">
        <v>3</v>
      </c>
      <c r="F43" s="50">
        <v>0</v>
      </c>
      <c r="G43" s="50">
        <v>1</v>
      </c>
      <c r="H43" s="50">
        <v>3</v>
      </c>
      <c r="I43" s="50" t="s">
        <v>596</v>
      </c>
      <c r="J43" s="50" t="s">
        <v>596</v>
      </c>
      <c r="K43" s="50">
        <v>65</v>
      </c>
      <c r="L43" s="50" t="s">
        <v>6</v>
      </c>
      <c r="M43" s="50"/>
      <c r="N43" s="49"/>
    </row>
    <row r="44" spans="1:14" ht="14.25" customHeight="1">
      <c r="A44" s="54" t="s">
        <v>20</v>
      </c>
      <c r="B44" s="54" t="s">
        <v>87</v>
      </c>
      <c r="C44" s="54" t="s">
        <v>308</v>
      </c>
      <c r="D44" s="55">
        <v>3</v>
      </c>
      <c r="E44" s="55">
        <v>3</v>
      </c>
      <c r="F44" s="55">
        <v>0</v>
      </c>
      <c r="G44" s="55">
        <v>1</v>
      </c>
      <c r="H44" s="55">
        <v>3</v>
      </c>
      <c r="I44" s="55" t="s">
        <v>596</v>
      </c>
      <c r="J44" s="55" t="s">
        <v>596</v>
      </c>
      <c r="K44" s="55">
        <v>65</v>
      </c>
      <c r="L44" s="55" t="s">
        <v>6</v>
      </c>
      <c r="M44" s="55"/>
      <c r="N44" s="54"/>
    </row>
    <row r="45" spans="1:14" ht="14.25" customHeight="1">
      <c r="A45" s="49" t="s">
        <v>20</v>
      </c>
      <c r="B45" s="49" t="s">
        <v>87</v>
      </c>
      <c r="C45" s="49" t="s">
        <v>363</v>
      </c>
      <c r="D45" s="50">
        <v>3</v>
      </c>
      <c r="E45" s="50">
        <v>3</v>
      </c>
      <c r="F45" s="50">
        <v>0</v>
      </c>
      <c r="G45" s="50">
        <v>1</v>
      </c>
      <c r="H45" s="50">
        <v>3</v>
      </c>
      <c r="I45" s="50" t="s">
        <v>597</v>
      </c>
      <c r="J45" s="50" t="s">
        <v>597</v>
      </c>
      <c r="K45" s="50">
        <v>66</v>
      </c>
      <c r="L45" s="50" t="s">
        <v>6</v>
      </c>
      <c r="M45" s="50"/>
      <c r="N45" s="49"/>
    </row>
    <row r="46" spans="1:14" ht="14.25" customHeight="1">
      <c r="A46" s="54" t="s">
        <v>20</v>
      </c>
      <c r="B46" s="54" t="s">
        <v>87</v>
      </c>
      <c r="C46" s="54" t="s">
        <v>364</v>
      </c>
      <c r="D46" s="55">
        <v>2</v>
      </c>
      <c r="E46" s="55">
        <v>2</v>
      </c>
      <c r="F46" s="55">
        <v>0</v>
      </c>
      <c r="G46" s="55">
        <v>1</v>
      </c>
      <c r="H46" s="55">
        <v>2</v>
      </c>
      <c r="I46" s="55" t="s">
        <v>597</v>
      </c>
      <c r="J46" s="55" t="s">
        <v>597</v>
      </c>
      <c r="K46" s="55">
        <v>66</v>
      </c>
      <c r="L46" s="55" t="s">
        <v>6</v>
      </c>
      <c r="M46" s="55"/>
      <c r="N46" s="54"/>
    </row>
    <row r="47" spans="1:14" ht="14.25" customHeight="1">
      <c r="A47" s="49" t="s">
        <v>20</v>
      </c>
      <c r="B47" s="49" t="s">
        <v>87</v>
      </c>
      <c r="C47" s="49" t="s">
        <v>88</v>
      </c>
      <c r="D47" s="50">
        <v>2</v>
      </c>
      <c r="E47" s="50">
        <v>2</v>
      </c>
      <c r="F47" s="50">
        <v>0</v>
      </c>
      <c r="G47" s="50">
        <v>1</v>
      </c>
      <c r="H47" s="50">
        <v>2</v>
      </c>
      <c r="I47" s="50" t="s">
        <v>597</v>
      </c>
      <c r="J47" s="50" t="s">
        <v>597</v>
      </c>
      <c r="K47" s="50">
        <v>66</v>
      </c>
      <c r="L47" s="50" t="s">
        <v>6</v>
      </c>
      <c r="M47" s="50"/>
      <c r="N47" s="49"/>
    </row>
    <row r="48" spans="1:14" ht="14.25" customHeight="1">
      <c r="A48" s="54" t="s">
        <v>20</v>
      </c>
      <c r="B48" s="54" t="s">
        <v>87</v>
      </c>
      <c r="C48" s="54" t="s">
        <v>360</v>
      </c>
      <c r="D48" s="55">
        <v>2</v>
      </c>
      <c r="E48" s="55">
        <v>2</v>
      </c>
      <c r="F48" s="55">
        <v>0</v>
      </c>
      <c r="G48" s="55">
        <v>1</v>
      </c>
      <c r="H48" s="55">
        <v>2</v>
      </c>
      <c r="I48" s="55" t="s">
        <v>587</v>
      </c>
      <c r="J48" s="55" t="s">
        <v>587</v>
      </c>
      <c r="K48" s="55">
        <v>67</v>
      </c>
      <c r="L48" s="55" t="s">
        <v>6</v>
      </c>
      <c r="M48" s="55"/>
      <c r="N48" s="54"/>
    </row>
    <row r="49" spans="1:14" ht="14.25" customHeight="1">
      <c r="A49" s="49" t="s">
        <v>20</v>
      </c>
      <c r="B49" s="49" t="s">
        <v>87</v>
      </c>
      <c r="C49" s="49" t="s">
        <v>354</v>
      </c>
      <c r="D49" s="50">
        <v>2</v>
      </c>
      <c r="E49" s="50">
        <v>2</v>
      </c>
      <c r="F49" s="50">
        <v>0</v>
      </c>
      <c r="G49" s="50">
        <v>1</v>
      </c>
      <c r="H49" s="50">
        <v>2</v>
      </c>
      <c r="I49" s="50" t="s">
        <v>587</v>
      </c>
      <c r="J49" s="50" t="s">
        <v>587</v>
      </c>
      <c r="K49" s="50">
        <v>67</v>
      </c>
      <c r="L49" s="50" t="s">
        <v>6</v>
      </c>
      <c r="M49" s="50"/>
      <c r="N49" s="49"/>
    </row>
    <row r="50" spans="1:14" ht="14.25" customHeight="1">
      <c r="A50" s="54" t="s">
        <v>20</v>
      </c>
      <c r="B50" s="54" t="s">
        <v>87</v>
      </c>
      <c r="C50" s="54" t="s">
        <v>359</v>
      </c>
      <c r="D50" s="55">
        <v>2</v>
      </c>
      <c r="E50" s="55">
        <v>2</v>
      </c>
      <c r="F50" s="55">
        <v>0</v>
      </c>
      <c r="G50" s="55">
        <v>1</v>
      </c>
      <c r="H50" s="55">
        <v>2</v>
      </c>
      <c r="I50" s="55" t="s">
        <v>587</v>
      </c>
      <c r="J50" s="55" t="s">
        <v>587</v>
      </c>
      <c r="K50" s="55">
        <v>67</v>
      </c>
      <c r="L50" s="55" t="s">
        <v>6</v>
      </c>
      <c r="M50" s="55"/>
      <c r="N50" s="54"/>
    </row>
    <row r="51" spans="1:14" ht="14.25" customHeight="1">
      <c r="A51" s="49" t="s">
        <v>20</v>
      </c>
      <c r="B51" s="49" t="s">
        <v>87</v>
      </c>
      <c r="C51" s="49" t="s">
        <v>358</v>
      </c>
      <c r="D51" s="50">
        <v>2</v>
      </c>
      <c r="E51" s="50">
        <v>2</v>
      </c>
      <c r="F51" s="50">
        <v>0</v>
      </c>
      <c r="G51" s="50">
        <v>1</v>
      </c>
      <c r="H51" s="50">
        <v>2</v>
      </c>
      <c r="I51" s="50" t="s">
        <v>663</v>
      </c>
      <c r="J51" s="50" t="s">
        <v>663</v>
      </c>
      <c r="K51" s="50">
        <v>68</v>
      </c>
      <c r="L51" s="50" t="s">
        <v>6</v>
      </c>
      <c r="M51" s="50"/>
      <c r="N51" s="49"/>
    </row>
    <row r="52" spans="1:14" ht="14.25" customHeight="1">
      <c r="A52" s="54" t="s">
        <v>20</v>
      </c>
      <c r="B52" s="54" t="s">
        <v>87</v>
      </c>
      <c r="C52" s="54" t="s">
        <v>357</v>
      </c>
      <c r="D52" s="55">
        <v>2</v>
      </c>
      <c r="E52" s="55">
        <v>2</v>
      </c>
      <c r="F52" s="55">
        <v>0</v>
      </c>
      <c r="G52" s="55">
        <v>1</v>
      </c>
      <c r="H52" s="55">
        <v>2</v>
      </c>
      <c r="I52" s="55" t="s">
        <v>663</v>
      </c>
      <c r="J52" s="55" t="s">
        <v>663</v>
      </c>
      <c r="K52" s="55">
        <v>68</v>
      </c>
      <c r="L52" s="55" t="s">
        <v>6</v>
      </c>
      <c r="M52" s="55"/>
      <c r="N52" s="54"/>
    </row>
    <row r="53" spans="1:14" ht="14.25" customHeight="1">
      <c r="A53" s="49" t="s">
        <v>20</v>
      </c>
      <c r="B53" s="49" t="s">
        <v>87</v>
      </c>
      <c r="C53" s="49" t="s">
        <v>353</v>
      </c>
      <c r="D53" s="50">
        <v>2</v>
      </c>
      <c r="E53" s="50">
        <v>2</v>
      </c>
      <c r="F53" s="50">
        <v>0</v>
      </c>
      <c r="G53" s="50">
        <v>1</v>
      </c>
      <c r="H53" s="50">
        <v>2</v>
      </c>
      <c r="I53" s="50" t="s">
        <v>663</v>
      </c>
      <c r="J53" s="50" t="s">
        <v>663</v>
      </c>
      <c r="K53" s="50">
        <v>68</v>
      </c>
      <c r="L53" s="50" t="s">
        <v>6</v>
      </c>
      <c r="M53" s="50"/>
      <c r="N53" s="49"/>
    </row>
    <row r="54" spans="1:14" ht="14.25" customHeight="1">
      <c r="A54" s="54" t="s">
        <v>20</v>
      </c>
      <c r="B54" s="54" t="s">
        <v>87</v>
      </c>
      <c r="C54" s="54" t="s">
        <v>350</v>
      </c>
      <c r="D54" s="55">
        <v>2</v>
      </c>
      <c r="E54" s="55">
        <v>2</v>
      </c>
      <c r="F54" s="55">
        <v>0</v>
      </c>
      <c r="G54" s="55">
        <v>1</v>
      </c>
      <c r="H54" s="55">
        <v>2</v>
      </c>
      <c r="I54" s="55" t="s">
        <v>584</v>
      </c>
      <c r="J54" s="55" t="s">
        <v>584</v>
      </c>
      <c r="K54" s="55">
        <v>69</v>
      </c>
      <c r="L54" s="55" t="s">
        <v>6</v>
      </c>
      <c r="M54" s="55"/>
      <c r="N54" s="54"/>
    </row>
    <row r="55" spans="1:14" ht="14.25" customHeight="1">
      <c r="A55" s="49" t="s">
        <v>20</v>
      </c>
      <c r="B55" s="49" t="s">
        <v>87</v>
      </c>
      <c r="C55" s="49" t="s">
        <v>348</v>
      </c>
      <c r="D55" s="50">
        <v>2</v>
      </c>
      <c r="E55" s="50">
        <v>2</v>
      </c>
      <c r="F55" s="50">
        <v>0</v>
      </c>
      <c r="G55" s="50">
        <v>1</v>
      </c>
      <c r="H55" s="50">
        <v>2</v>
      </c>
      <c r="I55" s="50" t="s">
        <v>584</v>
      </c>
      <c r="J55" s="50" t="s">
        <v>584</v>
      </c>
      <c r="K55" s="50">
        <v>69</v>
      </c>
      <c r="L55" s="50" t="s">
        <v>6</v>
      </c>
      <c r="M55" s="50"/>
      <c r="N55" s="49"/>
    </row>
    <row r="56" spans="1:14" ht="14.25" customHeight="1">
      <c r="A56" s="54" t="s">
        <v>20</v>
      </c>
      <c r="B56" s="54" t="s">
        <v>87</v>
      </c>
      <c r="C56" s="54" t="s">
        <v>91</v>
      </c>
      <c r="D56" s="55">
        <v>1</v>
      </c>
      <c r="E56" s="55">
        <v>1</v>
      </c>
      <c r="F56" s="55">
        <v>0</v>
      </c>
      <c r="G56" s="55">
        <v>1</v>
      </c>
      <c r="H56" s="55">
        <v>1</v>
      </c>
      <c r="I56" s="55" t="s">
        <v>584</v>
      </c>
      <c r="J56" s="55" t="s">
        <v>584</v>
      </c>
      <c r="K56" s="55">
        <v>69</v>
      </c>
      <c r="L56" s="55" t="s">
        <v>6</v>
      </c>
      <c r="M56" s="55"/>
      <c r="N56" s="54"/>
    </row>
    <row r="57" spans="1:14" ht="14.25" customHeight="1">
      <c r="A57" s="49" t="s">
        <v>20</v>
      </c>
      <c r="B57" s="49" t="s">
        <v>87</v>
      </c>
      <c r="C57" s="49" t="s">
        <v>365</v>
      </c>
      <c r="D57" s="50">
        <v>1</v>
      </c>
      <c r="E57" s="50">
        <v>1</v>
      </c>
      <c r="F57" s="50">
        <v>0</v>
      </c>
      <c r="G57" s="50">
        <v>1</v>
      </c>
      <c r="H57" s="50">
        <v>1</v>
      </c>
      <c r="I57" s="50" t="s">
        <v>664</v>
      </c>
      <c r="J57" s="50" t="s">
        <v>664</v>
      </c>
      <c r="K57" s="50">
        <v>70</v>
      </c>
      <c r="L57" s="50" t="s">
        <v>6</v>
      </c>
      <c r="M57" s="50"/>
      <c r="N57" s="49"/>
    </row>
    <row r="58" spans="1:14" ht="14.25" customHeight="1">
      <c r="A58" s="54" t="s">
        <v>20</v>
      </c>
      <c r="B58" s="54" t="s">
        <v>87</v>
      </c>
      <c r="C58" s="54" t="s">
        <v>92</v>
      </c>
      <c r="D58" s="55">
        <v>1</v>
      </c>
      <c r="E58" s="55">
        <v>1</v>
      </c>
      <c r="F58" s="55">
        <v>0</v>
      </c>
      <c r="G58" s="55">
        <v>1</v>
      </c>
      <c r="H58" s="55">
        <v>1</v>
      </c>
      <c r="I58" s="55" t="s">
        <v>664</v>
      </c>
      <c r="J58" s="55" t="s">
        <v>664</v>
      </c>
      <c r="K58" s="55">
        <v>70</v>
      </c>
      <c r="L58" s="55" t="s">
        <v>6</v>
      </c>
      <c r="M58" s="55"/>
      <c r="N58" s="54"/>
    </row>
    <row r="59" spans="1:14" ht="14.25" customHeight="1">
      <c r="A59" s="49" t="s">
        <v>20</v>
      </c>
      <c r="B59" s="49" t="s">
        <v>87</v>
      </c>
      <c r="C59" s="49" t="s">
        <v>366</v>
      </c>
      <c r="D59" s="50">
        <v>1</v>
      </c>
      <c r="E59" s="50">
        <v>1</v>
      </c>
      <c r="F59" s="50">
        <v>0</v>
      </c>
      <c r="G59" s="50">
        <v>1</v>
      </c>
      <c r="H59" s="50">
        <v>1</v>
      </c>
      <c r="I59" s="50" t="s">
        <v>664</v>
      </c>
      <c r="J59" s="50" t="s">
        <v>664</v>
      </c>
      <c r="K59" s="50">
        <v>70</v>
      </c>
      <c r="L59" s="50" t="s">
        <v>6</v>
      </c>
      <c r="M59" s="50"/>
      <c r="N59" s="49"/>
    </row>
    <row r="60" spans="1:14" ht="14.25" customHeight="1">
      <c r="A60" s="54" t="s">
        <v>20</v>
      </c>
      <c r="B60" s="54" t="s">
        <v>87</v>
      </c>
      <c r="C60" s="54" t="s">
        <v>368</v>
      </c>
      <c r="D60" s="55">
        <v>1</v>
      </c>
      <c r="E60" s="55">
        <v>1</v>
      </c>
      <c r="F60" s="55">
        <v>0</v>
      </c>
      <c r="G60" s="55">
        <v>1</v>
      </c>
      <c r="H60" s="55">
        <v>1</v>
      </c>
      <c r="I60" s="55" t="s">
        <v>664</v>
      </c>
      <c r="J60" s="55" t="s">
        <v>664</v>
      </c>
      <c r="K60" s="55">
        <v>70</v>
      </c>
      <c r="L60" s="55" t="s">
        <v>6</v>
      </c>
      <c r="M60" s="55"/>
      <c r="N60" s="54"/>
    </row>
    <row r="61" spans="1:14" ht="14.25" customHeight="1">
      <c r="A61" s="49" t="s">
        <v>20</v>
      </c>
      <c r="B61" s="49" t="s">
        <v>93</v>
      </c>
      <c r="C61" s="49" t="s">
        <v>143</v>
      </c>
      <c r="D61" s="50">
        <v>4</v>
      </c>
      <c r="E61" s="50">
        <v>4</v>
      </c>
      <c r="F61" s="50">
        <v>0</v>
      </c>
      <c r="G61" s="50">
        <v>1</v>
      </c>
      <c r="H61" s="50">
        <v>4</v>
      </c>
      <c r="I61" s="50" t="s">
        <v>664</v>
      </c>
      <c r="J61" s="50" t="s">
        <v>664</v>
      </c>
      <c r="K61" s="50">
        <v>70</v>
      </c>
      <c r="L61" s="50" t="s">
        <v>6</v>
      </c>
      <c r="M61" s="50"/>
      <c r="N61" s="49"/>
    </row>
    <row r="62" spans="1:14" ht="14.25" customHeight="1">
      <c r="A62" s="54" t="s">
        <v>20</v>
      </c>
      <c r="B62" s="54" t="s">
        <v>93</v>
      </c>
      <c r="C62" s="54" t="s">
        <v>147</v>
      </c>
      <c r="D62" s="55">
        <v>4</v>
      </c>
      <c r="E62" s="55">
        <v>4</v>
      </c>
      <c r="F62" s="55">
        <v>0</v>
      </c>
      <c r="G62" s="55">
        <v>1</v>
      </c>
      <c r="H62" s="55">
        <v>4</v>
      </c>
      <c r="I62" s="55" t="s">
        <v>665</v>
      </c>
      <c r="J62" s="55" t="s">
        <v>665</v>
      </c>
      <c r="K62" s="55">
        <v>71</v>
      </c>
      <c r="L62" s="55" t="s">
        <v>6</v>
      </c>
      <c r="M62" s="55"/>
      <c r="N62" s="54"/>
    </row>
    <row r="63" spans="1:14" ht="14.25" customHeight="1">
      <c r="A63" s="49" t="s">
        <v>20</v>
      </c>
      <c r="B63" s="49" t="s">
        <v>93</v>
      </c>
      <c r="C63" s="49" t="s">
        <v>245</v>
      </c>
      <c r="D63" s="50">
        <v>3</v>
      </c>
      <c r="E63" s="50">
        <v>3</v>
      </c>
      <c r="F63" s="50">
        <v>0</v>
      </c>
      <c r="G63" s="50">
        <v>1</v>
      </c>
      <c r="H63" s="50">
        <v>3</v>
      </c>
      <c r="I63" s="50" t="s">
        <v>665</v>
      </c>
      <c r="J63" s="50" t="s">
        <v>665</v>
      </c>
      <c r="K63" s="50">
        <v>71</v>
      </c>
      <c r="L63" s="50" t="s">
        <v>6</v>
      </c>
      <c r="M63" s="50"/>
      <c r="N63" s="49"/>
    </row>
    <row r="64" spans="1:14" ht="14.25" customHeight="1">
      <c r="A64" s="54" t="s">
        <v>20</v>
      </c>
      <c r="B64" s="54" t="s">
        <v>93</v>
      </c>
      <c r="C64" s="54" t="s">
        <v>119</v>
      </c>
      <c r="D64" s="55">
        <v>3</v>
      </c>
      <c r="E64" s="55">
        <v>3</v>
      </c>
      <c r="F64" s="55">
        <v>0</v>
      </c>
      <c r="G64" s="55">
        <v>1</v>
      </c>
      <c r="H64" s="55">
        <v>3</v>
      </c>
      <c r="I64" s="55" t="s">
        <v>666</v>
      </c>
      <c r="J64" s="55" t="s">
        <v>666</v>
      </c>
      <c r="K64" s="55">
        <v>72</v>
      </c>
      <c r="L64" s="55" t="s">
        <v>6</v>
      </c>
      <c r="M64" s="55"/>
      <c r="N64" s="54"/>
    </row>
    <row r="65" spans="1:14" ht="14.25" customHeight="1">
      <c r="A65" s="49" t="s">
        <v>20</v>
      </c>
      <c r="B65" s="49" t="s">
        <v>93</v>
      </c>
      <c r="C65" s="49" t="s">
        <v>341</v>
      </c>
      <c r="D65" s="50">
        <v>3</v>
      </c>
      <c r="E65" s="50">
        <v>3</v>
      </c>
      <c r="F65" s="50">
        <v>0</v>
      </c>
      <c r="G65" s="50">
        <v>1</v>
      </c>
      <c r="H65" s="50">
        <v>3</v>
      </c>
      <c r="I65" s="50" t="s">
        <v>666</v>
      </c>
      <c r="J65" s="50" t="s">
        <v>666</v>
      </c>
      <c r="K65" s="50">
        <v>72</v>
      </c>
      <c r="L65" s="50" t="s">
        <v>6</v>
      </c>
      <c r="M65" s="50"/>
      <c r="N65" s="49"/>
    </row>
    <row r="66" spans="1:14" ht="14.25" customHeight="1">
      <c r="A66" s="54" t="s">
        <v>20</v>
      </c>
      <c r="B66" s="54" t="s">
        <v>93</v>
      </c>
      <c r="C66" s="54" t="s">
        <v>94</v>
      </c>
      <c r="D66" s="55">
        <v>3</v>
      </c>
      <c r="E66" s="55">
        <v>3</v>
      </c>
      <c r="F66" s="55">
        <v>0</v>
      </c>
      <c r="G66" s="55">
        <v>1</v>
      </c>
      <c r="H66" s="55">
        <v>3</v>
      </c>
      <c r="I66" s="55" t="s">
        <v>667</v>
      </c>
      <c r="J66" s="55" t="s">
        <v>667</v>
      </c>
      <c r="K66" s="55">
        <v>73</v>
      </c>
      <c r="L66" s="55" t="s">
        <v>6</v>
      </c>
      <c r="M66" s="55"/>
      <c r="N66" s="54"/>
    </row>
    <row r="67" spans="1:14" ht="14.25" customHeight="1">
      <c r="A67" s="49" t="s">
        <v>20</v>
      </c>
      <c r="B67" s="49" t="s">
        <v>93</v>
      </c>
      <c r="C67" s="49" t="s">
        <v>189</v>
      </c>
      <c r="D67" s="50">
        <v>3</v>
      </c>
      <c r="E67" s="50">
        <v>3</v>
      </c>
      <c r="F67" s="50">
        <v>0</v>
      </c>
      <c r="G67" s="50">
        <v>1</v>
      </c>
      <c r="H67" s="50">
        <v>3</v>
      </c>
      <c r="I67" s="50" t="s">
        <v>667</v>
      </c>
      <c r="J67" s="50" t="s">
        <v>667</v>
      </c>
      <c r="K67" s="50">
        <v>73</v>
      </c>
      <c r="L67" s="50" t="s">
        <v>6</v>
      </c>
      <c r="M67" s="50"/>
      <c r="N67" s="49"/>
    </row>
    <row r="68" spans="1:14" ht="14.25" customHeight="1">
      <c r="A68" s="54" t="s">
        <v>20</v>
      </c>
      <c r="B68" s="54" t="s">
        <v>93</v>
      </c>
      <c r="C68" s="54" t="s">
        <v>250</v>
      </c>
      <c r="D68" s="55">
        <v>3</v>
      </c>
      <c r="E68" s="55">
        <v>3</v>
      </c>
      <c r="F68" s="55">
        <v>0</v>
      </c>
      <c r="G68" s="55">
        <v>1</v>
      </c>
      <c r="H68" s="55">
        <v>3</v>
      </c>
      <c r="I68" s="55" t="s">
        <v>645</v>
      </c>
      <c r="J68" s="55" t="s">
        <v>645</v>
      </c>
      <c r="K68" s="55">
        <v>74</v>
      </c>
      <c r="L68" s="55" t="s">
        <v>6</v>
      </c>
      <c r="M68" s="55"/>
      <c r="N68" s="54"/>
    </row>
    <row r="69" spans="1:14" ht="14.25" customHeight="1">
      <c r="A69" s="49" t="s">
        <v>20</v>
      </c>
      <c r="B69" s="49" t="s">
        <v>93</v>
      </c>
      <c r="C69" s="49" t="s">
        <v>188</v>
      </c>
      <c r="D69" s="50">
        <v>3</v>
      </c>
      <c r="E69" s="50">
        <v>3</v>
      </c>
      <c r="F69" s="50">
        <v>0</v>
      </c>
      <c r="G69" s="50">
        <v>1</v>
      </c>
      <c r="H69" s="50">
        <v>3</v>
      </c>
      <c r="I69" s="50" t="s">
        <v>645</v>
      </c>
      <c r="J69" s="50" t="s">
        <v>645</v>
      </c>
      <c r="K69" s="50">
        <v>74</v>
      </c>
      <c r="L69" s="50" t="s">
        <v>6</v>
      </c>
      <c r="M69" s="50"/>
      <c r="N69" s="49"/>
    </row>
    <row r="70" spans="1:14" ht="14.25" customHeight="1">
      <c r="A70" s="54" t="s">
        <v>20</v>
      </c>
      <c r="B70" s="54" t="s">
        <v>93</v>
      </c>
      <c r="C70" s="54" t="s">
        <v>186</v>
      </c>
      <c r="D70" s="55">
        <v>3</v>
      </c>
      <c r="E70" s="55">
        <v>3</v>
      </c>
      <c r="F70" s="55">
        <v>0</v>
      </c>
      <c r="G70" s="55">
        <v>1</v>
      </c>
      <c r="H70" s="55">
        <v>3</v>
      </c>
      <c r="I70" s="55" t="s">
        <v>646</v>
      </c>
      <c r="J70" s="55" t="s">
        <v>646</v>
      </c>
      <c r="K70" s="55">
        <v>75</v>
      </c>
      <c r="L70" s="55" t="s">
        <v>6</v>
      </c>
      <c r="M70" s="55"/>
      <c r="N70" s="54"/>
    </row>
    <row r="71" spans="1:14" ht="14.25" customHeight="1">
      <c r="A71" s="49" t="s">
        <v>20</v>
      </c>
      <c r="B71" s="49" t="s">
        <v>93</v>
      </c>
      <c r="C71" s="49" t="s">
        <v>144</v>
      </c>
      <c r="D71" s="50">
        <v>3</v>
      </c>
      <c r="E71" s="50">
        <v>3</v>
      </c>
      <c r="F71" s="50">
        <v>0</v>
      </c>
      <c r="G71" s="50">
        <v>1</v>
      </c>
      <c r="H71" s="50">
        <v>3</v>
      </c>
      <c r="I71" s="50" t="s">
        <v>646</v>
      </c>
      <c r="J71" s="50" t="s">
        <v>646</v>
      </c>
      <c r="K71" s="50">
        <v>75</v>
      </c>
      <c r="L71" s="50" t="s">
        <v>6</v>
      </c>
      <c r="M71" s="50"/>
      <c r="N71" s="49"/>
    </row>
    <row r="72" spans="1:14" ht="14.25" customHeight="1">
      <c r="A72" s="54" t="s">
        <v>20</v>
      </c>
      <c r="B72" s="54" t="s">
        <v>93</v>
      </c>
      <c r="C72" s="54" t="s">
        <v>145</v>
      </c>
      <c r="D72" s="55">
        <v>2</v>
      </c>
      <c r="E72" s="55">
        <v>2</v>
      </c>
      <c r="F72" s="55">
        <v>0</v>
      </c>
      <c r="G72" s="55">
        <v>1</v>
      </c>
      <c r="H72" s="55">
        <v>2</v>
      </c>
      <c r="I72" s="55" t="s">
        <v>598</v>
      </c>
      <c r="J72" s="55" t="s">
        <v>598</v>
      </c>
      <c r="K72" s="55">
        <v>76</v>
      </c>
      <c r="L72" s="55" t="s">
        <v>6</v>
      </c>
      <c r="M72" s="55"/>
      <c r="N72" s="54"/>
    </row>
    <row r="73" spans="1:14" ht="14.25" customHeight="1">
      <c r="A73" s="49" t="s">
        <v>20</v>
      </c>
      <c r="B73" s="49" t="s">
        <v>93</v>
      </c>
      <c r="C73" s="49" t="s">
        <v>342</v>
      </c>
      <c r="D73" s="50">
        <v>2</v>
      </c>
      <c r="E73" s="50">
        <v>2</v>
      </c>
      <c r="F73" s="50">
        <v>0</v>
      </c>
      <c r="G73" s="50">
        <v>1</v>
      </c>
      <c r="H73" s="50">
        <v>2</v>
      </c>
      <c r="I73" s="50" t="s">
        <v>598</v>
      </c>
      <c r="J73" s="50" t="s">
        <v>598</v>
      </c>
      <c r="K73" s="50">
        <v>76</v>
      </c>
      <c r="L73" s="50" t="s">
        <v>6</v>
      </c>
      <c r="M73" s="50"/>
      <c r="N73" s="49"/>
    </row>
    <row r="74" spans="1:14" ht="14.25" customHeight="1">
      <c r="A74" s="54" t="s">
        <v>20</v>
      </c>
      <c r="B74" s="54" t="s">
        <v>93</v>
      </c>
      <c r="C74" s="54" t="s">
        <v>149</v>
      </c>
      <c r="D74" s="55">
        <v>2</v>
      </c>
      <c r="E74" s="55">
        <v>2</v>
      </c>
      <c r="F74" s="55">
        <v>0</v>
      </c>
      <c r="G74" s="55">
        <v>1</v>
      </c>
      <c r="H74" s="55">
        <v>2</v>
      </c>
      <c r="I74" s="55" t="s">
        <v>599</v>
      </c>
      <c r="J74" s="55" t="s">
        <v>599</v>
      </c>
      <c r="K74" s="55">
        <v>77</v>
      </c>
      <c r="L74" s="55" t="s">
        <v>6</v>
      </c>
      <c r="M74" s="55"/>
      <c r="N74" s="54"/>
    </row>
    <row r="75" spans="1:14" ht="14.25" customHeight="1">
      <c r="A75" s="49" t="s">
        <v>20</v>
      </c>
      <c r="B75" s="49" t="s">
        <v>93</v>
      </c>
      <c r="C75" s="49" t="s">
        <v>148</v>
      </c>
      <c r="D75" s="50">
        <v>2</v>
      </c>
      <c r="E75" s="50">
        <v>2</v>
      </c>
      <c r="F75" s="50">
        <v>0</v>
      </c>
      <c r="G75" s="50">
        <v>1</v>
      </c>
      <c r="H75" s="50">
        <v>2</v>
      </c>
      <c r="I75" s="50" t="s">
        <v>599</v>
      </c>
      <c r="J75" s="50" t="s">
        <v>599</v>
      </c>
      <c r="K75" s="50">
        <v>77</v>
      </c>
      <c r="L75" s="50" t="s">
        <v>6</v>
      </c>
      <c r="M75" s="50"/>
      <c r="N75" s="49"/>
    </row>
    <row r="76" spans="1:14" ht="14.25" customHeight="1">
      <c r="A76" s="54" t="s">
        <v>20</v>
      </c>
      <c r="B76" s="54" t="s">
        <v>93</v>
      </c>
      <c r="C76" s="54" t="s">
        <v>123</v>
      </c>
      <c r="D76" s="55">
        <v>2</v>
      </c>
      <c r="E76" s="55">
        <v>2</v>
      </c>
      <c r="F76" s="55">
        <v>0</v>
      </c>
      <c r="G76" s="55">
        <v>1</v>
      </c>
      <c r="H76" s="55">
        <v>2</v>
      </c>
      <c r="I76" s="55" t="s">
        <v>599</v>
      </c>
      <c r="J76" s="55" t="s">
        <v>599</v>
      </c>
      <c r="K76" s="55">
        <v>77</v>
      </c>
      <c r="L76" s="55" t="s">
        <v>6</v>
      </c>
      <c r="M76" s="55"/>
      <c r="N76" s="54"/>
    </row>
    <row r="77" spans="1:14" ht="14.25" customHeight="1">
      <c r="A77" s="49" t="s">
        <v>20</v>
      </c>
      <c r="B77" s="49" t="s">
        <v>93</v>
      </c>
      <c r="C77" s="49" t="s">
        <v>130</v>
      </c>
      <c r="D77" s="50">
        <v>2</v>
      </c>
      <c r="E77" s="50">
        <v>2</v>
      </c>
      <c r="F77" s="50">
        <v>0</v>
      </c>
      <c r="G77" s="50">
        <v>1</v>
      </c>
      <c r="H77" s="50">
        <v>2</v>
      </c>
      <c r="I77" s="50" t="s">
        <v>668</v>
      </c>
      <c r="J77" s="50" t="s">
        <v>668</v>
      </c>
      <c r="K77" s="50">
        <v>78</v>
      </c>
      <c r="L77" s="50" t="s">
        <v>6</v>
      </c>
      <c r="M77" s="50"/>
      <c r="N77" s="49"/>
    </row>
    <row r="78" spans="1:14" ht="14.25" customHeight="1">
      <c r="A78" s="54" t="s">
        <v>20</v>
      </c>
      <c r="B78" s="54" t="s">
        <v>93</v>
      </c>
      <c r="C78" s="54" t="s">
        <v>203</v>
      </c>
      <c r="D78" s="55">
        <v>2</v>
      </c>
      <c r="E78" s="55">
        <v>2</v>
      </c>
      <c r="F78" s="55">
        <v>0</v>
      </c>
      <c r="G78" s="55">
        <v>1</v>
      </c>
      <c r="H78" s="55">
        <v>2</v>
      </c>
      <c r="I78" s="55" t="s">
        <v>668</v>
      </c>
      <c r="J78" s="55" t="s">
        <v>668</v>
      </c>
      <c r="K78" s="55">
        <v>78</v>
      </c>
      <c r="L78" s="55" t="s">
        <v>6</v>
      </c>
      <c r="M78" s="55"/>
      <c r="N78" s="54"/>
    </row>
    <row r="79" spans="1:14" ht="14.25" customHeight="1">
      <c r="A79" s="49" t="s">
        <v>20</v>
      </c>
      <c r="B79" s="49" t="s">
        <v>93</v>
      </c>
      <c r="C79" s="49" t="s">
        <v>202</v>
      </c>
      <c r="D79" s="50">
        <v>2</v>
      </c>
      <c r="E79" s="50">
        <v>2</v>
      </c>
      <c r="F79" s="50">
        <v>0</v>
      </c>
      <c r="G79" s="50">
        <v>1</v>
      </c>
      <c r="H79" s="50">
        <v>2</v>
      </c>
      <c r="I79" s="50" t="s">
        <v>668</v>
      </c>
      <c r="J79" s="50" t="s">
        <v>668</v>
      </c>
      <c r="K79" s="50">
        <v>78</v>
      </c>
      <c r="L79" s="50" t="s">
        <v>6</v>
      </c>
      <c r="M79" s="50"/>
      <c r="N79" s="49"/>
    </row>
    <row r="80" spans="1:14" ht="14.25" customHeight="1">
      <c r="A80" s="54" t="s">
        <v>20</v>
      </c>
      <c r="B80" s="54" t="s">
        <v>93</v>
      </c>
      <c r="C80" s="54" t="s">
        <v>201</v>
      </c>
      <c r="D80" s="55">
        <v>2</v>
      </c>
      <c r="E80" s="55">
        <v>2</v>
      </c>
      <c r="F80" s="55">
        <v>0</v>
      </c>
      <c r="G80" s="55">
        <v>1</v>
      </c>
      <c r="H80" s="55">
        <v>2</v>
      </c>
      <c r="I80" s="55" t="s">
        <v>669</v>
      </c>
      <c r="J80" s="55" t="s">
        <v>669</v>
      </c>
      <c r="K80" s="55">
        <v>79</v>
      </c>
      <c r="L80" s="55" t="s">
        <v>6</v>
      </c>
      <c r="M80" s="55"/>
      <c r="N80" s="54"/>
    </row>
    <row r="81" spans="1:14" ht="14.25" customHeight="1">
      <c r="A81" s="49" t="s">
        <v>20</v>
      </c>
      <c r="B81" s="49" t="s">
        <v>93</v>
      </c>
      <c r="C81" s="49" t="s">
        <v>200</v>
      </c>
      <c r="D81" s="50">
        <v>2</v>
      </c>
      <c r="E81" s="50">
        <v>2</v>
      </c>
      <c r="F81" s="50">
        <v>0</v>
      </c>
      <c r="G81" s="50">
        <v>1</v>
      </c>
      <c r="H81" s="50">
        <v>2</v>
      </c>
      <c r="I81" s="50" t="s">
        <v>669</v>
      </c>
      <c r="J81" s="50" t="s">
        <v>669</v>
      </c>
      <c r="K81" s="50">
        <v>79</v>
      </c>
      <c r="L81" s="50" t="s">
        <v>6</v>
      </c>
      <c r="M81" s="50"/>
      <c r="N81" s="49"/>
    </row>
    <row r="82" spans="1:14" ht="14.25" customHeight="1">
      <c r="A82" s="54" t="s">
        <v>20</v>
      </c>
      <c r="B82" s="54" t="s">
        <v>93</v>
      </c>
      <c r="C82" s="54" t="s">
        <v>199</v>
      </c>
      <c r="D82" s="55">
        <v>2</v>
      </c>
      <c r="E82" s="55">
        <v>2</v>
      </c>
      <c r="F82" s="55">
        <v>0</v>
      </c>
      <c r="G82" s="55">
        <v>1</v>
      </c>
      <c r="H82" s="55">
        <v>2</v>
      </c>
      <c r="I82" s="55" t="s">
        <v>669</v>
      </c>
      <c r="J82" s="55" t="s">
        <v>669</v>
      </c>
      <c r="K82" s="55">
        <v>79</v>
      </c>
      <c r="L82" s="55" t="s">
        <v>6</v>
      </c>
      <c r="M82" s="55"/>
      <c r="N82" s="54"/>
    </row>
    <row r="83" spans="1:14" ht="14.25" customHeight="1">
      <c r="A83" s="49" t="s">
        <v>20</v>
      </c>
      <c r="B83" s="49" t="s">
        <v>93</v>
      </c>
      <c r="C83" s="49" t="s">
        <v>198</v>
      </c>
      <c r="D83" s="50">
        <v>2</v>
      </c>
      <c r="E83" s="50">
        <v>2</v>
      </c>
      <c r="F83" s="50">
        <v>0</v>
      </c>
      <c r="G83" s="50">
        <v>1</v>
      </c>
      <c r="H83" s="50">
        <v>2</v>
      </c>
      <c r="I83" s="50" t="s">
        <v>670</v>
      </c>
      <c r="J83" s="50" t="s">
        <v>670</v>
      </c>
      <c r="K83" s="50">
        <v>80</v>
      </c>
      <c r="L83" s="50" t="s">
        <v>6</v>
      </c>
      <c r="M83" s="50"/>
      <c r="N83" s="49"/>
    </row>
    <row r="84" spans="1:14" ht="14.25" customHeight="1">
      <c r="A84" s="54" t="s">
        <v>20</v>
      </c>
      <c r="B84" s="54" t="s">
        <v>93</v>
      </c>
      <c r="C84" s="54" t="s">
        <v>190</v>
      </c>
      <c r="D84" s="55">
        <v>2</v>
      </c>
      <c r="E84" s="55">
        <v>2</v>
      </c>
      <c r="F84" s="55">
        <v>0</v>
      </c>
      <c r="G84" s="55">
        <v>1</v>
      </c>
      <c r="H84" s="55">
        <v>2</v>
      </c>
      <c r="I84" s="55" t="s">
        <v>670</v>
      </c>
      <c r="J84" s="55" t="s">
        <v>670</v>
      </c>
      <c r="K84" s="55">
        <v>80</v>
      </c>
      <c r="L84" s="55" t="s">
        <v>6</v>
      </c>
      <c r="M84" s="55"/>
      <c r="N84" s="54"/>
    </row>
    <row r="85" spans="1:14" ht="14.25" customHeight="1">
      <c r="A85" s="49" t="s">
        <v>20</v>
      </c>
      <c r="B85" s="49" t="s">
        <v>93</v>
      </c>
      <c r="C85" s="49" t="s">
        <v>205</v>
      </c>
      <c r="D85" s="50">
        <v>2</v>
      </c>
      <c r="E85" s="50">
        <v>2</v>
      </c>
      <c r="F85" s="50">
        <v>0</v>
      </c>
      <c r="G85" s="50">
        <v>1</v>
      </c>
      <c r="H85" s="50">
        <v>2</v>
      </c>
      <c r="I85" s="50" t="s">
        <v>670</v>
      </c>
      <c r="J85" s="50" t="s">
        <v>670</v>
      </c>
      <c r="K85" s="50">
        <v>80</v>
      </c>
      <c r="L85" s="50" t="s">
        <v>6</v>
      </c>
      <c r="M85" s="50"/>
      <c r="N85" s="49"/>
    </row>
    <row r="86" spans="1:14" ht="14.25" customHeight="1">
      <c r="A86" s="54" t="s">
        <v>20</v>
      </c>
      <c r="B86" s="54" t="s">
        <v>93</v>
      </c>
      <c r="C86" s="54" t="s">
        <v>340</v>
      </c>
      <c r="D86" s="55">
        <v>1</v>
      </c>
      <c r="E86" s="55">
        <v>1</v>
      </c>
      <c r="F86" s="55">
        <v>0</v>
      </c>
      <c r="G86" s="55">
        <v>1</v>
      </c>
      <c r="H86" s="55">
        <v>1</v>
      </c>
      <c r="I86" s="55" t="s">
        <v>671</v>
      </c>
      <c r="J86" s="55" t="s">
        <v>671</v>
      </c>
      <c r="K86" s="55">
        <v>81</v>
      </c>
      <c r="L86" s="55" t="s">
        <v>6</v>
      </c>
      <c r="M86" s="55"/>
      <c r="N86" s="54"/>
    </row>
    <row r="87" spans="1:14" ht="14.25" customHeight="1">
      <c r="A87" s="49" t="s">
        <v>20</v>
      </c>
      <c r="B87" s="49" t="s">
        <v>93</v>
      </c>
      <c r="C87" s="49" t="s">
        <v>197</v>
      </c>
      <c r="D87" s="50">
        <v>1</v>
      </c>
      <c r="E87" s="50">
        <v>1</v>
      </c>
      <c r="F87" s="50">
        <v>0</v>
      </c>
      <c r="G87" s="50">
        <v>1</v>
      </c>
      <c r="H87" s="50">
        <v>1</v>
      </c>
      <c r="I87" s="50" t="s">
        <v>671</v>
      </c>
      <c r="J87" s="50" t="s">
        <v>671</v>
      </c>
      <c r="K87" s="50">
        <v>81</v>
      </c>
      <c r="L87" s="50" t="s">
        <v>6</v>
      </c>
      <c r="M87" s="50"/>
      <c r="N87" s="49"/>
    </row>
    <row r="88" spans="1:14" ht="14.25" customHeight="1">
      <c r="A88" s="54" t="s">
        <v>20</v>
      </c>
      <c r="B88" s="54" t="s">
        <v>93</v>
      </c>
      <c r="C88" s="54" t="s">
        <v>195</v>
      </c>
      <c r="D88" s="55">
        <v>1</v>
      </c>
      <c r="E88" s="55">
        <v>1</v>
      </c>
      <c r="F88" s="55">
        <v>0</v>
      </c>
      <c r="G88" s="55">
        <v>1</v>
      </c>
      <c r="H88" s="55">
        <v>1</v>
      </c>
      <c r="I88" s="55" t="s">
        <v>671</v>
      </c>
      <c r="J88" s="55" t="s">
        <v>671</v>
      </c>
      <c r="K88" s="55">
        <v>81</v>
      </c>
      <c r="L88" s="55" t="s">
        <v>6</v>
      </c>
      <c r="M88" s="55"/>
      <c r="N88" s="54"/>
    </row>
    <row r="89" spans="1:14" ht="14.25" customHeight="1">
      <c r="A89" s="49" t="s">
        <v>20</v>
      </c>
      <c r="B89" s="49" t="s">
        <v>93</v>
      </c>
      <c r="C89" s="49" t="s">
        <v>120</v>
      </c>
      <c r="D89" s="50">
        <v>1</v>
      </c>
      <c r="E89" s="50">
        <v>1</v>
      </c>
      <c r="F89" s="50">
        <v>0</v>
      </c>
      <c r="G89" s="50">
        <v>1</v>
      </c>
      <c r="H89" s="50">
        <v>1</v>
      </c>
      <c r="I89" s="50" t="s">
        <v>671</v>
      </c>
      <c r="J89" s="50" t="s">
        <v>671</v>
      </c>
      <c r="K89" s="50">
        <v>81</v>
      </c>
      <c r="L89" s="50" t="s">
        <v>6</v>
      </c>
      <c r="M89" s="50"/>
      <c r="N89" s="49"/>
    </row>
    <row r="90" spans="1:14" ht="14.25" customHeight="1">
      <c r="A90" s="54" t="s">
        <v>20</v>
      </c>
      <c r="B90" s="54" t="s">
        <v>93</v>
      </c>
      <c r="C90" s="54" t="s">
        <v>128</v>
      </c>
      <c r="D90" s="55">
        <v>1</v>
      </c>
      <c r="E90" s="55">
        <v>1</v>
      </c>
      <c r="F90" s="55">
        <v>0</v>
      </c>
      <c r="G90" s="55">
        <v>1</v>
      </c>
      <c r="H90" s="55">
        <v>1</v>
      </c>
      <c r="I90" s="55" t="s">
        <v>671</v>
      </c>
      <c r="J90" s="55" t="s">
        <v>671</v>
      </c>
      <c r="K90" s="55">
        <v>81</v>
      </c>
      <c r="L90" s="55" t="s">
        <v>6</v>
      </c>
      <c r="M90" s="55"/>
      <c r="N90" s="54"/>
    </row>
    <row r="91" spans="1:14" ht="14.25" customHeight="1">
      <c r="A91" s="49" t="s">
        <v>20</v>
      </c>
      <c r="B91" s="49" t="s">
        <v>93</v>
      </c>
      <c r="C91" s="49" t="s">
        <v>129</v>
      </c>
      <c r="D91" s="50">
        <v>1</v>
      </c>
      <c r="E91" s="50">
        <v>1</v>
      </c>
      <c r="F91" s="50">
        <v>0</v>
      </c>
      <c r="G91" s="50">
        <v>1</v>
      </c>
      <c r="H91" s="50">
        <v>1</v>
      </c>
      <c r="I91" s="50" t="s">
        <v>671</v>
      </c>
      <c r="J91" s="50" t="s">
        <v>671</v>
      </c>
      <c r="K91" s="50">
        <v>81</v>
      </c>
      <c r="L91" s="50" t="s">
        <v>6</v>
      </c>
      <c r="M91" s="50"/>
      <c r="N91" s="49"/>
    </row>
    <row r="92" spans="1:14" ht="14.25" customHeight="1">
      <c r="A92" s="54" t="s">
        <v>20</v>
      </c>
      <c r="B92" s="54" t="s">
        <v>93</v>
      </c>
      <c r="C92" s="54" t="s">
        <v>204</v>
      </c>
      <c r="D92" s="55">
        <v>1</v>
      </c>
      <c r="E92" s="55">
        <v>1</v>
      </c>
      <c r="F92" s="55">
        <v>0</v>
      </c>
      <c r="G92" s="55">
        <v>1</v>
      </c>
      <c r="H92" s="55">
        <v>1</v>
      </c>
      <c r="I92" s="55" t="s">
        <v>647</v>
      </c>
      <c r="J92" s="55" t="s">
        <v>647</v>
      </c>
      <c r="K92" s="55">
        <v>82</v>
      </c>
      <c r="L92" s="55" t="s">
        <v>6</v>
      </c>
      <c r="M92" s="55"/>
      <c r="N92" s="54"/>
    </row>
    <row r="93" spans="1:14" ht="14.25" customHeight="1">
      <c r="A93" s="49" t="s">
        <v>20</v>
      </c>
      <c r="B93" s="49" t="s">
        <v>93</v>
      </c>
      <c r="C93" s="49" t="s">
        <v>131</v>
      </c>
      <c r="D93" s="50">
        <v>1</v>
      </c>
      <c r="E93" s="50">
        <v>1</v>
      </c>
      <c r="F93" s="50">
        <v>0</v>
      </c>
      <c r="G93" s="50">
        <v>1</v>
      </c>
      <c r="H93" s="50">
        <v>1</v>
      </c>
      <c r="I93" s="50" t="s">
        <v>647</v>
      </c>
      <c r="J93" s="50" t="s">
        <v>647</v>
      </c>
      <c r="K93" s="50">
        <v>82</v>
      </c>
      <c r="L93" s="50" t="s">
        <v>6</v>
      </c>
      <c r="M93" s="50"/>
      <c r="N93" s="49"/>
    </row>
    <row r="94" spans="1:14" ht="14.25" customHeight="1">
      <c r="A94" s="54" t="s">
        <v>20</v>
      </c>
      <c r="B94" s="54" t="s">
        <v>103</v>
      </c>
      <c r="C94" s="54" t="s">
        <v>153</v>
      </c>
      <c r="D94" s="55">
        <v>24</v>
      </c>
      <c r="E94" s="55">
        <v>24</v>
      </c>
      <c r="F94" s="55">
        <v>0</v>
      </c>
      <c r="G94" s="55">
        <v>4</v>
      </c>
      <c r="H94" s="55">
        <v>6</v>
      </c>
      <c r="I94" s="55" t="s">
        <v>647</v>
      </c>
      <c r="J94" s="55" t="s">
        <v>672</v>
      </c>
      <c r="K94" s="55">
        <v>82</v>
      </c>
      <c r="L94" s="55" t="s">
        <v>6</v>
      </c>
      <c r="M94" s="55"/>
      <c r="N94" s="54"/>
    </row>
    <row r="95" spans="1:14" ht="14.25" customHeight="1">
      <c r="A95" s="49" t="s">
        <v>20</v>
      </c>
      <c r="B95" s="49" t="s">
        <v>103</v>
      </c>
      <c r="C95" s="49" t="s">
        <v>77</v>
      </c>
      <c r="D95" s="50">
        <v>19</v>
      </c>
      <c r="E95" s="50">
        <v>0</v>
      </c>
      <c r="F95" s="50">
        <v>19</v>
      </c>
      <c r="G95" s="50">
        <v>3</v>
      </c>
      <c r="H95" s="50">
        <v>6.33</v>
      </c>
      <c r="I95" s="50" t="s">
        <v>600</v>
      </c>
      <c r="J95" s="50" t="s">
        <v>673</v>
      </c>
      <c r="K95" s="50">
        <v>86</v>
      </c>
      <c r="L95" s="50" t="s">
        <v>6</v>
      </c>
      <c r="M95" s="50"/>
      <c r="N95" s="49"/>
    </row>
    <row r="96" spans="1:14" ht="14.25" customHeight="1">
      <c r="A96" s="54" t="s">
        <v>20</v>
      </c>
      <c r="B96" s="54" t="s">
        <v>103</v>
      </c>
      <c r="C96" s="56" t="s">
        <v>104</v>
      </c>
      <c r="D96" s="55">
        <v>8</v>
      </c>
      <c r="E96" s="55">
        <v>8</v>
      </c>
      <c r="F96" s="55">
        <v>0</v>
      </c>
      <c r="G96" s="55">
        <v>1</v>
      </c>
      <c r="H96" s="55">
        <v>8</v>
      </c>
      <c r="I96" s="55" t="s">
        <v>674</v>
      </c>
      <c r="J96" s="55" t="s">
        <v>674</v>
      </c>
      <c r="K96" s="55">
        <v>89</v>
      </c>
      <c r="L96" s="55" t="s">
        <v>6</v>
      </c>
      <c r="M96" s="55"/>
      <c r="N96" s="54"/>
    </row>
    <row r="97" spans="1:14" ht="14.25" customHeight="1">
      <c r="A97" s="49" t="s">
        <v>20</v>
      </c>
      <c r="B97" s="49" t="s">
        <v>103</v>
      </c>
      <c r="C97" s="49" t="s">
        <v>288</v>
      </c>
      <c r="D97" s="50">
        <v>3</v>
      </c>
      <c r="E97" s="50">
        <v>3</v>
      </c>
      <c r="F97" s="50">
        <v>0</v>
      </c>
      <c r="G97" s="50">
        <v>1</v>
      </c>
      <c r="H97" s="50">
        <v>3</v>
      </c>
      <c r="I97" s="50" t="s">
        <v>675</v>
      </c>
      <c r="J97" s="50" t="s">
        <v>675</v>
      </c>
      <c r="K97" s="50">
        <v>90</v>
      </c>
      <c r="L97" s="50" t="s">
        <v>6</v>
      </c>
      <c r="M97" s="50"/>
      <c r="N97" s="49"/>
    </row>
    <row r="98" spans="1:14" ht="14.25" customHeight="1">
      <c r="A98" s="54" t="s">
        <v>20</v>
      </c>
      <c r="B98" s="54" t="s">
        <v>103</v>
      </c>
      <c r="C98" s="54" t="s">
        <v>336</v>
      </c>
      <c r="D98" s="55">
        <v>2</v>
      </c>
      <c r="E98" s="55">
        <v>2</v>
      </c>
      <c r="F98" s="55">
        <v>0</v>
      </c>
      <c r="G98" s="55">
        <v>1</v>
      </c>
      <c r="H98" s="55">
        <v>2</v>
      </c>
      <c r="I98" s="55" t="s">
        <v>601</v>
      </c>
      <c r="J98" s="55" t="s">
        <v>601</v>
      </c>
      <c r="K98" s="55">
        <v>91</v>
      </c>
      <c r="L98" s="55" t="s">
        <v>6</v>
      </c>
      <c r="M98" s="55"/>
      <c r="N98" s="54"/>
    </row>
    <row r="99" spans="1:14" ht="14.25" customHeight="1">
      <c r="A99" s="49" t="s">
        <v>20</v>
      </c>
      <c r="B99" s="49" t="s">
        <v>103</v>
      </c>
      <c r="C99" s="49" t="s">
        <v>337</v>
      </c>
      <c r="D99" s="50">
        <v>2</v>
      </c>
      <c r="E99" s="50">
        <v>2</v>
      </c>
      <c r="F99" s="50">
        <v>0</v>
      </c>
      <c r="G99" s="50">
        <v>1</v>
      </c>
      <c r="H99" s="50">
        <v>2</v>
      </c>
      <c r="I99" s="50" t="s">
        <v>601</v>
      </c>
      <c r="J99" s="50" t="s">
        <v>601</v>
      </c>
      <c r="K99" s="50">
        <v>91</v>
      </c>
      <c r="L99" s="50" t="s">
        <v>6</v>
      </c>
      <c r="M99" s="50"/>
      <c r="N99" s="49"/>
    </row>
    <row r="100" spans="1:14" ht="14.25" customHeight="1">
      <c r="A100" s="54" t="s">
        <v>20</v>
      </c>
      <c r="B100" s="54" t="s">
        <v>103</v>
      </c>
      <c r="C100" s="54" t="s">
        <v>106</v>
      </c>
      <c r="D100" s="55">
        <v>2</v>
      </c>
      <c r="E100" s="55">
        <v>2</v>
      </c>
      <c r="F100" s="55">
        <v>0</v>
      </c>
      <c r="G100" s="55">
        <v>1</v>
      </c>
      <c r="H100" s="55">
        <v>2</v>
      </c>
      <c r="I100" s="55" t="s">
        <v>601</v>
      </c>
      <c r="J100" s="55" t="s">
        <v>601</v>
      </c>
      <c r="K100" s="55">
        <v>91</v>
      </c>
      <c r="L100" s="55" t="s">
        <v>6</v>
      </c>
      <c r="M100" s="55"/>
      <c r="N100" s="54"/>
    </row>
    <row r="101" spans="1:14" ht="14.25" customHeight="1">
      <c r="A101" s="49" t="s">
        <v>20</v>
      </c>
      <c r="B101" s="49" t="s">
        <v>103</v>
      </c>
      <c r="C101" s="49" t="s">
        <v>338</v>
      </c>
      <c r="D101" s="50">
        <v>2</v>
      </c>
      <c r="E101" s="50">
        <v>2</v>
      </c>
      <c r="F101" s="50">
        <v>0</v>
      </c>
      <c r="G101" s="50">
        <v>1</v>
      </c>
      <c r="H101" s="50">
        <v>2</v>
      </c>
      <c r="I101" s="50" t="s">
        <v>602</v>
      </c>
      <c r="J101" s="50" t="s">
        <v>602</v>
      </c>
      <c r="K101" s="50">
        <v>92</v>
      </c>
      <c r="L101" s="50" t="s">
        <v>6</v>
      </c>
      <c r="M101" s="50"/>
      <c r="N101" s="49"/>
    </row>
    <row r="102" spans="1:14" ht="14.25" customHeight="1">
      <c r="A102" s="54" t="s">
        <v>20</v>
      </c>
      <c r="B102" s="54" t="s">
        <v>103</v>
      </c>
      <c r="C102" s="54" t="s">
        <v>339</v>
      </c>
      <c r="D102" s="55">
        <v>2</v>
      </c>
      <c r="E102" s="55">
        <v>2</v>
      </c>
      <c r="F102" s="55">
        <v>0</v>
      </c>
      <c r="G102" s="55">
        <v>1</v>
      </c>
      <c r="H102" s="55">
        <v>2</v>
      </c>
      <c r="I102" s="55" t="s">
        <v>602</v>
      </c>
      <c r="J102" s="55" t="s">
        <v>602</v>
      </c>
      <c r="K102" s="55">
        <v>92</v>
      </c>
      <c r="L102" s="55" t="s">
        <v>6</v>
      </c>
      <c r="M102" s="55"/>
      <c r="N102" s="54"/>
    </row>
    <row r="103" spans="1:14" ht="14.25" customHeight="1">
      <c r="A103" s="49" t="s">
        <v>20</v>
      </c>
      <c r="B103" s="49" t="s">
        <v>100</v>
      </c>
      <c r="C103" s="49" t="s">
        <v>155</v>
      </c>
      <c r="D103" s="50">
        <v>4</v>
      </c>
      <c r="E103" s="50">
        <v>4</v>
      </c>
      <c r="F103" s="50">
        <v>0</v>
      </c>
      <c r="G103" s="50">
        <v>1</v>
      </c>
      <c r="H103" s="50">
        <v>4</v>
      </c>
      <c r="I103" s="50" t="s">
        <v>602</v>
      </c>
      <c r="J103" s="50" t="s">
        <v>602</v>
      </c>
      <c r="K103" s="50">
        <v>92</v>
      </c>
      <c r="L103" s="50" t="s">
        <v>6</v>
      </c>
      <c r="M103" s="50"/>
      <c r="N103" s="49"/>
    </row>
    <row r="104" spans="1:14" ht="14.25" customHeight="1">
      <c r="A104" s="54" t="s">
        <v>20</v>
      </c>
      <c r="B104" s="54" t="s">
        <v>100</v>
      </c>
      <c r="C104" s="54" t="s">
        <v>137</v>
      </c>
      <c r="D104" s="55">
        <v>4</v>
      </c>
      <c r="E104" s="55">
        <v>4</v>
      </c>
      <c r="F104" s="55">
        <v>0</v>
      </c>
      <c r="G104" s="55">
        <v>1</v>
      </c>
      <c r="H104" s="55">
        <v>4</v>
      </c>
      <c r="I104" s="55" t="s">
        <v>676</v>
      </c>
      <c r="J104" s="55" t="s">
        <v>676</v>
      </c>
      <c r="K104" s="55">
        <v>93</v>
      </c>
      <c r="L104" s="55" t="s">
        <v>6</v>
      </c>
      <c r="M104" s="55"/>
      <c r="N104" s="54"/>
    </row>
    <row r="105" spans="1:14" ht="14.25" customHeight="1">
      <c r="A105" s="49" t="s">
        <v>20</v>
      </c>
      <c r="B105" s="49" t="s">
        <v>100</v>
      </c>
      <c r="C105" s="49" t="s">
        <v>165</v>
      </c>
      <c r="D105" s="50">
        <v>4</v>
      </c>
      <c r="E105" s="50">
        <v>4</v>
      </c>
      <c r="F105" s="50">
        <v>0</v>
      </c>
      <c r="G105" s="50">
        <v>1</v>
      </c>
      <c r="H105" s="50">
        <v>4</v>
      </c>
      <c r="I105" s="50" t="s">
        <v>603</v>
      </c>
      <c r="J105" s="50" t="s">
        <v>603</v>
      </c>
      <c r="K105" s="50">
        <v>94</v>
      </c>
      <c r="L105" s="50" t="s">
        <v>6</v>
      </c>
      <c r="M105" s="50"/>
      <c r="N105" s="49"/>
    </row>
    <row r="106" spans="1:14" ht="14.25" customHeight="1">
      <c r="A106" s="54" t="s">
        <v>20</v>
      </c>
      <c r="B106" s="54" t="s">
        <v>100</v>
      </c>
      <c r="C106" s="54" t="s">
        <v>159</v>
      </c>
      <c r="D106" s="55">
        <v>3</v>
      </c>
      <c r="E106" s="55">
        <v>3</v>
      </c>
      <c r="F106" s="55">
        <v>0</v>
      </c>
      <c r="G106" s="55">
        <v>1</v>
      </c>
      <c r="H106" s="55">
        <v>3</v>
      </c>
      <c r="I106" s="55" t="s">
        <v>603</v>
      </c>
      <c r="J106" s="55" t="s">
        <v>603</v>
      </c>
      <c r="K106" s="55">
        <v>94</v>
      </c>
      <c r="L106" s="55" t="s">
        <v>6</v>
      </c>
      <c r="M106" s="55"/>
      <c r="N106" s="54"/>
    </row>
    <row r="107" spans="1:14" ht="14.25" customHeight="1">
      <c r="A107" s="49" t="s">
        <v>20</v>
      </c>
      <c r="B107" s="49" t="s">
        <v>100</v>
      </c>
      <c r="C107" s="49" t="s">
        <v>162</v>
      </c>
      <c r="D107" s="50">
        <v>3</v>
      </c>
      <c r="E107" s="50">
        <v>3</v>
      </c>
      <c r="F107" s="50">
        <v>0</v>
      </c>
      <c r="G107" s="50">
        <v>1</v>
      </c>
      <c r="H107" s="50">
        <v>3</v>
      </c>
      <c r="I107" s="50" t="s">
        <v>604</v>
      </c>
      <c r="J107" s="50" t="s">
        <v>604</v>
      </c>
      <c r="K107" s="50">
        <v>95</v>
      </c>
      <c r="L107" s="50" t="s">
        <v>6</v>
      </c>
      <c r="M107" s="50"/>
      <c r="N107" s="49"/>
    </row>
    <row r="108" spans="1:14" ht="14.25" customHeight="1">
      <c r="A108" s="54" t="s">
        <v>20</v>
      </c>
      <c r="B108" s="54" t="s">
        <v>100</v>
      </c>
      <c r="C108" s="54" t="s">
        <v>113</v>
      </c>
      <c r="D108" s="55">
        <v>3</v>
      </c>
      <c r="E108" s="55">
        <v>3</v>
      </c>
      <c r="F108" s="55">
        <v>0</v>
      </c>
      <c r="G108" s="55">
        <v>1</v>
      </c>
      <c r="H108" s="55">
        <v>3</v>
      </c>
      <c r="I108" s="55" t="s">
        <v>604</v>
      </c>
      <c r="J108" s="55" t="s">
        <v>604</v>
      </c>
      <c r="K108" s="55">
        <v>95</v>
      </c>
      <c r="L108" s="55" t="s">
        <v>6</v>
      </c>
      <c r="M108" s="55"/>
      <c r="N108" s="54"/>
    </row>
    <row r="109" spans="1:14" ht="14.25" customHeight="1">
      <c r="A109" s="49" t="s">
        <v>20</v>
      </c>
      <c r="B109" s="49" t="s">
        <v>100</v>
      </c>
      <c r="C109" s="49" t="s">
        <v>276</v>
      </c>
      <c r="D109" s="50">
        <v>2</v>
      </c>
      <c r="E109" s="50">
        <v>2</v>
      </c>
      <c r="F109" s="50">
        <v>0</v>
      </c>
      <c r="G109" s="50">
        <v>1</v>
      </c>
      <c r="H109" s="50">
        <v>2</v>
      </c>
      <c r="I109" s="50" t="s">
        <v>605</v>
      </c>
      <c r="J109" s="50" t="s">
        <v>605</v>
      </c>
      <c r="K109" s="50">
        <v>96</v>
      </c>
      <c r="L109" s="50" t="s">
        <v>6</v>
      </c>
      <c r="M109" s="50"/>
      <c r="N109" s="49"/>
    </row>
    <row r="110" spans="1:14" ht="14.25" customHeight="1">
      <c r="A110" s="54" t="s">
        <v>20</v>
      </c>
      <c r="B110" s="54" t="s">
        <v>100</v>
      </c>
      <c r="C110" s="54" t="s">
        <v>101</v>
      </c>
      <c r="D110" s="55">
        <v>2</v>
      </c>
      <c r="E110" s="55">
        <v>2</v>
      </c>
      <c r="F110" s="55">
        <v>0</v>
      </c>
      <c r="G110" s="55">
        <v>1</v>
      </c>
      <c r="H110" s="55">
        <v>2</v>
      </c>
      <c r="I110" s="55" t="s">
        <v>605</v>
      </c>
      <c r="J110" s="55" t="s">
        <v>605</v>
      </c>
      <c r="K110" s="55">
        <v>96</v>
      </c>
      <c r="L110" s="55" t="s">
        <v>6</v>
      </c>
      <c r="M110" s="55"/>
      <c r="N110" s="54"/>
    </row>
    <row r="111" spans="1:14" ht="14.25" customHeight="1">
      <c r="A111" s="49" t="s">
        <v>20</v>
      </c>
      <c r="B111" s="49" t="s">
        <v>100</v>
      </c>
      <c r="C111" s="49" t="s">
        <v>132</v>
      </c>
      <c r="D111" s="50">
        <v>2</v>
      </c>
      <c r="E111" s="50">
        <v>2</v>
      </c>
      <c r="F111" s="50">
        <v>0</v>
      </c>
      <c r="G111" s="50">
        <v>1</v>
      </c>
      <c r="H111" s="50">
        <v>2</v>
      </c>
      <c r="I111" s="50" t="s">
        <v>605</v>
      </c>
      <c r="J111" s="50" t="s">
        <v>605</v>
      </c>
      <c r="K111" s="50">
        <v>96</v>
      </c>
      <c r="L111" s="50" t="s">
        <v>6</v>
      </c>
      <c r="M111" s="50"/>
      <c r="N111" s="49"/>
    </row>
    <row r="112" spans="1:14" ht="14.25" customHeight="1">
      <c r="A112" s="54" t="s">
        <v>20</v>
      </c>
      <c r="B112" s="54" t="s">
        <v>100</v>
      </c>
      <c r="C112" s="54" t="s">
        <v>133</v>
      </c>
      <c r="D112" s="55">
        <v>2</v>
      </c>
      <c r="E112" s="55">
        <v>2</v>
      </c>
      <c r="F112" s="55">
        <v>0</v>
      </c>
      <c r="G112" s="55">
        <v>1</v>
      </c>
      <c r="H112" s="55">
        <v>2</v>
      </c>
      <c r="I112" s="55" t="s">
        <v>606</v>
      </c>
      <c r="J112" s="55" t="s">
        <v>606</v>
      </c>
      <c r="K112" s="55">
        <v>97</v>
      </c>
      <c r="L112" s="55" t="s">
        <v>6</v>
      </c>
      <c r="M112" s="55"/>
      <c r="N112" s="54"/>
    </row>
    <row r="113" spans="1:14" ht="14.25" customHeight="1">
      <c r="A113" s="49" t="s">
        <v>20</v>
      </c>
      <c r="B113" s="49" t="s">
        <v>100</v>
      </c>
      <c r="C113" s="49" t="s">
        <v>110</v>
      </c>
      <c r="D113" s="50">
        <v>2</v>
      </c>
      <c r="E113" s="50">
        <v>2</v>
      </c>
      <c r="F113" s="50">
        <v>0</v>
      </c>
      <c r="G113" s="50">
        <v>1</v>
      </c>
      <c r="H113" s="50">
        <v>2</v>
      </c>
      <c r="I113" s="50" t="s">
        <v>606</v>
      </c>
      <c r="J113" s="50" t="s">
        <v>606</v>
      </c>
      <c r="K113" s="50">
        <v>97</v>
      </c>
      <c r="L113" s="50" t="s">
        <v>6</v>
      </c>
      <c r="M113" s="50"/>
      <c r="N113" s="49"/>
    </row>
    <row r="114" spans="1:14" ht="14.25" customHeight="1">
      <c r="A114" s="54" t="s">
        <v>20</v>
      </c>
      <c r="B114" s="54" t="s">
        <v>100</v>
      </c>
      <c r="C114" s="54" t="s">
        <v>112</v>
      </c>
      <c r="D114" s="55">
        <v>2</v>
      </c>
      <c r="E114" s="55">
        <v>2</v>
      </c>
      <c r="F114" s="55">
        <v>0</v>
      </c>
      <c r="G114" s="55">
        <v>1</v>
      </c>
      <c r="H114" s="55">
        <v>2</v>
      </c>
      <c r="I114" s="55" t="s">
        <v>606</v>
      </c>
      <c r="J114" s="55" t="s">
        <v>606</v>
      </c>
      <c r="K114" s="55">
        <v>97</v>
      </c>
      <c r="L114" s="55" t="s">
        <v>6</v>
      </c>
      <c r="M114" s="55"/>
      <c r="N114" s="54"/>
    </row>
    <row r="115" spans="1:14" ht="14.25" customHeight="1">
      <c r="A115" s="49" t="s">
        <v>20</v>
      </c>
      <c r="B115" s="49" t="s">
        <v>100</v>
      </c>
      <c r="C115" s="49" t="s">
        <v>115</v>
      </c>
      <c r="D115" s="50">
        <v>2</v>
      </c>
      <c r="E115" s="50">
        <v>2</v>
      </c>
      <c r="F115" s="50">
        <v>0</v>
      </c>
      <c r="G115" s="50">
        <v>1</v>
      </c>
      <c r="H115" s="50">
        <v>2</v>
      </c>
      <c r="I115" s="50" t="s">
        <v>607</v>
      </c>
      <c r="J115" s="50" t="s">
        <v>607</v>
      </c>
      <c r="K115" s="50">
        <v>98</v>
      </c>
      <c r="L115" s="50" t="s">
        <v>6</v>
      </c>
      <c r="M115" s="50"/>
      <c r="N115" s="49"/>
    </row>
    <row r="116" spans="1:14" ht="14.25" customHeight="1">
      <c r="A116" s="54" t="s">
        <v>20</v>
      </c>
      <c r="B116" s="54" t="s">
        <v>96</v>
      </c>
      <c r="C116" s="54" t="s">
        <v>107</v>
      </c>
      <c r="D116" s="55">
        <v>5</v>
      </c>
      <c r="E116" s="55">
        <v>5</v>
      </c>
      <c r="F116" s="55">
        <v>0</v>
      </c>
      <c r="G116" s="55">
        <v>1</v>
      </c>
      <c r="H116" s="55">
        <v>5</v>
      </c>
      <c r="I116" s="55" t="s">
        <v>607</v>
      </c>
      <c r="J116" s="55" t="s">
        <v>607</v>
      </c>
      <c r="K116" s="55">
        <v>98</v>
      </c>
      <c r="L116" s="55" t="s">
        <v>6</v>
      </c>
      <c r="M116" s="55"/>
      <c r="N116" s="54"/>
    </row>
    <row r="117" spans="1:14" ht="14.25" customHeight="1">
      <c r="A117" s="49" t="s">
        <v>20</v>
      </c>
      <c r="B117" s="49" t="s">
        <v>96</v>
      </c>
      <c r="C117" s="49" t="s">
        <v>263</v>
      </c>
      <c r="D117" s="50">
        <v>4</v>
      </c>
      <c r="E117" s="50">
        <v>4</v>
      </c>
      <c r="F117" s="50">
        <v>0</v>
      </c>
      <c r="G117" s="50">
        <v>1</v>
      </c>
      <c r="H117" s="50">
        <v>4</v>
      </c>
      <c r="I117" s="50" t="s">
        <v>608</v>
      </c>
      <c r="J117" s="50" t="s">
        <v>608</v>
      </c>
      <c r="K117" s="50">
        <v>99</v>
      </c>
      <c r="L117" s="50" t="s">
        <v>6</v>
      </c>
      <c r="M117" s="50"/>
      <c r="N117" s="49"/>
    </row>
    <row r="118" spans="1:14" ht="14.25" customHeight="1">
      <c r="A118" s="54" t="s">
        <v>20</v>
      </c>
      <c r="B118" s="54" t="s">
        <v>96</v>
      </c>
      <c r="C118" s="54" t="s">
        <v>135</v>
      </c>
      <c r="D118" s="55">
        <v>3</v>
      </c>
      <c r="E118" s="55">
        <v>3</v>
      </c>
      <c r="F118" s="55">
        <v>0</v>
      </c>
      <c r="G118" s="55">
        <v>1</v>
      </c>
      <c r="H118" s="55">
        <v>3</v>
      </c>
      <c r="I118" s="55" t="s">
        <v>609</v>
      </c>
      <c r="J118" s="55" t="s">
        <v>609</v>
      </c>
      <c r="K118" s="55">
        <v>100</v>
      </c>
      <c r="L118" s="55" t="s">
        <v>6</v>
      </c>
      <c r="M118" s="55"/>
      <c r="N118" s="54"/>
    </row>
    <row r="119" spans="1:14" ht="14.25" customHeight="1">
      <c r="A119" s="49" t="s">
        <v>20</v>
      </c>
      <c r="B119" s="49" t="s">
        <v>96</v>
      </c>
      <c r="C119" s="49" t="s">
        <v>136</v>
      </c>
      <c r="D119" s="50">
        <v>3</v>
      </c>
      <c r="E119" s="50">
        <v>3</v>
      </c>
      <c r="F119" s="50">
        <v>0</v>
      </c>
      <c r="G119" s="50">
        <v>1</v>
      </c>
      <c r="H119" s="50">
        <v>3</v>
      </c>
      <c r="I119" s="50" t="s">
        <v>609</v>
      </c>
      <c r="J119" s="50" t="s">
        <v>609</v>
      </c>
      <c r="K119" s="50">
        <v>100</v>
      </c>
      <c r="L119" s="50" t="s">
        <v>6</v>
      </c>
      <c r="M119" s="50"/>
      <c r="N119" s="49"/>
    </row>
    <row r="120" spans="1:14" ht="14.25" customHeight="1">
      <c r="A120" s="54" t="s">
        <v>20</v>
      </c>
      <c r="B120" s="54" t="s">
        <v>96</v>
      </c>
      <c r="C120" s="54" t="s">
        <v>275</v>
      </c>
      <c r="D120" s="55">
        <v>3</v>
      </c>
      <c r="E120" s="55">
        <v>3</v>
      </c>
      <c r="F120" s="55">
        <v>0</v>
      </c>
      <c r="G120" s="55">
        <v>1</v>
      </c>
      <c r="H120" s="55">
        <v>3</v>
      </c>
      <c r="I120" s="55" t="s">
        <v>610</v>
      </c>
      <c r="J120" s="55" t="s">
        <v>610</v>
      </c>
      <c r="K120" s="55">
        <v>101</v>
      </c>
      <c r="L120" s="55" t="s">
        <v>6</v>
      </c>
      <c r="M120" s="55"/>
      <c r="N120" s="54"/>
    </row>
    <row r="121" spans="1:14" ht="14.25" customHeight="1">
      <c r="A121" s="49" t="s">
        <v>20</v>
      </c>
      <c r="B121" s="49" t="s">
        <v>96</v>
      </c>
      <c r="C121" s="49" t="s">
        <v>97</v>
      </c>
      <c r="D121" s="50">
        <v>2</v>
      </c>
      <c r="E121" s="50">
        <v>2</v>
      </c>
      <c r="F121" s="50">
        <v>0</v>
      </c>
      <c r="G121" s="50">
        <v>1</v>
      </c>
      <c r="H121" s="50">
        <v>2</v>
      </c>
      <c r="I121" s="50" t="s">
        <v>610</v>
      </c>
      <c r="J121" s="50" t="s">
        <v>610</v>
      </c>
      <c r="K121" s="50">
        <v>101</v>
      </c>
      <c r="L121" s="50" t="s">
        <v>6</v>
      </c>
      <c r="M121" s="50"/>
      <c r="N121" s="49"/>
    </row>
    <row r="122" spans="1:14" ht="14.25" customHeight="1">
      <c r="A122" s="54" t="s">
        <v>20</v>
      </c>
      <c r="B122" s="54" t="s">
        <v>96</v>
      </c>
      <c r="C122" s="54" t="s">
        <v>150</v>
      </c>
      <c r="D122" s="55">
        <v>2</v>
      </c>
      <c r="E122" s="55">
        <v>2</v>
      </c>
      <c r="F122" s="55">
        <v>0</v>
      </c>
      <c r="G122" s="55">
        <v>1</v>
      </c>
      <c r="H122" s="55">
        <v>2</v>
      </c>
      <c r="I122" s="55" t="s">
        <v>610</v>
      </c>
      <c r="J122" s="55" t="s">
        <v>610</v>
      </c>
      <c r="K122" s="55">
        <v>101</v>
      </c>
      <c r="L122" s="55" t="s">
        <v>6</v>
      </c>
      <c r="M122" s="55"/>
      <c r="N122" s="54"/>
    </row>
    <row r="123" spans="1:14" ht="14.25" customHeight="1">
      <c r="A123" s="49" t="s">
        <v>20</v>
      </c>
      <c r="B123" s="49" t="s">
        <v>96</v>
      </c>
      <c r="C123" s="49" t="s">
        <v>151</v>
      </c>
      <c r="D123" s="50">
        <v>2</v>
      </c>
      <c r="E123" s="50">
        <v>2</v>
      </c>
      <c r="F123" s="50">
        <v>0</v>
      </c>
      <c r="G123" s="50">
        <v>1</v>
      </c>
      <c r="H123" s="50">
        <v>2</v>
      </c>
      <c r="I123" s="50" t="s">
        <v>611</v>
      </c>
      <c r="J123" s="50" t="s">
        <v>611</v>
      </c>
      <c r="K123" s="50">
        <v>102</v>
      </c>
      <c r="L123" s="50" t="s">
        <v>6</v>
      </c>
      <c r="M123" s="50"/>
      <c r="N123" s="49"/>
    </row>
    <row r="124" spans="1:14" ht="14.25" customHeight="1">
      <c r="A124" s="54" t="s">
        <v>20</v>
      </c>
      <c r="B124" s="54" t="s">
        <v>96</v>
      </c>
      <c r="C124" s="54" t="s">
        <v>108</v>
      </c>
      <c r="D124" s="55">
        <v>2</v>
      </c>
      <c r="E124" s="55">
        <v>2</v>
      </c>
      <c r="F124" s="55">
        <v>0</v>
      </c>
      <c r="G124" s="55">
        <v>1</v>
      </c>
      <c r="H124" s="55">
        <v>2</v>
      </c>
      <c r="I124" s="55" t="s">
        <v>611</v>
      </c>
      <c r="J124" s="55" t="s">
        <v>611</v>
      </c>
      <c r="K124" s="55">
        <v>102</v>
      </c>
      <c r="L124" s="55" t="s">
        <v>6</v>
      </c>
      <c r="M124" s="55"/>
      <c r="N124" s="54"/>
    </row>
    <row r="125" spans="1:14" ht="14.25" customHeight="1">
      <c r="A125" s="49" t="s">
        <v>20</v>
      </c>
      <c r="B125" s="53" t="s">
        <v>355</v>
      </c>
      <c r="C125" s="49" t="s">
        <v>77</v>
      </c>
      <c r="D125" s="50">
        <v>11</v>
      </c>
      <c r="E125" s="50">
        <v>0</v>
      </c>
      <c r="F125" s="50">
        <v>11</v>
      </c>
      <c r="G125" s="50">
        <v>2</v>
      </c>
      <c r="H125" s="50">
        <v>5.5</v>
      </c>
      <c r="I125" s="50" t="s">
        <v>611</v>
      </c>
      <c r="J125" s="50" t="s">
        <v>612</v>
      </c>
      <c r="K125" s="50">
        <v>102</v>
      </c>
      <c r="L125" s="50" t="s">
        <v>6</v>
      </c>
      <c r="M125" s="50"/>
      <c r="N125" s="49"/>
    </row>
    <row r="126" spans="1:14" ht="14.25" customHeight="1">
      <c r="A126" s="54" t="s">
        <v>20</v>
      </c>
      <c r="B126" s="56" t="s">
        <v>355</v>
      </c>
      <c r="C126" s="56" t="s">
        <v>382</v>
      </c>
      <c r="D126" s="55">
        <v>2</v>
      </c>
      <c r="E126" s="55">
        <v>2</v>
      </c>
      <c r="F126" s="55">
        <v>0</v>
      </c>
      <c r="G126" s="55">
        <v>1</v>
      </c>
      <c r="H126" s="55">
        <v>2</v>
      </c>
      <c r="I126" s="55" t="s">
        <v>613</v>
      </c>
      <c r="J126" s="55" t="s">
        <v>613</v>
      </c>
      <c r="K126" s="55">
        <v>104</v>
      </c>
      <c r="L126" s="55" t="s">
        <v>6</v>
      </c>
      <c r="M126" s="55"/>
      <c r="N126" s="54"/>
    </row>
    <row r="127" spans="1:14" ht="14.25" customHeight="1">
      <c r="A127" s="49" t="s">
        <v>20</v>
      </c>
      <c r="B127" s="53" t="s">
        <v>355</v>
      </c>
      <c r="C127" s="53" t="s">
        <v>383</v>
      </c>
      <c r="D127" s="50">
        <v>2</v>
      </c>
      <c r="E127" s="50">
        <v>2</v>
      </c>
      <c r="F127" s="50">
        <v>0</v>
      </c>
      <c r="G127" s="50">
        <v>1</v>
      </c>
      <c r="H127" s="50">
        <v>2</v>
      </c>
      <c r="I127" s="50" t="s">
        <v>614</v>
      </c>
      <c r="J127" s="50" t="s">
        <v>614</v>
      </c>
      <c r="K127" s="50">
        <v>105</v>
      </c>
      <c r="L127" s="50" t="s">
        <v>6</v>
      </c>
      <c r="M127" s="50"/>
      <c r="N127" s="49"/>
    </row>
    <row r="128" spans="1:14" ht="14.25" customHeight="1">
      <c r="A128" s="54" t="s">
        <v>20</v>
      </c>
      <c r="B128" s="56" t="s">
        <v>355</v>
      </c>
      <c r="C128" s="54" t="s">
        <v>356</v>
      </c>
      <c r="D128" s="55">
        <v>1</v>
      </c>
      <c r="E128" s="55">
        <v>1</v>
      </c>
      <c r="F128" s="55">
        <v>0</v>
      </c>
      <c r="G128" s="55">
        <v>1</v>
      </c>
      <c r="H128" s="55">
        <v>1</v>
      </c>
      <c r="I128" s="55" t="s">
        <v>614</v>
      </c>
      <c r="J128" s="55" t="s">
        <v>614</v>
      </c>
      <c r="K128" s="55">
        <v>105</v>
      </c>
      <c r="L128" s="55" t="s">
        <v>6</v>
      </c>
      <c r="M128" s="55"/>
      <c r="N128" s="54"/>
    </row>
    <row r="129" spans="1:14" ht="14.25" customHeight="1">
      <c r="A129" s="49" t="s">
        <v>20</v>
      </c>
      <c r="B129" s="53" t="s">
        <v>355</v>
      </c>
      <c r="C129" s="49" t="s">
        <v>381</v>
      </c>
      <c r="D129" s="50">
        <v>1</v>
      </c>
      <c r="E129" s="50">
        <v>1</v>
      </c>
      <c r="F129" s="50">
        <v>0</v>
      </c>
      <c r="G129" s="50">
        <v>1</v>
      </c>
      <c r="H129" s="50">
        <v>1</v>
      </c>
      <c r="I129" s="50" t="s">
        <v>614</v>
      </c>
      <c r="J129" s="50" t="s">
        <v>614</v>
      </c>
      <c r="K129" s="50">
        <v>105</v>
      </c>
      <c r="L129" s="50" t="s">
        <v>6</v>
      </c>
      <c r="M129" s="50"/>
      <c r="N129" s="49"/>
    </row>
    <row r="130" spans="1:14" ht="14.25" customHeight="1">
      <c r="A130" s="54" t="s">
        <v>20</v>
      </c>
      <c r="B130" s="56" t="s">
        <v>355</v>
      </c>
      <c r="C130" s="56" t="s">
        <v>384</v>
      </c>
      <c r="D130" s="55">
        <v>1</v>
      </c>
      <c r="E130" s="55">
        <v>1</v>
      </c>
      <c r="F130" s="55">
        <v>0</v>
      </c>
      <c r="G130" s="55">
        <v>1</v>
      </c>
      <c r="H130" s="55">
        <v>1</v>
      </c>
      <c r="I130" s="55" t="s">
        <v>614</v>
      </c>
      <c r="J130" s="55" t="s">
        <v>614</v>
      </c>
      <c r="K130" s="55">
        <v>105</v>
      </c>
      <c r="L130" s="55" t="s">
        <v>6</v>
      </c>
      <c r="M130" s="55"/>
      <c r="N130" s="54"/>
    </row>
    <row r="131" spans="1:14" ht="14.25" customHeight="1">
      <c r="A131" s="49" t="s">
        <v>20</v>
      </c>
      <c r="B131" s="53" t="s">
        <v>352</v>
      </c>
      <c r="C131" s="49" t="s">
        <v>377</v>
      </c>
      <c r="D131" s="50">
        <v>10</v>
      </c>
      <c r="E131" s="50">
        <v>10</v>
      </c>
      <c r="F131" s="50">
        <v>0</v>
      </c>
      <c r="G131" s="50">
        <v>2</v>
      </c>
      <c r="H131" s="50">
        <v>5</v>
      </c>
      <c r="I131" s="50" t="s">
        <v>614</v>
      </c>
      <c r="J131" s="50" t="s">
        <v>615</v>
      </c>
      <c r="K131" s="50">
        <v>105</v>
      </c>
      <c r="L131" s="50" t="s">
        <v>6</v>
      </c>
      <c r="M131" s="50"/>
      <c r="N131" s="49"/>
    </row>
    <row r="132" spans="1:14" ht="14.25" customHeight="1">
      <c r="A132" s="54" t="s">
        <v>20</v>
      </c>
      <c r="B132" s="56" t="s">
        <v>352</v>
      </c>
      <c r="C132" s="54" t="s">
        <v>77</v>
      </c>
      <c r="D132" s="55">
        <v>4</v>
      </c>
      <c r="E132" s="55">
        <v>0</v>
      </c>
      <c r="F132" s="55">
        <v>4</v>
      </c>
      <c r="G132" s="55">
        <v>1</v>
      </c>
      <c r="H132" s="55">
        <v>4</v>
      </c>
      <c r="I132" s="55" t="s">
        <v>616</v>
      </c>
      <c r="J132" s="55" t="s">
        <v>616</v>
      </c>
      <c r="K132" s="55">
        <v>107</v>
      </c>
      <c r="L132" s="55" t="s">
        <v>6</v>
      </c>
      <c r="M132" s="55"/>
      <c r="N132" s="54"/>
    </row>
    <row r="133" spans="1:14" ht="14.25" customHeight="1">
      <c r="A133" s="49" t="s">
        <v>20</v>
      </c>
      <c r="B133" s="53" t="s">
        <v>346</v>
      </c>
      <c r="C133" s="49" t="s">
        <v>77</v>
      </c>
      <c r="D133" s="50">
        <v>9</v>
      </c>
      <c r="E133" s="50">
        <v>0</v>
      </c>
      <c r="F133" s="50">
        <v>9</v>
      </c>
      <c r="G133" s="50">
        <v>1</v>
      </c>
      <c r="H133" s="50">
        <v>9</v>
      </c>
      <c r="I133" s="50" t="s">
        <v>617</v>
      </c>
      <c r="J133" s="50" t="s">
        <v>617</v>
      </c>
      <c r="K133" s="50">
        <v>108</v>
      </c>
      <c r="L133" s="50" t="s">
        <v>6</v>
      </c>
      <c r="M133" s="50"/>
      <c r="N133" s="49"/>
    </row>
    <row r="134" spans="1:14" ht="14.25" customHeight="1">
      <c r="A134" s="54" t="s">
        <v>20</v>
      </c>
      <c r="B134" s="56" t="s">
        <v>346</v>
      </c>
      <c r="C134" s="56" t="s">
        <v>345</v>
      </c>
      <c r="D134" s="55">
        <v>4</v>
      </c>
      <c r="E134" s="55">
        <v>4</v>
      </c>
      <c r="F134" s="55">
        <v>0</v>
      </c>
      <c r="G134" s="55">
        <v>1</v>
      </c>
      <c r="H134" s="55">
        <v>4</v>
      </c>
      <c r="I134" s="55" t="s">
        <v>677</v>
      </c>
      <c r="J134" s="55" t="s">
        <v>677</v>
      </c>
      <c r="K134" s="55">
        <v>109</v>
      </c>
      <c r="L134" s="55" t="s">
        <v>6</v>
      </c>
      <c r="M134" s="55"/>
      <c r="N134" s="54"/>
    </row>
    <row r="135" spans="1:14" ht="14.25" customHeight="1">
      <c r="A135" s="49" t="s">
        <v>20</v>
      </c>
      <c r="B135" s="53" t="s">
        <v>347</v>
      </c>
      <c r="C135" s="49" t="s">
        <v>77</v>
      </c>
      <c r="D135" s="50">
        <v>9</v>
      </c>
      <c r="E135" s="50">
        <v>0</v>
      </c>
      <c r="F135" s="50">
        <v>9</v>
      </c>
      <c r="G135" s="50">
        <v>1</v>
      </c>
      <c r="H135" s="50">
        <v>9</v>
      </c>
      <c r="I135" s="50" t="s">
        <v>678</v>
      </c>
      <c r="J135" s="50" t="s">
        <v>678</v>
      </c>
      <c r="K135" s="50">
        <v>110</v>
      </c>
      <c r="L135" s="50" t="s">
        <v>6</v>
      </c>
      <c r="M135" s="50"/>
      <c r="N135" s="49"/>
    </row>
    <row r="136" spans="1:14" ht="14.25" customHeight="1">
      <c r="A136" s="54" t="s">
        <v>20</v>
      </c>
      <c r="B136" s="56" t="s">
        <v>347</v>
      </c>
      <c r="C136" s="54" t="s">
        <v>375</v>
      </c>
      <c r="D136" s="55">
        <v>3</v>
      </c>
      <c r="E136" s="55">
        <v>3</v>
      </c>
      <c r="F136" s="55">
        <v>0</v>
      </c>
      <c r="G136" s="55">
        <v>1</v>
      </c>
      <c r="H136" s="55">
        <v>3</v>
      </c>
      <c r="I136" s="55" t="s">
        <v>679</v>
      </c>
      <c r="J136" s="55" t="s">
        <v>679</v>
      </c>
      <c r="K136" s="55">
        <v>111</v>
      </c>
      <c r="L136" s="55" t="s">
        <v>6</v>
      </c>
      <c r="M136" s="55"/>
      <c r="N136" s="54"/>
    </row>
    <row r="137" spans="1:14" ht="14.25" customHeight="1">
      <c r="A137" s="49" t="s">
        <v>20</v>
      </c>
      <c r="B137" s="53" t="s">
        <v>351</v>
      </c>
      <c r="C137" s="49" t="s">
        <v>77</v>
      </c>
      <c r="D137" s="50">
        <v>10</v>
      </c>
      <c r="E137" s="50">
        <v>0</v>
      </c>
      <c r="F137" s="50">
        <v>10</v>
      </c>
      <c r="G137" s="50">
        <v>2</v>
      </c>
      <c r="H137" s="50">
        <v>5</v>
      </c>
      <c r="I137" s="50" t="s">
        <v>680</v>
      </c>
      <c r="J137" s="50" t="s">
        <v>681</v>
      </c>
      <c r="K137" s="50">
        <v>112</v>
      </c>
      <c r="L137" s="50" t="s">
        <v>6</v>
      </c>
      <c r="M137" s="50"/>
      <c r="N137" s="49"/>
    </row>
    <row r="138" spans="1:14" ht="14.25" customHeight="1">
      <c r="A138" s="54" t="s">
        <v>20</v>
      </c>
      <c r="B138" s="56" t="s">
        <v>344</v>
      </c>
      <c r="C138" s="54" t="s">
        <v>77</v>
      </c>
      <c r="D138" s="55">
        <v>6</v>
      </c>
      <c r="E138" s="55">
        <v>0</v>
      </c>
      <c r="F138" s="55">
        <v>6</v>
      </c>
      <c r="G138" s="55">
        <v>1</v>
      </c>
      <c r="H138" s="55">
        <v>6</v>
      </c>
      <c r="I138" s="55" t="s">
        <v>682</v>
      </c>
      <c r="J138" s="55" t="s">
        <v>682</v>
      </c>
      <c r="K138" s="55">
        <v>114</v>
      </c>
      <c r="L138" s="55" t="s">
        <v>6</v>
      </c>
      <c r="M138" s="55"/>
      <c r="N138" s="54"/>
    </row>
    <row r="139" spans="1:14" ht="14.25" customHeight="1">
      <c r="A139" s="49" t="s">
        <v>20</v>
      </c>
      <c r="B139" s="53" t="s">
        <v>344</v>
      </c>
      <c r="C139" s="53" t="s">
        <v>345</v>
      </c>
      <c r="D139" s="50">
        <v>4</v>
      </c>
      <c r="E139" s="50">
        <v>4</v>
      </c>
      <c r="F139" s="50">
        <v>0</v>
      </c>
      <c r="G139" s="50">
        <v>1</v>
      </c>
      <c r="H139" s="50">
        <v>4</v>
      </c>
      <c r="I139" s="50" t="s">
        <v>682</v>
      </c>
      <c r="J139" s="50" t="s">
        <v>682</v>
      </c>
      <c r="K139" s="50">
        <v>114</v>
      </c>
      <c r="L139" s="50" t="s">
        <v>6</v>
      </c>
      <c r="M139" s="50"/>
      <c r="N139" s="49"/>
    </row>
    <row r="140" spans="1:14" ht="14.25" customHeight="1">
      <c r="A140" s="54" t="s">
        <v>20</v>
      </c>
      <c r="B140" s="56" t="s">
        <v>349</v>
      </c>
      <c r="C140" s="54" t="s">
        <v>77</v>
      </c>
      <c r="D140" s="55">
        <v>3</v>
      </c>
      <c r="E140" s="55">
        <v>0</v>
      </c>
      <c r="F140" s="55">
        <v>3</v>
      </c>
      <c r="G140" s="55">
        <v>1</v>
      </c>
      <c r="H140" s="55">
        <v>3</v>
      </c>
      <c r="I140" s="55" t="s">
        <v>683</v>
      </c>
      <c r="J140" s="55" t="s">
        <v>683</v>
      </c>
      <c r="K140" s="55">
        <v>115</v>
      </c>
      <c r="L140" s="55" t="s">
        <v>6</v>
      </c>
      <c r="M140" s="55"/>
      <c r="N140" s="54"/>
    </row>
    <row r="141" spans="1:14" ht="14.25" customHeight="1">
      <c r="A141" s="49" t="s">
        <v>20</v>
      </c>
      <c r="B141" s="53" t="s">
        <v>349</v>
      </c>
      <c r="C141" s="53" t="s">
        <v>376</v>
      </c>
      <c r="D141" s="50">
        <v>3</v>
      </c>
      <c r="E141" s="50">
        <v>3</v>
      </c>
      <c r="F141" s="50">
        <v>0</v>
      </c>
      <c r="G141" s="50">
        <v>1</v>
      </c>
      <c r="H141" s="50">
        <v>3</v>
      </c>
      <c r="I141" s="50" t="s">
        <v>684</v>
      </c>
      <c r="J141" s="50" t="s">
        <v>684</v>
      </c>
      <c r="K141" s="50">
        <v>116</v>
      </c>
      <c r="L141" s="50" t="s">
        <v>6</v>
      </c>
      <c r="M141" s="50"/>
      <c r="N141" s="49"/>
    </row>
    <row r="142" spans="1:14" ht="14.25" customHeight="1">
      <c r="A142" s="54" t="s">
        <v>20</v>
      </c>
      <c r="B142" s="54" t="s">
        <v>371</v>
      </c>
      <c r="C142" s="54" t="s">
        <v>371</v>
      </c>
      <c r="D142" s="55">
        <v>2</v>
      </c>
      <c r="E142" s="55">
        <v>2</v>
      </c>
      <c r="F142" s="55">
        <v>0</v>
      </c>
      <c r="G142" s="55">
        <v>1</v>
      </c>
      <c r="H142" s="55">
        <v>2</v>
      </c>
      <c r="I142" s="55" t="s">
        <v>684</v>
      </c>
      <c r="J142" s="55" t="s">
        <v>684</v>
      </c>
      <c r="K142" s="55">
        <v>116</v>
      </c>
      <c r="L142" s="55" t="s">
        <v>6</v>
      </c>
      <c r="M142" s="55"/>
      <c r="N142" s="54"/>
    </row>
    <row r="143" spans="1:14" ht="14.25" customHeight="1">
      <c r="A143" s="49" t="s">
        <v>20</v>
      </c>
      <c r="B143" s="49" t="s">
        <v>370</v>
      </c>
      <c r="C143" s="49" t="s">
        <v>370</v>
      </c>
      <c r="D143" s="50">
        <v>2</v>
      </c>
      <c r="E143" s="50">
        <v>2</v>
      </c>
      <c r="F143" s="50">
        <v>0</v>
      </c>
      <c r="G143" s="50">
        <v>1</v>
      </c>
      <c r="H143" s="50">
        <v>2</v>
      </c>
      <c r="I143" s="50" t="s">
        <v>684</v>
      </c>
      <c r="J143" s="50" t="s">
        <v>684</v>
      </c>
      <c r="K143" s="50">
        <v>116</v>
      </c>
      <c r="L143" s="50" t="s">
        <v>6</v>
      </c>
      <c r="M143" s="50"/>
      <c r="N143" s="49"/>
    </row>
    <row r="144" spans="1:14" ht="14.25" customHeight="1">
      <c r="A144" s="54" t="s">
        <v>20</v>
      </c>
      <c r="B144" s="54" t="s">
        <v>369</v>
      </c>
      <c r="C144" s="54" t="s">
        <v>369</v>
      </c>
      <c r="D144" s="55">
        <v>2</v>
      </c>
      <c r="E144" s="55">
        <v>2</v>
      </c>
      <c r="F144" s="55">
        <v>0</v>
      </c>
      <c r="G144" s="55">
        <v>1</v>
      </c>
      <c r="H144" s="55">
        <v>2</v>
      </c>
      <c r="I144" s="55" t="s">
        <v>578</v>
      </c>
      <c r="J144" s="55" t="s">
        <v>578</v>
      </c>
      <c r="K144" s="55">
        <v>117</v>
      </c>
      <c r="L144" s="55" t="s">
        <v>6</v>
      </c>
      <c r="M144" s="55"/>
      <c r="N144" s="54"/>
    </row>
    <row r="145" spans="1:14" ht="14.25" customHeight="1">
      <c r="A145" s="49" t="s">
        <v>20</v>
      </c>
      <c r="B145" s="49" t="s">
        <v>372</v>
      </c>
      <c r="C145" s="53" t="s">
        <v>373</v>
      </c>
      <c r="D145" s="50">
        <v>1</v>
      </c>
      <c r="E145" s="50">
        <v>1</v>
      </c>
      <c r="F145" s="50">
        <v>0</v>
      </c>
      <c r="G145" s="50">
        <v>1</v>
      </c>
      <c r="H145" s="50">
        <v>1</v>
      </c>
      <c r="I145" s="50" t="s">
        <v>578</v>
      </c>
      <c r="J145" s="50" t="s">
        <v>578</v>
      </c>
      <c r="K145" s="50">
        <v>117</v>
      </c>
      <c r="L145" s="50" t="s">
        <v>6</v>
      </c>
      <c r="M145" s="50"/>
      <c r="N145" s="49"/>
    </row>
    <row r="146" spans="1:14" ht="14.25" customHeight="1">
      <c r="A146" s="54" t="s">
        <v>20</v>
      </c>
      <c r="B146" s="56" t="s">
        <v>378</v>
      </c>
      <c r="C146" s="56" t="s">
        <v>379</v>
      </c>
      <c r="D146" s="55">
        <v>1</v>
      </c>
      <c r="E146" s="55">
        <v>1</v>
      </c>
      <c r="F146" s="55">
        <v>0</v>
      </c>
      <c r="G146" s="55">
        <v>1</v>
      </c>
      <c r="H146" s="55">
        <v>1</v>
      </c>
      <c r="I146" s="55" t="s">
        <v>578</v>
      </c>
      <c r="J146" s="55" t="s">
        <v>578</v>
      </c>
      <c r="K146" s="55">
        <v>117</v>
      </c>
      <c r="L146" s="55" t="s">
        <v>6</v>
      </c>
      <c r="M146" s="55"/>
      <c r="N146" s="54"/>
    </row>
    <row r="147" spans="1:14" ht="14.25" customHeight="1">
      <c r="A147" s="49" t="s">
        <v>20</v>
      </c>
      <c r="B147" s="53" t="s">
        <v>380</v>
      </c>
      <c r="C147" s="49" t="s">
        <v>375</v>
      </c>
      <c r="D147" s="50">
        <v>1</v>
      </c>
      <c r="E147" s="50">
        <v>1</v>
      </c>
      <c r="F147" s="50">
        <v>0</v>
      </c>
      <c r="G147" s="50">
        <v>1</v>
      </c>
      <c r="H147" s="50">
        <v>1</v>
      </c>
      <c r="I147" s="50" t="s">
        <v>578</v>
      </c>
      <c r="J147" s="50" t="s">
        <v>578</v>
      </c>
      <c r="K147" s="50">
        <v>117</v>
      </c>
      <c r="L147" s="50" t="s">
        <v>6</v>
      </c>
      <c r="M147" s="50"/>
      <c r="N147" s="49"/>
    </row>
    <row r="148" spans="1:14" ht="14.25" customHeight="1">
      <c r="A148" s="54" t="s">
        <v>21</v>
      </c>
      <c r="B148" s="56" t="s">
        <v>152</v>
      </c>
      <c r="C148" s="54" t="s">
        <v>77</v>
      </c>
      <c r="D148" s="55">
        <v>24</v>
      </c>
      <c r="E148" s="55">
        <v>0</v>
      </c>
      <c r="F148" s="55">
        <v>24</v>
      </c>
      <c r="G148" s="55">
        <v>6</v>
      </c>
      <c r="H148" s="55">
        <v>4</v>
      </c>
      <c r="I148" s="55" t="s">
        <v>579</v>
      </c>
      <c r="J148" s="55" t="s">
        <v>685</v>
      </c>
      <c r="K148" s="55">
        <v>1</v>
      </c>
      <c r="L148" s="55" t="s">
        <v>6</v>
      </c>
      <c r="M148" s="55"/>
      <c r="N148" s="54"/>
    </row>
    <row r="149" spans="1:14" ht="14.25" customHeight="1">
      <c r="A149" s="49" t="s">
        <v>21</v>
      </c>
      <c r="B149" s="53" t="s">
        <v>152</v>
      </c>
      <c r="C149" s="49" t="s">
        <v>172</v>
      </c>
      <c r="D149" s="50">
        <v>12</v>
      </c>
      <c r="E149" s="50">
        <v>12</v>
      </c>
      <c r="F149" s="50">
        <v>0</v>
      </c>
      <c r="G149" s="50">
        <v>3</v>
      </c>
      <c r="H149" s="50">
        <v>4</v>
      </c>
      <c r="I149" s="50" t="s">
        <v>686</v>
      </c>
      <c r="J149" s="50" t="s">
        <v>687</v>
      </c>
      <c r="K149" s="50">
        <v>7</v>
      </c>
      <c r="L149" s="50" t="s">
        <v>6</v>
      </c>
      <c r="M149" s="50"/>
      <c r="N149" s="49"/>
    </row>
    <row r="150" spans="1:14" ht="14.25" customHeight="1">
      <c r="A150" s="54" t="s">
        <v>21</v>
      </c>
      <c r="B150" s="56" t="s">
        <v>152</v>
      </c>
      <c r="C150" s="54" t="s">
        <v>153</v>
      </c>
      <c r="D150" s="55">
        <v>10</v>
      </c>
      <c r="E150" s="55">
        <v>10</v>
      </c>
      <c r="F150" s="55">
        <v>0</v>
      </c>
      <c r="G150" s="55">
        <v>2</v>
      </c>
      <c r="H150" s="55">
        <v>5</v>
      </c>
      <c r="I150" s="55" t="s">
        <v>688</v>
      </c>
      <c r="J150" s="55" t="s">
        <v>618</v>
      </c>
      <c r="K150" s="55">
        <v>10</v>
      </c>
      <c r="L150" s="55" t="s">
        <v>6</v>
      </c>
      <c r="M150" s="55"/>
      <c r="N150" s="54"/>
    </row>
    <row r="151" spans="1:14" ht="14.25" customHeight="1">
      <c r="A151" s="49" t="s">
        <v>21</v>
      </c>
      <c r="B151" s="53" t="s">
        <v>152</v>
      </c>
      <c r="C151" s="49" t="s">
        <v>171</v>
      </c>
      <c r="D151" s="50">
        <v>6</v>
      </c>
      <c r="E151" s="50">
        <v>6</v>
      </c>
      <c r="F151" s="50">
        <v>0</v>
      </c>
      <c r="G151" s="50">
        <v>1</v>
      </c>
      <c r="H151" s="50">
        <v>6</v>
      </c>
      <c r="I151" s="50" t="s">
        <v>619</v>
      </c>
      <c r="J151" s="50" t="s">
        <v>619</v>
      </c>
      <c r="K151" s="50">
        <v>12</v>
      </c>
      <c r="L151" s="50" t="s">
        <v>6</v>
      </c>
      <c r="M151" s="50"/>
      <c r="N151" s="49"/>
    </row>
    <row r="152" spans="1:14" ht="14.25" customHeight="1">
      <c r="A152" s="54" t="s">
        <v>21</v>
      </c>
      <c r="B152" s="56" t="s">
        <v>152</v>
      </c>
      <c r="C152" s="54" t="s">
        <v>177</v>
      </c>
      <c r="D152" s="55">
        <v>4</v>
      </c>
      <c r="E152" s="55">
        <v>4</v>
      </c>
      <c r="F152" s="55">
        <v>0</v>
      </c>
      <c r="G152" s="55">
        <v>1</v>
      </c>
      <c r="H152" s="55">
        <v>4</v>
      </c>
      <c r="I152" s="55" t="s">
        <v>689</v>
      </c>
      <c r="J152" s="55" t="s">
        <v>689</v>
      </c>
      <c r="K152" s="55">
        <v>13</v>
      </c>
      <c r="L152" s="55" t="s">
        <v>6</v>
      </c>
      <c r="M152" s="55"/>
      <c r="N152" s="54"/>
    </row>
    <row r="153" spans="1:14" ht="14.25" customHeight="1">
      <c r="A153" s="49" t="s">
        <v>21</v>
      </c>
      <c r="B153" s="53" t="s">
        <v>152</v>
      </c>
      <c r="C153" s="49" t="s">
        <v>173</v>
      </c>
      <c r="D153" s="50">
        <v>2</v>
      </c>
      <c r="E153" s="50">
        <v>2</v>
      </c>
      <c r="F153" s="50">
        <v>0</v>
      </c>
      <c r="G153" s="50">
        <v>1</v>
      </c>
      <c r="H153" s="50">
        <v>2</v>
      </c>
      <c r="I153" s="50" t="s">
        <v>690</v>
      </c>
      <c r="J153" s="50" t="s">
        <v>690</v>
      </c>
      <c r="K153" s="50">
        <v>14</v>
      </c>
      <c r="L153" s="50" t="s">
        <v>6</v>
      </c>
      <c r="M153" s="50"/>
      <c r="N153" s="49"/>
    </row>
    <row r="154" spans="1:14" ht="14.25" customHeight="1">
      <c r="A154" s="54" t="s">
        <v>21</v>
      </c>
      <c r="B154" s="56" t="s">
        <v>152</v>
      </c>
      <c r="C154" s="54" t="s">
        <v>178</v>
      </c>
      <c r="D154" s="55">
        <v>1</v>
      </c>
      <c r="E154" s="55">
        <v>1</v>
      </c>
      <c r="F154" s="55">
        <v>0</v>
      </c>
      <c r="G154" s="55">
        <v>1</v>
      </c>
      <c r="H154" s="55">
        <v>1</v>
      </c>
      <c r="I154" s="55" t="s">
        <v>583</v>
      </c>
      <c r="J154" s="55" t="s">
        <v>583</v>
      </c>
      <c r="K154" s="55">
        <v>15</v>
      </c>
      <c r="L154" s="55" t="s">
        <v>6</v>
      </c>
      <c r="M154" s="55"/>
      <c r="N154" s="54"/>
    </row>
    <row r="155" spans="1:14" ht="14.25" customHeight="1">
      <c r="A155" s="49" t="s">
        <v>21</v>
      </c>
      <c r="B155" s="53" t="s">
        <v>225</v>
      </c>
      <c r="C155" s="53" t="s">
        <v>255</v>
      </c>
      <c r="D155" s="50">
        <v>5</v>
      </c>
      <c r="E155" s="50">
        <v>5</v>
      </c>
      <c r="F155" s="50">
        <v>0</v>
      </c>
      <c r="G155" s="50">
        <v>1</v>
      </c>
      <c r="H155" s="50">
        <v>5</v>
      </c>
      <c r="I155" s="50" t="s">
        <v>583</v>
      </c>
      <c r="J155" s="50" t="s">
        <v>583</v>
      </c>
      <c r="K155" s="50">
        <v>15</v>
      </c>
      <c r="L155" s="50" t="s">
        <v>6</v>
      </c>
      <c r="M155" s="50"/>
      <c r="N155" s="49"/>
    </row>
    <row r="156" spans="1:14" ht="14.25" customHeight="1">
      <c r="A156" s="54" t="s">
        <v>21</v>
      </c>
      <c r="B156" s="56" t="s">
        <v>225</v>
      </c>
      <c r="C156" s="56" t="s">
        <v>256</v>
      </c>
      <c r="D156" s="55">
        <v>5</v>
      </c>
      <c r="E156" s="55">
        <v>5</v>
      </c>
      <c r="F156" s="55">
        <v>0</v>
      </c>
      <c r="G156" s="55">
        <v>1</v>
      </c>
      <c r="H156" s="55">
        <v>5</v>
      </c>
      <c r="I156" s="55" t="s">
        <v>691</v>
      </c>
      <c r="J156" s="55" t="s">
        <v>691</v>
      </c>
      <c r="K156" s="55">
        <v>16</v>
      </c>
      <c r="L156" s="55" t="s">
        <v>6</v>
      </c>
      <c r="M156" s="55"/>
      <c r="N156" s="54"/>
    </row>
    <row r="157" spans="1:14" ht="14.25" customHeight="1">
      <c r="A157" s="49" t="s">
        <v>21</v>
      </c>
      <c r="B157" s="53" t="s">
        <v>225</v>
      </c>
      <c r="C157" s="49" t="s">
        <v>258</v>
      </c>
      <c r="D157" s="50">
        <v>4</v>
      </c>
      <c r="E157" s="50">
        <v>4</v>
      </c>
      <c r="F157" s="50">
        <v>0</v>
      </c>
      <c r="G157" s="50">
        <v>1</v>
      </c>
      <c r="H157" s="50">
        <v>4</v>
      </c>
      <c r="I157" s="50" t="s">
        <v>620</v>
      </c>
      <c r="J157" s="50" t="s">
        <v>620</v>
      </c>
      <c r="K157" s="50">
        <v>17</v>
      </c>
      <c r="L157" s="50" t="s">
        <v>6</v>
      </c>
      <c r="M157" s="50"/>
      <c r="N157" s="49"/>
    </row>
    <row r="158" spans="1:14" ht="14.25" customHeight="1">
      <c r="A158" s="54" t="s">
        <v>21</v>
      </c>
      <c r="B158" s="56" t="s">
        <v>225</v>
      </c>
      <c r="C158" s="54" t="s">
        <v>260</v>
      </c>
      <c r="D158" s="55">
        <v>4</v>
      </c>
      <c r="E158" s="55">
        <v>4</v>
      </c>
      <c r="F158" s="55">
        <v>0</v>
      </c>
      <c r="G158" s="55">
        <v>1</v>
      </c>
      <c r="H158" s="55">
        <v>4</v>
      </c>
      <c r="I158" s="55" t="s">
        <v>621</v>
      </c>
      <c r="J158" s="55" t="s">
        <v>621</v>
      </c>
      <c r="K158" s="55">
        <v>18</v>
      </c>
      <c r="L158" s="55" t="s">
        <v>6</v>
      </c>
      <c r="M158" s="55"/>
      <c r="N158" s="54"/>
    </row>
    <row r="159" spans="1:14" ht="14.25" customHeight="1">
      <c r="A159" s="49" t="s">
        <v>21</v>
      </c>
      <c r="B159" s="53" t="s">
        <v>225</v>
      </c>
      <c r="C159" s="53" t="s">
        <v>261</v>
      </c>
      <c r="D159" s="50">
        <v>4</v>
      </c>
      <c r="E159" s="50">
        <v>4</v>
      </c>
      <c r="F159" s="50">
        <v>0</v>
      </c>
      <c r="G159" s="50">
        <v>1</v>
      </c>
      <c r="H159" s="50">
        <v>4</v>
      </c>
      <c r="I159" s="50" t="s">
        <v>692</v>
      </c>
      <c r="J159" s="50" t="s">
        <v>692</v>
      </c>
      <c r="K159" s="50">
        <v>19</v>
      </c>
      <c r="L159" s="50" t="s">
        <v>6</v>
      </c>
      <c r="M159" s="50"/>
      <c r="N159" s="49"/>
    </row>
    <row r="160" spans="1:14" ht="14.25" customHeight="1">
      <c r="A160" s="54" t="s">
        <v>21</v>
      </c>
      <c r="B160" s="56" t="s">
        <v>225</v>
      </c>
      <c r="C160" s="54" t="s">
        <v>226</v>
      </c>
      <c r="D160" s="55">
        <v>2</v>
      </c>
      <c r="E160" s="55">
        <v>2</v>
      </c>
      <c r="F160" s="55">
        <v>0</v>
      </c>
      <c r="G160" s="55">
        <v>1</v>
      </c>
      <c r="H160" s="55">
        <v>2</v>
      </c>
      <c r="I160" s="55" t="s">
        <v>622</v>
      </c>
      <c r="J160" s="55" t="s">
        <v>622</v>
      </c>
      <c r="K160" s="55">
        <v>20</v>
      </c>
      <c r="L160" s="55" t="s">
        <v>6</v>
      </c>
      <c r="M160" s="55"/>
      <c r="N160" s="54"/>
    </row>
    <row r="161" spans="1:14" ht="14.25" customHeight="1">
      <c r="A161" s="49" t="s">
        <v>21</v>
      </c>
      <c r="B161" s="53" t="s">
        <v>225</v>
      </c>
      <c r="C161" s="49" t="s">
        <v>259</v>
      </c>
      <c r="D161" s="50">
        <v>2</v>
      </c>
      <c r="E161" s="50">
        <v>2</v>
      </c>
      <c r="F161" s="50">
        <v>0</v>
      </c>
      <c r="G161" s="50">
        <v>1</v>
      </c>
      <c r="H161" s="50">
        <v>2</v>
      </c>
      <c r="I161" s="50" t="s">
        <v>623</v>
      </c>
      <c r="J161" s="50" t="s">
        <v>623</v>
      </c>
      <c r="K161" s="50">
        <v>21</v>
      </c>
      <c r="L161" s="50" t="s">
        <v>6</v>
      </c>
      <c r="M161" s="50"/>
      <c r="N161" s="49"/>
    </row>
    <row r="162" spans="1:14" ht="14.25" customHeight="1">
      <c r="A162" s="54" t="s">
        <v>21</v>
      </c>
      <c r="B162" s="56" t="s">
        <v>225</v>
      </c>
      <c r="C162" s="56" t="s">
        <v>227</v>
      </c>
      <c r="D162" s="55">
        <v>2</v>
      </c>
      <c r="E162" s="55">
        <v>2</v>
      </c>
      <c r="F162" s="55">
        <v>0</v>
      </c>
      <c r="G162" s="55">
        <v>1</v>
      </c>
      <c r="H162" s="55">
        <v>2</v>
      </c>
      <c r="I162" s="55" t="s">
        <v>623</v>
      </c>
      <c r="J162" s="55" t="s">
        <v>623</v>
      </c>
      <c r="K162" s="55">
        <v>21</v>
      </c>
      <c r="L162" s="55" t="s">
        <v>6</v>
      </c>
      <c r="M162" s="55"/>
      <c r="N162" s="54"/>
    </row>
    <row r="163" spans="1:14" ht="14.25" customHeight="1">
      <c r="A163" s="49" t="s">
        <v>21</v>
      </c>
      <c r="B163" s="53" t="s">
        <v>225</v>
      </c>
      <c r="C163" s="53" t="s">
        <v>228</v>
      </c>
      <c r="D163" s="50">
        <v>2</v>
      </c>
      <c r="E163" s="50">
        <v>2</v>
      </c>
      <c r="F163" s="50">
        <v>0</v>
      </c>
      <c r="G163" s="50">
        <v>1</v>
      </c>
      <c r="H163" s="50">
        <v>2</v>
      </c>
      <c r="I163" s="50" t="s">
        <v>585</v>
      </c>
      <c r="J163" s="50" t="s">
        <v>585</v>
      </c>
      <c r="K163" s="50">
        <v>22</v>
      </c>
      <c r="L163" s="50" t="s">
        <v>6</v>
      </c>
      <c r="M163" s="50"/>
      <c r="N163" s="49"/>
    </row>
    <row r="164" spans="1:14" ht="14.25" customHeight="1">
      <c r="A164" s="54" t="s">
        <v>21</v>
      </c>
      <c r="B164" s="56" t="s">
        <v>225</v>
      </c>
      <c r="C164" s="54" t="s">
        <v>333</v>
      </c>
      <c r="D164" s="55">
        <v>1</v>
      </c>
      <c r="E164" s="55">
        <v>1</v>
      </c>
      <c r="F164" s="55">
        <v>0</v>
      </c>
      <c r="G164" s="55">
        <v>1</v>
      </c>
      <c r="H164" s="55">
        <v>1</v>
      </c>
      <c r="I164" s="55" t="s">
        <v>585</v>
      </c>
      <c r="J164" s="55" t="s">
        <v>585</v>
      </c>
      <c r="K164" s="55">
        <v>22</v>
      </c>
      <c r="L164" s="55" t="s">
        <v>6</v>
      </c>
      <c r="M164" s="55"/>
      <c r="N164" s="54"/>
    </row>
    <row r="165" spans="1:14" ht="14.25" customHeight="1">
      <c r="A165" s="49" t="s">
        <v>21</v>
      </c>
      <c r="B165" s="53" t="s">
        <v>225</v>
      </c>
      <c r="C165" s="53" t="s">
        <v>229</v>
      </c>
      <c r="D165" s="50">
        <v>1</v>
      </c>
      <c r="E165" s="50">
        <v>1</v>
      </c>
      <c r="F165" s="50">
        <v>0</v>
      </c>
      <c r="G165" s="50">
        <v>1</v>
      </c>
      <c r="H165" s="50">
        <v>1</v>
      </c>
      <c r="I165" s="50" t="s">
        <v>624</v>
      </c>
      <c r="J165" s="50" t="s">
        <v>624</v>
      </c>
      <c r="K165" s="50">
        <v>23</v>
      </c>
      <c r="L165" s="50" t="s">
        <v>6</v>
      </c>
      <c r="M165" s="50"/>
      <c r="N165" s="49"/>
    </row>
    <row r="166" spans="1:14" ht="14.25" customHeight="1">
      <c r="A166" s="54" t="s">
        <v>21</v>
      </c>
      <c r="B166" s="56" t="s">
        <v>225</v>
      </c>
      <c r="C166" s="56" t="s">
        <v>230</v>
      </c>
      <c r="D166" s="55">
        <v>1</v>
      </c>
      <c r="E166" s="55">
        <v>1</v>
      </c>
      <c r="F166" s="55">
        <v>0</v>
      </c>
      <c r="G166" s="55">
        <v>1</v>
      </c>
      <c r="H166" s="55">
        <v>1</v>
      </c>
      <c r="I166" s="55" t="s">
        <v>624</v>
      </c>
      <c r="J166" s="55" t="s">
        <v>624</v>
      </c>
      <c r="K166" s="55">
        <v>23</v>
      </c>
      <c r="L166" s="55" t="s">
        <v>6</v>
      </c>
      <c r="M166" s="55"/>
      <c r="N166" s="54"/>
    </row>
    <row r="167" spans="1:14" ht="14.25" customHeight="1">
      <c r="A167" s="49" t="s">
        <v>21</v>
      </c>
      <c r="B167" s="53" t="s">
        <v>225</v>
      </c>
      <c r="C167" s="53" t="s">
        <v>231</v>
      </c>
      <c r="D167" s="50">
        <v>1</v>
      </c>
      <c r="E167" s="50">
        <v>1</v>
      </c>
      <c r="F167" s="50">
        <v>0</v>
      </c>
      <c r="G167" s="50">
        <v>1</v>
      </c>
      <c r="H167" s="50">
        <v>1</v>
      </c>
      <c r="I167" s="50" t="s">
        <v>624</v>
      </c>
      <c r="J167" s="50" t="s">
        <v>624</v>
      </c>
      <c r="K167" s="50">
        <v>23</v>
      </c>
      <c r="L167" s="50" t="s">
        <v>6</v>
      </c>
      <c r="M167" s="50"/>
      <c r="N167" s="49"/>
    </row>
    <row r="168" spans="1:14" ht="14.25" customHeight="1">
      <c r="A168" s="54" t="s">
        <v>21</v>
      </c>
      <c r="B168" s="56" t="s">
        <v>225</v>
      </c>
      <c r="C168" s="56" t="s">
        <v>693</v>
      </c>
      <c r="D168" s="55">
        <v>1</v>
      </c>
      <c r="E168" s="55">
        <v>1</v>
      </c>
      <c r="F168" s="55">
        <v>0</v>
      </c>
      <c r="G168" s="55">
        <v>1</v>
      </c>
      <c r="H168" s="55">
        <v>1</v>
      </c>
      <c r="I168" s="55" t="s">
        <v>624</v>
      </c>
      <c r="J168" s="55" t="s">
        <v>624</v>
      </c>
      <c r="K168" s="55">
        <v>23</v>
      </c>
      <c r="L168" s="55" t="s">
        <v>6</v>
      </c>
      <c r="M168" s="55"/>
      <c r="N168" s="54"/>
    </row>
    <row r="169" spans="1:14" ht="14.25" customHeight="1">
      <c r="A169" s="49" t="s">
        <v>21</v>
      </c>
      <c r="B169" s="53" t="s">
        <v>174</v>
      </c>
      <c r="C169" s="49" t="s">
        <v>694</v>
      </c>
      <c r="D169" s="50">
        <v>9</v>
      </c>
      <c r="E169" s="50">
        <v>9</v>
      </c>
      <c r="F169" s="50">
        <v>0</v>
      </c>
      <c r="G169" s="50">
        <v>2</v>
      </c>
      <c r="H169" s="50">
        <v>4.5</v>
      </c>
      <c r="I169" s="50" t="s">
        <v>625</v>
      </c>
      <c r="J169" s="50" t="s">
        <v>626</v>
      </c>
      <c r="K169" s="50">
        <v>24</v>
      </c>
      <c r="L169" s="50" t="s">
        <v>6</v>
      </c>
      <c r="M169" s="50"/>
      <c r="N169" s="49"/>
    </row>
    <row r="170" spans="1:14" ht="14.25" customHeight="1">
      <c r="A170" s="54" t="s">
        <v>21</v>
      </c>
      <c r="B170" s="56" t="s">
        <v>174</v>
      </c>
      <c r="C170" s="54" t="s">
        <v>219</v>
      </c>
      <c r="D170" s="55">
        <v>7</v>
      </c>
      <c r="E170" s="55">
        <v>7</v>
      </c>
      <c r="F170" s="55">
        <v>0</v>
      </c>
      <c r="G170" s="55">
        <v>2</v>
      </c>
      <c r="H170" s="55">
        <v>3.5</v>
      </c>
      <c r="I170" s="55" t="s">
        <v>627</v>
      </c>
      <c r="J170" s="55" t="s">
        <v>628</v>
      </c>
      <c r="K170" s="55">
        <v>26</v>
      </c>
      <c r="L170" s="55" t="s">
        <v>6</v>
      </c>
      <c r="M170" s="55"/>
      <c r="N170" s="54"/>
    </row>
    <row r="171" spans="1:14" ht="14.25" customHeight="1">
      <c r="A171" s="49" t="s">
        <v>21</v>
      </c>
      <c r="B171" s="53" t="s">
        <v>174</v>
      </c>
      <c r="C171" s="49" t="s">
        <v>220</v>
      </c>
      <c r="D171" s="50">
        <v>1</v>
      </c>
      <c r="E171" s="50">
        <v>1</v>
      </c>
      <c r="F171" s="50">
        <v>0</v>
      </c>
      <c r="G171" s="50">
        <v>1</v>
      </c>
      <c r="H171" s="50">
        <v>1</v>
      </c>
      <c r="I171" s="50" t="s">
        <v>629</v>
      </c>
      <c r="J171" s="50" t="s">
        <v>629</v>
      </c>
      <c r="K171" s="50">
        <v>28</v>
      </c>
      <c r="L171" s="50" t="s">
        <v>6</v>
      </c>
      <c r="M171" s="50"/>
      <c r="N171" s="49"/>
    </row>
    <row r="172" spans="1:14" ht="14.25" customHeight="1">
      <c r="A172" s="54" t="s">
        <v>21</v>
      </c>
      <c r="B172" s="56" t="s">
        <v>163</v>
      </c>
      <c r="C172" s="54" t="s">
        <v>223</v>
      </c>
      <c r="D172" s="55">
        <v>7</v>
      </c>
      <c r="E172" s="55">
        <v>7</v>
      </c>
      <c r="F172" s="55">
        <v>0</v>
      </c>
      <c r="G172" s="55">
        <v>2</v>
      </c>
      <c r="H172" s="55">
        <v>3.5</v>
      </c>
      <c r="I172" s="55" t="s">
        <v>629</v>
      </c>
      <c r="J172" s="55" t="s">
        <v>630</v>
      </c>
      <c r="K172" s="55">
        <v>28</v>
      </c>
      <c r="L172" s="55" t="s">
        <v>6</v>
      </c>
      <c r="M172" s="55"/>
      <c r="N172" s="54"/>
    </row>
    <row r="173" spans="1:14" ht="14.25" customHeight="1">
      <c r="A173" s="49" t="s">
        <v>21</v>
      </c>
      <c r="B173" s="53" t="s">
        <v>163</v>
      </c>
      <c r="C173" s="49" t="s">
        <v>224</v>
      </c>
      <c r="D173" s="50">
        <v>4</v>
      </c>
      <c r="E173" s="50">
        <v>4</v>
      </c>
      <c r="F173" s="50">
        <v>0</v>
      </c>
      <c r="G173" s="50">
        <v>1</v>
      </c>
      <c r="H173" s="50">
        <v>4</v>
      </c>
      <c r="I173" s="50" t="s">
        <v>631</v>
      </c>
      <c r="J173" s="50" t="s">
        <v>631</v>
      </c>
      <c r="K173" s="50">
        <v>30</v>
      </c>
      <c r="L173" s="50" t="s">
        <v>6</v>
      </c>
      <c r="M173" s="50"/>
      <c r="N173" s="49"/>
    </row>
    <row r="174" spans="1:14" ht="14.25" customHeight="1">
      <c r="A174" s="54" t="s">
        <v>21</v>
      </c>
      <c r="B174" s="56" t="s">
        <v>163</v>
      </c>
      <c r="C174" s="54" t="s">
        <v>164</v>
      </c>
      <c r="D174" s="55">
        <v>2</v>
      </c>
      <c r="E174" s="55">
        <v>2</v>
      </c>
      <c r="F174" s="55">
        <v>0</v>
      </c>
      <c r="G174" s="55">
        <v>1</v>
      </c>
      <c r="H174" s="55">
        <v>2</v>
      </c>
      <c r="I174" s="55" t="s">
        <v>632</v>
      </c>
      <c r="J174" s="55" t="s">
        <v>632</v>
      </c>
      <c r="K174" s="55">
        <v>31</v>
      </c>
      <c r="L174" s="55" t="s">
        <v>6</v>
      </c>
      <c r="M174" s="55"/>
      <c r="N174" s="54"/>
    </row>
    <row r="175" spans="1:14" ht="14.25" customHeight="1">
      <c r="A175" s="49" t="s">
        <v>21</v>
      </c>
      <c r="B175" s="53" t="s">
        <v>163</v>
      </c>
      <c r="C175" s="49" t="s">
        <v>221</v>
      </c>
      <c r="D175" s="50">
        <v>1</v>
      </c>
      <c r="E175" s="50">
        <v>1</v>
      </c>
      <c r="F175" s="50">
        <v>0</v>
      </c>
      <c r="G175" s="50">
        <v>1</v>
      </c>
      <c r="H175" s="50">
        <v>1</v>
      </c>
      <c r="I175" s="50" t="s">
        <v>632</v>
      </c>
      <c r="J175" s="50" t="s">
        <v>632</v>
      </c>
      <c r="K175" s="50">
        <v>31</v>
      </c>
      <c r="L175" s="50" t="s">
        <v>6</v>
      </c>
      <c r="M175" s="50"/>
      <c r="N175" s="49"/>
    </row>
    <row r="176" spans="1:14" ht="14.25" customHeight="1">
      <c r="A176" s="54" t="s">
        <v>21</v>
      </c>
      <c r="B176" s="56" t="s">
        <v>160</v>
      </c>
      <c r="C176" s="54" t="s">
        <v>221</v>
      </c>
      <c r="D176" s="55">
        <v>8</v>
      </c>
      <c r="E176" s="55">
        <v>8</v>
      </c>
      <c r="F176" s="55">
        <v>0</v>
      </c>
      <c r="G176" s="55">
        <v>2</v>
      </c>
      <c r="H176" s="55">
        <v>4</v>
      </c>
      <c r="I176" s="55" t="s">
        <v>632</v>
      </c>
      <c r="J176" s="55" t="s">
        <v>633</v>
      </c>
      <c r="K176" s="55">
        <v>31</v>
      </c>
      <c r="L176" s="55" t="s">
        <v>6</v>
      </c>
      <c r="M176" s="55"/>
      <c r="N176" s="54"/>
    </row>
    <row r="177" spans="1:14" ht="14.25" customHeight="1">
      <c r="A177" s="49" t="s">
        <v>21</v>
      </c>
      <c r="B177" s="53" t="s">
        <v>160</v>
      </c>
      <c r="C177" s="49" t="s">
        <v>161</v>
      </c>
      <c r="D177" s="50">
        <v>2</v>
      </c>
      <c r="E177" s="50">
        <v>2</v>
      </c>
      <c r="F177" s="50">
        <v>0</v>
      </c>
      <c r="G177" s="50">
        <v>1</v>
      </c>
      <c r="H177" s="50">
        <v>2</v>
      </c>
      <c r="I177" s="50" t="s">
        <v>634</v>
      </c>
      <c r="J177" s="50" t="s">
        <v>634</v>
      </c>
      <c r="K177" s="50">
        <v>33</v>
      </c>
      <c r="L177" s="50" t="s">
        <v>6</v>
      </c>
      <c r="M177" s="50"/>
      <c r="N177" s="49"/>
    </row>
    <row r="178" spans="1:14" ht="14.25" customHeight="1">
      <c r="A178" s="54" t="s">
        <v>21</v>
      </c>
      <c r="B178" s="56" t="s">
        <v>160</v>
      </c>
      <c r="C178" s="54" t="s">
        <v>222</v>
      </c>
      <c r="D178" s="55">
        <v>1</v>
      </c>
      <c r="E178" s="55">
        <v>1</v>
      </c>
      <c r="F178" s="55">
        <v>0</v>
      </c>
      <c r="G178" s="55">
        <v>1</v>
      </c>
      <c r="H178" s="55">
        <v>1</v>
      </c>
      <c r="I178" s="55" t="s">
        <v>635</v>
      </c>
      <c r="J178" s="55" t="s">
        <v>635</v>
      </c>
      <c r="K178" s="55">
        <v>34</v>
      </c>
      <c r="L178" s="55" t="s">
        <v>6</v>
      </c>
      <c r="M178" s="55"/>
      <c r="N178" s="54"/>
    </row>
    <row r="179" spans="1:14" ht="14.25" customHeight="1">
      <c r="A179" s="49" t="s">
        <v>21</v>
      </c>
      <c r="B179" s="53" t="s">
        <v>166</v>
      </c>
      <c r="C179" s="49" t="s">
        <v>213</v>
      </c>
      <c r="D179" s="50">
        <v>4</v>
      </c>
      <c r="E179" s="50">
        <v>4</v>
      </c>
      <c r="F179" s="50">
        <v>0</v>
      </c>
      <c r="G179" s="50">
        <v>1</v>
      </c>
      <c r="H179" s="50">
        <v>4</v>
      </c>
      <c r="I179" s="50" t="s">
        <v>635</v>
      </c>
      <c r="J179" s="50" t="s">
        <v>635</v>
      </c>
      <c r="K179" s="50">
        <v>34</v>
      </c>
      <c r="L179" s="50" t="s">
        <v>6</v>
      </c>
      <c r="M179" s="50"/>
      <c r="N179" s="49"/>
    </row>
    <row r="180" spans="1:14" ht="14.25" customHeight="1">
      <c r="A180" s="54" t="s">
        <v>21</v>
      </c>
      <c r="B180" s="56" t="s">
        <v>166</v>
      </c>
      <c r="C180" s="54" t="s">
        <v>167</v>
      </c>
      <c r="D180" s="55">
        <v>2</v>
      </c>
      <c r="E180" s="55">
        <v>2</v>
      </c>
      <c r="F180" s="55">
        <v>0</v>
      </c>
      <c r="G180" s="55">
        <v>1</v>
      </c>
      <c r="H180" s="55">
        <v>2</v>
      </c>
      <c r="I180" s="55" t="s">
        <v>636</v>
      </c>
      <c r="J180" s="55" t="s">
        <v>636</v>
      </c>
      <c r="K180" s="55">
        <v>35</v>
      </c>
      <c r="L180" s="55" t="s">
        <v>6</v>
      </c>
      <c r="M180" s="55"/>
      <c r="N180" s="54"/>
    </row>
    <row r="181" spans="1:14" ht="14.25" customHeight="1">
      <c r="A181" s="49" t="s">
        <v>21</v>
      </c>
      <c r="B181" s="53" t="s">
        <v>166</v>
      </c>
      <c r="C181" s="53" t="s">
        <v>214</v>
      </c>
      <c r="D181" s="50">
        <v>1</v>
      </c>
      <c r="E181" s="50">
        <v>1</v>
      </c>
      <c r="F181" s="50">
        <v>0</v>
      </c>
      <c r="G181" s="50">
        <v>1</v>
      </c>
      <c r="H181" s="50">
        <v>1</v>
      </c>
      <c r="I181" s="50" t="s">
        <v>636</v>
      </c>
      <c r="J181" s="50" t="s">
        <v>636</v>
      </c>
      <c r="K181" s="50">
        <v>35</v>
      </c>
      <c r="L181" s="50" t="s">
        <v>6</v>
      </c>
      <c r="M181" s="50"/>
      <c r="N181" s="49"/>
    </row>
    <row r="182" spans="1:14" ht="14.25" customHeight="1">
      <c r="A182" s="54" t="s">
        <v>21</v>
      </c>
      <c r="B182" s="56" t="s">
        <v>216</v>
      </c>
      <c r="C182" s="54" t="s">
        <v>217</v>
      </c>
      <c r="D182" s="55">
        <v>2</v>
      </c>
      <c r="E182" s="55">
        <v>2</v>
      </c>
      <c r="F182" s="55">
        <v>0</v>
      </c>
      <c r="G182" s="55">
        <v>1</v>
      </c>
      <c r="H182" s="55">
        <v>2</v>
      </c>
      <c r="I182" s="55" t="s">
        <v>637</v>
      </c>
      <c r="J182" s="55" t="s">
        <v>637</v>
      </c>
      <c r="K182" s="55">
        <v>36</v>
      </c>
      <c r="L182" s="55" t="s">
        <v>6</v>
      </c>
      <c r="M182" s="55"/>
      <c r="N182" s="54"/>
    </row>
    <row r="183" spans="1:14" ht="14.25" customHeight="1">
      <c r="A183" s="49" t="s">
        <v>21</v>
      </c>
      <c r="B183" s="53" t="s">
        <v>216</v>
      </c>
      <c r="C183" s="53" t="s">
        <v>218</v>
      </c>
      <c r="D183" s="50">
        <v>2</v>
      </c>
      <c r="E183" s="50">
        <v>2</v>
      </c>
      <c r="F183" s="50">
        <v>0</v>
      </c>
      <c r="G183" s="50">
        <v>1</v>
      </c>
      <c r="H183" s="50">
        <v>2</v>
      </c>
      <c r="I183" s="50" t="s">
        <v>637</v>
      </c>
      <c r="J183" s="50" t="s">
        <v>637</v>
      </c>
      <c r="K183" s="50">
        <v>36</v>
      </c>
      <c r="L183" s="50" t="s">
        <v>6</v>
      </c>
      <c r="M183" s="50"/>
      <c r="N183" s="49"/>
    </row>
    <row r="184" spans="1:14" ht="14.25" customHeight="1">
      <c r="A184" s="54" t="s">
        <v>21</v>
      </c>
      <c r="B184" s="56" t="s">
        <v>211</v>
      </c>
      <c r="C184" s="54" t="s">
        <v>212</v>
      </c>
      <c r="D184" s="55">
        <v>3</v>
      </c>
      <c r="E184" s="55">
        <v>3</v>
      </c>
      <c r="F184" s="55">
        <v>0</v>
      </c>
      <c r="G184" s="55">
        <v>1</v>
      </c>
      <c r="H184" s="55">
        <v>3</v>
      </c>
      <c r="I184" s="55" t="s">
        <v>638</v>
      </c>
      <c r="J184" s="55" t="s">
        <v>638</v>
      </c>
      <c r="K184" s="55">
        <v>37</v>
      </c>
      <c r="L184" s="55" t="s">
        <v>6</v>
      </c>
      <c r="M184" s="55"/>
      <c r="N184" s="54"/>
    </row>
    <row r="185" spans="1:14" ht="14.25" customHeight="1">
      <c r="A185" s="49" t="s">
        <v>21</v>
      </c>
      <c r="B185" s="49" t="s">
        <v>127</v>
      </c>
      <c r="C185" s="49" t="s">
        <v>328</v>
      </c>
      <c r="D185" s="50">
        <v>2</v>
      </c>
      <c r="E185" s="50">
        <v>2</v>
      </c>
      <c r="F185" s="50">
        <v>0</v>
      </c>
      <c r="G185" s="50">
        <v>1</v>
      </c>
      <c r="H185" s="50">
        <v>2</v>
      </c>
      <c r="I185" s="50" t="s">
        <v>638</v>
      </c>
      <c r="J185" s="50" t="s">
        <v>638</v>
      </c>
      <c r="K185" s="50">
        <v>37</v>
      </c>
      <c r="L185" s="50" t="s">
        <v>6</v>
      </c>
      <c r="M185" s="50"/>
      <c r="N185" s="49"/>
    </row>
    <row r="186" spans="1:14" ht="14.25" customHeight="1">
      <c r="A186" s="54" t="s">
        <v>21</v>
      </c>
      <c r="B186" s="54" t="s">
        <v>127</v>
      </c>
      <c r="C186" s="54" t="s">
        <v>77</v>
      </c>
      <c r="D186" s="55">
        <v>1</v>
      </c>
      <c r="E186" s="55">
        <v>0</v>
      </c>
      <c r="F186" s="55">
        <v>1</v>
      </c>
      <c r="G186" s="55">
        <v>1</v>
      </c>
      <c r="H186" s="55">
        <v>1</v>
      </c>
      <c r="I186" s="55" t="s">
        <v>639</v>
      </c>
      <c r="J186" s="55" t="s">
        <v>639</v>
      </c>
      <c r="K186" s="55">
        <v>38</v>
      </c>
      <c r="L186" s="55" t="s">
        <v>6</v>
      </c>
      <c r="M186" s="55"/>
      <c r="N186" s="54"/>
    </row>
    <row r="187" spans="1:14" ht="14.25" customHeight="1">
      <c r="A187" s="49" t="s">
        <v>21</v>
      </c>
      <c r="B187" s="53" t="s">
        <v>156</v>
      </c>
      <c r="C187" s="49" t="s">
        <v>157</v>
      </c>
      <c r="D187" s="50">
        <v>3</v>
      </c>
      <c r="E187" s="50">
        <v>3</v>
      </c>
      <c r="F187" s="50">
        <v>0</v>
      </c>
      <c r="G187" s="50">
        <v>1</v>
      </c>
      <c r="H187" s="50">
        <v>3</v>
      </c>
      <c r="I187" s="50" t="s">
        <v>639</v>
      </c>
      <c r="J187" s="50" t="s">
        <v>639</v>
      </c>
      <c r="K187" s="50">
        <v>38</v>
      </c>
      <c r="L187" s="50" t="s">
        <v>6</v>
      </c>
      <c r="M187" s="50"/>
      <c r="N187" s="49"/>
    </row>
    <row r="188" spans="1:14" ht="14.25" customHeight="1">
      <c r="A188" s="54" t="s">
        <v>21</v>
      </c>
      <c r="B188" s="56" t="s">
        <v>232</v>
      </c>
      <c r="C188" s="54" t="s">
        <v>234</v>
      </c>
      <c r="D188" s="55">
        <v>2</v>
      </c>
      <c r="E188" s="55">
        <v>2</v>
      </c>
      <c r="F188" s="55">
        <v>0</v>
      </c>
      <c r="G188" s="55">
        <v>1</v>
      </c>
      <c r="H188" s="55">
        <v>2</v>
      </c>
      <c r="I188" s="55" t="s">
        <v>588</v>
      </c>
      <c r="J188" s="55" t="s">
        <v>588</v>
      </c>
      <c r="K188" s="55">
        <v>39</v>
      </c>
      <c r="L188" s="55" t="s">
        <v>6</v>
      </c>
      <c r="M188" s="55"/>
      <c r="N188" s="54"/>
    </row>
    <row r="189" spans="1:14" ht="14.25" customHeight="1">
      <c r="A189" s="49" t="s">
        <v>21</v>
      </c>
      <c r="B189" s="53" t="s">
        <v>232</v>
      </c>
      <c r="C189" s="49" t="s">
        <v>233</v>
      </c>
      <c r="D189" s="50">
        <v>1</v>
      </c>
      <c r="E189" s="50">
        <v>1</v>
      </c>
      <c r="F189" s="50">
        <v>0</v>
      </c>
      <c r="G189" s="50">
        <v>1</v>
      </c>
      <c r="H189" s="50">
        <v>1</v>
      </c>
      <c r="I189" s="50" t="s">
        <v>588</v>
      </c>
      <c r="J189" s="50" t="s">
        <v>588</v>
      </c>
      <c r="K189" s="50">
        <v>39</v>
      </c>
      <c r="L189" s="50" t="s">
        <v>6</v>
      </c>
      <c r="M189" s="50"/>
      <c r="N189" s="49"/>
    </row>
    <row r="190" spans="1:14" ht="14.25" customHeight="1">
      <c r="A190" s="54" t="s">
        <v>21</v>
      </c>
      <c r="B190" s="56" t="s">
        <v>180</v>
      </c>
      <c r="C190" s="54" t="s">
        <v>181</v>
      </c>
      <c r="D190" s="55">
        <v>2</v>
      </c>
      <c r="E190" s="55">
        <v>2</v>
      </c>
      <c r="F190" s="55">
        <v>0</v>
      </c>
      <c r="G190" s="55">
        <v>1</v>
      </c>
      <c r="H190" s="55">
        <v>2</v>
      </c>
      <c r="I190" s="55" t="s">
        <v>640</v>
      </c>
      <c r="J190" s="55" t="s">
        <v>640</v>
      </c>
      <c r="K190" s="55">
        <v>40</v>
      </c>
      <c r="L190" s="55" t="s">
        <v>6</v>
      </c>
      <c r="M190" s="55"/>
      <c r="N190" s="54"/>
    </row>
    <row r="191" spans="1:14" ht="14.25" customHeight="1">
      <c r="A191" s="49" t="s">
        <v>21</v>
      </c>
      <c r="B191" s="49" t="s">
        <v>326</v>
      </c>
      <c r="C191" s="49" t="s">
        <v>327</v>
      </c>
      <c r="D191" s="50">
        <v>2</v>
      </c>
      <c r="E191" s="50">
        <v>2</v>
      </c>
      <c r="F191" s="50">
        <v>0</v>
      </c>
      <c r="G191" s="50">
        <v>1</v>
      </c>
      <c r="H191" s="50">
        <v>2</v>
      </c>
      <c r="I191" s="50" t="s">
        <v>640</v>
      </c>
      <c r="J191" s="50" t="s">
        <v>640</v>
      </c>
      <c r="K191" s="50">
        <v>40</v>
      </c>
      <c r="L191" s="50" t="s">
        <v>6</v>
      </c>
      <c r="M191" s="50"/>
      <c r="N191" s="49"/>
    </row>
    <row r="192" spans="1:14" ht="14.25" customHeight="1">
      <c r="A192" s="54" t="s">
        <v>21</v>
      </c>
      <c r="B192" s="54" t="s">
        <v>324</v>
      </c>
      <c r="C192" s="54" t="s">
        <v>325</v>
      </c>
      <c r="D192" s="55">
        <v>2</v>
      </c>
      <c r="E192" s="55">
        <v>2</v>
      </c>
      <c r="F192" s="55">
        <v>0</v>
      </c>
      <c r="G192" s="55">
        <v>1</v>
      </c>
      <c r="H192" s="55">
        <v>2</v>
      </c>
      <c r="I192" s="55" t="s">
        <v>594</v>
      </c>
      <c r="J192" s="55" t="s">
        <v>594</v>
      </c>
      <c r="K192" s="55">
        <v>41</v>
      </c>
      <c r="L192" s="55" t="s">
        <v>6</v>
      </c>
      <c r="M192" s="55"/>
      <c r="N192" s="54"/>
    </row>
    <row r="193" spans="1:14" ht="14.25" customHeight="1">
      <c r="A193" s="49" t="s">
        <v>21</v>
      </c>
      <c r="B193" s="53" t="s">
        <v>334</v>
      </c>
      <c r="C193" s="49" t="s">
        <v>335</v>
      </c>
      <c r="D193" s="50">
        <v>2</v>
      </c>
      <c r="E193" s="50">
        <v>2</v>
      </c>
      <c r="F193" s="50">
        <v>0</v>
      </c>
      <c r="G193" s="50">
        <v>1</v>
      </c>
      <c r="H193" s="50">
        <v>2</v>
      </c>
      <c r="I193" s="50" t="s">
        <v>594</v>
      </c>
      <c r="J193" s="50" t="s">
        <v>594</v>
      </c>
      <c r="K193" s="50">
        <v>41</v>
      </c>
      <c r="L193" s="50" t="s">
        <v>6</v>
      </c>
      <c r="M193" s="50"/>
      <c r="N193" s="49"/>
    </row>
    <row r="194" spans="1:14" ht="14.25" customHeight="1">
      <c r="A194" s="54" t="s">
        <v>21</v>
      </c>
      <c r="B194" s="54" t="s">
        <v>329</v>
      </c>
      <c r="C194" s="54" t="s">
        <v>330</v>
      </c>
      <c r="D194" s="55">
        <v>2</v>
      </c>
      <c r="E194" s="55">
        <v>2</v>
      </c>
      <c r="F194" s="55">
        <v>0</v>
      </c>
      <c r="G194" s="55">
        <v>1</v>
      </c>
      <c r="H194" s="55">
        <v>2</v>
      </c>
      <c r="I194" s="55" t="s">
        <v>595</v>
      </c>
      <c r="J194" s="55" t="s">
        <v>595</v>
      </c>
      <c r="K194" s="55">
        <v>42</v>
      </c>
      <c r="L194" s="55" t="s">
        <v>6</v>
      </c>
      <c r="M194" s="55"/>
      <c r="N194" s="54"/>
    </row>
    <row r="195" spans="1:14" ht="14.25" customHeight="1">
      <c r="A195" s="49" t="s">
        <v>21</v>
      </c>
      <c r="B195" s="49" t="s">
        <v>124</v>
      </c>
      <c r="C195" s="49" t="s">
        <v>694</v>
      </c>
      <c r="D195" s="50">
        <v>2</v>
      </c>
      <c r="E195" s="50">
        <v>2</v>
      </c>
      <c r="F195" s="50">
        <v>0</v>
      </c>
      <c r="G195" s="50">
        <v>1</v>
      </c>
      <c r="H195" s="50">
        <v>2</v>
      </c>
      <c r="I195" s="50" t="s">
        <v>595</v>
      </c>
      <c r="J195" s="50" t="s">
        <v>595</v>
      </c>
      <c r="K195" s="50">
        <v>42</v>
      </c>
      <c r="L195" s="50" t="s">
        <v>6</v>
      </c>
      <c r="M195" s="50"/>
      <c r="N195" s="49"/>
    </row>
    <row r="196" spans="1:14" ht="14.25" customHeight="1">
      <c r="A196" s="54" t="s">
        <v>21</v>
      </c>
      <c r="B196" s="54" t="s">
        <v>331</v>
      </c>
      <c r="C196" s="54" t="s">
        <v>332</v>
      </c>
      <c r="D196" s="55">
        <v>2</v>
      </c>
      <c r="E196" s="55">
        <v>2</v>
      </c>
      <c r="F196" s="55">
        <v>0</v>
      </c>
      <c r="G196" s="55">
        <v>1</v>
      </c>
      <c r="H196" s="55">
        <v>2</v>
      </c>
      <c r="I196" s="55" t="s">
        <v>641</v>
      </c>
      <c r="J196" s="55" t="s">
        <v>641</v>
      </c>
      <c r="K196" s="55">
        <v>43</v>
      </c>
      <c r="L196" s="55" t="s">
        <v>6</v>
      </c>
      <c r="M196" s="55"/>
      <c r="N196" s="54"/>
    </row>
    <row r="197" spans="1:14" ht="14.25" customHeight="1">
      <c r="A197" s="49" t="s">
        <v>21</v>
      </c>
      <c r="B197" s="53" t="s">
        <v>187</v>
      </c>
      <c r="C197" s="49" t="s">
        <v>153</v>
      </c>
      <c r="D197" s="50">
        <v>2</v>
      </c>
      <c r="E197" s="50">
        <v>2</v>
      </c>
      <c r="F197" s="50">
        <v>0</v>
      </c>
      <c r="G197" s="50">
        <v>1</v>
      </c>
      <c r="H197" s="50">
        <v>2</v>
      </c>
      <c r="I197" s="50" t="s">
        <v>641</v>
      </c>
      <c r="J197" s="50" t="s">
        <v>641</v>
      </c>
      <c r="K197" s="50">
        <v>43</v>
      </c>
      <c r="L197" s="50" t="s">
        <v>6</v>
      </c>
      <c r="M197" s="50"/>
      <c r="N197" s="49"/>
    </row>
    <row r="198" spans="1:14" ht="14.25" customHeight="1">
      <c r="A198" s="54" t="s">
        <v>21</v>
      </c>
      <c r="B198" s="56" t="s">
        <v>246</v>
      </c>
      <c r="C198" s="54" t="s">
        <v>247</v>
      </c>
      <c r="D198" s="55">
        <v>1</v>
      </c>
      <c r="E198" s="55">
        <v>1</v>
      </c>
      <c r="F198" s="55">
        <v>0</v>
      </c>
      <c r="G198" s="55">
        <v>1</v>
      </c>
      <c r="H198" s="55">
        <v>1</v>
      </c>
      <c r="I198" s="55" t="s">
        <v>642</v>
      </c>
      <c r="J198" s="55" t="s">
        <v>642</v>
      </c>
      <c r="K198" s="55">
        <v>44</v>
      </c>
      <c r="L198" s="55" t="s">
        <v>6</v>
      </c>
      <c r="M198" s="55"/>
      <c r="N198" s="54"/>
    </row>
    <row r="199" spans="1:14" ht="14.25" customHeight="1">
      <c r="A199" s="49" t="s">
        <v>21</v>
      </c>
      <c r="B199" s="53" t="s">
        <v>184</v>
      </c>
      <c r="C199" s="49" t="s">
        <v>185</v>
      </c>
      <c r="D199" s="50">
        <v>1</v>
      </c>
      <c r="E199" s="50">
        <v>1</v>
      </c>
      <c r="F199" s="50">
        <v>0</v>
      </c>
      <c r="G199" s="50">
        <v>1</v>
      </c>
      <c r="H199" s="50">
        <v>1</v>
      </c>
      <c r="I199" s="50" t="s">
        <v>642</v>
      </c>
      <c r="J199" s="50" t="s">
        <v>642</v>
      </c>
      <c r="K199" s="50">
        <v>44</v>
      </c>
      <c r="L199" s="50" t="s">
        <v>6</v>
      </c>
      <c r="M199" s="50"/>
      <c r="N199" s="49"/>
    </row>
    <row r="200" spans="1:14" ht="14.25" customHeight="1">
      <c r="A200" s="54" t="s">
        <v>21</v>
      </c>
      <c r="B200" s="56" t="s">
        <v>248</v>
      </c>
      <c r="C200" s="54" t="s">
        <v>249</v>
      </c>
      <c r="D200" s="55">
        <v>1</v>
      </c>
      <c r="E200" s="55">
        <v>1</v>
      </c>
      <c r="F200" s="55">
        <v>0</v>
      </c>
      <c r="G200" s="55">
        <v>1</v>
      </c>
      <c r="H200" s="55">
        <v>1</v>
      </c>
      <c r="I200" s="55" t="s">
        <v>642</v>
      </c>
      <c r="J200" s="55" t="s">
        <v>642</v>
      </c>
      <c r="K200" s="55">
        <v>44</v>
      </c>
      <c r="L200" s="55" t="s">
        <v>6</v>
      </c>
      <c r="M200" s="55"/>
      <c r="N200" s="54"/>
    </row>
    <row r="201" spans="1:14" ht="14.25" customHeight="1">
      <c r="A201" s="49" t="s">
        <v>21</v>
      </c>
      <c r="B201" s="53" t="s">
        <v>168</v>
      </c>
      <c r="C201" s="49" t="s">
        <v>169</v>
      </c>
      <c r="D201" s="50">
        <v>1</v>
      </c>
      <c r="E201" s="50">
        <v>1</v>
      </c>
      <c r="F201" s="50">
        <v>0</v>
      </c>
      <c r="G201" s="50">
        <v>1</v>
      </c>
      <c r="H201" s="50">
        <v>1</v>
      </c>
      <c r="I201" s="50" t="s">
        <v>642</v>
      </c>
      <c r="J201" s="50" t="s">
        <v>642</v>
      </c>
      <c r="K201" s="50">
        <v>44</v>
      </c>
      <c r="L201" s="50" t="s">
        <v>6</v>
      </c>
      <c r="M201" s="50"/>
      <c r="N201" s="49"/>
    </row>
    <row r="202" spans="1:14" ht="14.25" customHeight="1">
      <c r="A202" s="54" t="s">
        <v>21</v>
      </c>
      <c r="B202" s="56" t="s">
        <v>251</v>
      </c>
      <c r="C202" s="54" t="s">
        <v>252</v>
      </c>
      <c r="D202" s="55">
        <v>1</v>
      </c>
      <c r="E202" s="55">
        <v>1</v>
      </c>
      <c r="F202" s="55">
        <v>0</v>
      </c>
      <c r="G202" s="55">
        <v>1</v>
      </c>
      <c r="H202" s="55">
        <v>1</v>
      </c>
      <c r="I202" s="55" t="s">
        <v>643</v>
      </c>
      <c r="J202" s="55" t="s">
        <v>643</v>
      </c>
      <c r="K202" s="55">
        <v>45</v>
      </c>
      <c r="L202" s="55" t="s">
        <v>6</v>
      </c>
      <c r="M202" s="55"/>
      <c r="N202" s="54"/>
    </row>
    <row r="203" spans="1:14" ht="14.25" customHeight="1">
      <c r="A203" s="49" t="s">
        <v>21</v>
      </c>
      <c r="B203" s="53" t="s">
        <v>235</v>
      </c>
      <c r="C203" s="49" t="s">
        <v>236</v>
      </c>
      <c r="D203" s="50">
        <v>1</v>
      </c>
      <c r="E203" s="50">
        <v>1</v>
      </c>
      <c r="F203" s="50">
        <v>0</v>
      </c>
      <c r="G203" s="50">
        <v>1</v>
      </c>
      <c r="H203" s="50">
        <v>1</v>
      </c>
      <c r="I203" s="50" t="s">
        <v>643</v>
      </c>
      <c r="J203" s="50" t="s">
        <v>643</v>
      </c>
      <c r="K203" s="50">
        <v>45</v>
      </c>
      <c r="L203" s="50" t="s">
        <v>6</v>
      </c>
      <c r="M203" s="50"/>
      <c r="N203" s="49"/>
    </row>
    <row r="204" spans="1:14" ht="14.25" customHeight="1">
      <c r="A204" s="54" t="s">
        <v>21</v>
      </c>
      <c r="B204" s="56" t="s">
        <v>237</v>
      </c>
      <c r="C204" s="54" t="s">
        <v>238</v>
      </c>
      <c r="D204" s="55">
        <v>1</v>
      </c>
      <c r="E204" s="55">
        <v>1</v>
      </c>
      <c r="F204" s="55">
        <v>0</v>
      </c>
      <c r="G204" s="55">
        <v>1</v>
      </c>
      <c r="H204" s="55">
        <v>1</v>
      </c>
      <c r="I204" s="55" t="s">
        <v>643</v>
      </c>
      <c r="J204" s="55" t="s">
        <v>643</v>
      </c>
      <c r="K204" s="55">
        <v>45</v>
      </c>
      <c r="L204" s="55" t="s">
        <v>6</v>
      </c>
      <c r="M204" s="55"/>
      <c r="N204" s="54"/>
    </row>
    <row r="205" spans="1:14" ht="14.25" customHeight="1">
      <c r="A205" s="49" t="s">
        <v>21</v>
      </c>
      <c r="B205" s="53" t="s">
        <v>239</v>
      </c>
      <c r="C205" s="49" t="s">
        <v>240</v>
      </c>
      <c r="D205" s="50">
        <v>1</v>
      </c>
      <c r="E205" s="50">
        <v>1</v>
      </c>
      <c r="F205" s="50">
        <v>0</v>
      </c>
      <c r="G205" s="50">
        <v>1</v>
      </c>
      <c r="H205" s="50">
        <v>1</v>
      </c>
      <c r="I205" s="50" t="s">
        <v>643</v>
      </c>
      <c r="J205" s="50" t="s">
        <v>643</v>
      </c>
      <c r="K205" s="50">
        <v>45</v>
      </c>
      <c r="L205" s="50" t="s">
        <v>6</v>
      </c>
      <c r="M205" s="50"/>
      <c r="N205" s="49"/>
    </row>
    <row r="206" spans="1:14" ht="14.25" customHeight="1">
      <c r="A206" s="54" t="s">
        <v>21</v>
      </c>
      <c r="B206" s="56" t="s">
        <v>241</v>
      </c>
      <c r="C206" s="54" t="s">
        <v>242</v>
      </c>
      <c r="D206" s="55">
        <v>1</v>
      </c>
      <c r="E206" s="55">
        <v>1</v>
      </c>
      <c r="F206" s="55">
        <v>0</v>
      </c>
      <c r="G206" s="55">
        <v>1</v>
      </c>
      <c r="H206" s="55">
        <v>1</v>
      </c>
      <c r="I206" s="55" t="s">
        <v>580</v>
      </c>
      <c r="J206" s="55" t="s">
        <v>580</v>
      </c>
      <c r="K206" s="55">
        <v>46</v>
      </c>
      <c r="L206" s="55" t="s">
        <v>6</v>
      </c>
      <c r="M206" s="55"/>
      <c r="N206" s="54"/>
    </row>
    <row r="207" spans="1:14" ht="14.25" customHeight="1">
      <c r="A207" s="49" t="s">
        <v>21</v>
      </c>
      <c r="B207" s="53" t="s">
        <v>243</v>
      </c>
      <c r="C207" s="49" t="s">
        <v>244</v>
      </c>
      <c r="D207" s="50">
        <v>1</v>
      </c>
      <c r="E207" s="50">
        <v>1</v>
      </c>
      <c r="F207" s="50">
        <v>0</v>
      </c>
      <c r="G207" s="50">
        <v>1</v>
      </c>
      <c r="H207" s="50">
        <v>1</v>
      </c>
      <c r="I207" s="50" t="s">
        <v>580</v>
      </c>
      <c r="J207" s="50" t="s">
        <v>580</v>
      </c>
      <c r="K207" s="50">
        <v>46</v>
      </c>
      <c r="L207" s="50" t="s">
        <v>6</v>
      </c>
      <c r="M207" s="50"/>
      <c r="N207" s="49"/>
    </row>
    <row r="208" spans="1:14" ht="14.25" customHeight="1">
      <c r="A208" s="54" t="s">
        <v>21</v>
      </c>
      <c r="B208" s="56" t="s">
        <v>253</v>
      </c>
      <c r="C208" s="54" t="s">
        <v>254</v>
      </c>
      <c r="D208" s="55">
        <v>1</v>
      </c>
      <c r="E208" s="55">
        <v>1</v>
      </c>
      <c r="F208" s="55">
        <v>0</v>
      </c>
      <c r="G208" s="55">
        <v>1</v>
      </c>
      <c r="H208" s="55">
        <v>1</v>
      </c>
      <c r="I208" s="55" t="s">
        <v>580</v>
      </c>
      <c r="J208" s="55" t="s">
        <v>580</v>
      </c>
      <c r="K208" s="55">
        <v>46</v>
      </c>
      <c r="L208" s="55" t="s">
        <v>6</v>
      </c>
      <c r="M208" s="55"/>
      <c r="N208" s="54"/>
    </row>
    <row r="209" spans="1:14" ht="14.25" customHeight="1">
      <c r="A209" s="49" t="s">
        <v>21</v>
      </c>
      <c r="B209" s="53" t="s">
        <v>182</v>
      </c>
      <c r="C209" s="49" t="s">
        <v>183</v>
      </c>
      <c r="D209" s="50">
        <v>1</v>
      </c>
      <c r="E209" s="50">
        <v>1</v>
      </c>
      <c r="F209" s="50">
        <v>0</v>
      </c>
      <c r="G209" s="50">
        <v>1</v>
      </c>
      <c r="H209" s="50">
        <v>1</v>
      </c>
      <c r="I209" s="50" t="s">
        <v>580</v>
      </c>
      <c r="J209" s="50" t="s">
        <v>580</v>
      </c>
      <c r="K209" s="50">
        <v>46</v>
      </c>
      <c r="L209" s="50" t="s">
        <v>6</v>
      </c>
      <c r="M209" s="50"/>
      <c r="N209" s="49"/>
    </row>
    <row r="210" spans="1:14" ht="14.25" customHeight="1">
      <c r="A210" s="54" t="s">
        <v>22</v>
      </c>
      <c r="B210" s="56" t="s">
        <v>512</v>
      </c>
      <c r="C210" s="54" t="s">
        <v>77</v>
      </c>
      <c r="D210" s="55">
        <v>44</v>
      </c>
      <c r="E210" s="55">
        <v>0</v>
      </c>
      <c r="F210" s="55">
        <v>44</v>
      </c>
      <c r="G210" s="55">
        <v>10</v>
      </c>
      <c r="H210" s="55">
        <v>4.4000000000000004</v>
      </c>
      <c r="I210" s="55" t="s">
        <v>581</v>
      </c>
      <c r="J210" s="55" t="s">
        <v>620</v>
      </c>
      <c r="K210" s="55">
        <v>1</v>
      </c>
      <c r="L210" s="55" t="s">
        <v>6</v>
      </c>
      <c r="M210" s="55"/>
      <c r="N210" s="54"/>
    </row>
    <row r="211" spans="1:14" ht="14.25" customHeight="1">
      <c r="A211" s="49" t="s">
        <v>22</v>
      </c>
      <c r="B211" s="53" t="s">
        <v>512</v>
      </c>
      <c r="C211" s="49" t="s">
        <v>530</v>
      </c>
      <c r="D211" s="50">
        <v>9</v>
      </c>
      <c r="E211" s="50">
        <v>9</v>
      </c>
      <c r="F211" s="50">
        <v>0</v>
      </c>
      <c r="G211" s="50">
        <v>2</v>
      </c>
      <c r="H211" s="50">
        <v>4.5</v>
      </c>
      <c r="I211" s="50" t="s">
        <v>621</v>
      </c>
      <c r="J211" s="50" t="s">
        <v>692</v>
      </c>
      <c r="K211" s="50">
        <v>11</v>
      </c>
      <c r="L211" s="50" t="s">
        <v>6</v>
      </c>
      <c r="M211" s="50"/>
      <c r="N211" s="49"/>
    </row>
    <row r="212" spans="1:14" ht="14.25" customHeight="1">
      <c r="A212" s="54" t="s">
        <v>22</v>
      </c>
      <c r="B212" s="56" t="s">
        <v>512</v>
      </c>
      <c r="C212" s="54" t="s">
        <v>514</v>
      </c>
      <c r="D212" s="55">
        <v>6</v>
      </c>
      <c r="E212" s="55">
        <v>6</v>
      </c>
      <c r="F212" s="55">
        <v>0</v>
      </c>
      <c r="G212" s="55">
        <v>1</v>
      </c>
      <c r="H212" s="55">
        <v>6</v>
      </c>
      <c r="I212" s="55" t="s">
        <v>622</v>
      </c>
      <c r="J212" s="55" t="s">
        <v>622</v>
      </c>
      <c r="K212" s="55">
        <v>13</v>
      </c>
      <c r="L212" s="55" t="s">
        <v>6</v>
      </c>
      <c r="M212" s="55"/>
      <c r="N212" s="54"/>
    </row>
    <row r="213" spans="1:14" ht="14.25" customHeight="1">
      <c r="A213" s="49" t="s">
        <v>22</v>
      </c>
      <c r="B213" s="53" t="s">
        <v>512</v>
      </c>
      <c r="C213" s="49" t="s">
        <v>521</v>
      </c>
      <c r="D213" s="50">
        <v>6</v>
      </c>
      <c r="E213" s="50">
        <v>6</v>
      </c>
      <c r="F213" s="50">
        <v>0</v>
      </c>
      <c r="G213" s="50">
        <v>1</v>
      </c>
      <c r="H213" s="50">
        <v>6</v>
      </c>
      <c r="I213" s="50" t="s">
        <v>622</v>
      </c>
      <c r="J213" s="50" t="s">
        <v>622</v>
      </c>
      <c r="K213" s="50">
        <v>13</v>
      </c>
      <c r="L213" s="50" t="s">
        <v>6</v>
      </c>
      <c r="M213" s="50"/>
      <c r="N213" s="49"/>
    </row>
    <row r="214" spans="1:14" ht="14.25" customHeight="1">
      <c r="A214" s="54" t="s">
        <v>22</v>
      </c>
      <c r="B214" s="56" t="s">
        <v>512</v>
      </c>
      <c r="C214" s="54" t="s">
        <v>532</v>
      </c>
      <c r="D214" s="55">
        <v>6</v>
      </c>
      <c r="E214" s="55">
        <v>6</v>
      </c>
      <c r="F214" s="55">
        <v>0</v>
      </c>
      <c r="G214" s="55">
        <v>1</v>
      </c>
      <c r="H214" s="55">
        <v>6</v>
      </c>
      <c r="I214" s="55" t="s">
        <v>623</v>
      </c>
      <c r="J214" s="55" t="s">
        <v>623</v>
      </c>
      <c r="K214" s="55">
        <v>14</v>
      </c>
      <c r="L214" s="55" t="s">
        <v>6</v>
      </c>
      <c r="M214" s="55"/>
      <c r="N214" s="54"/>
    </row>
    <row r="215" spans="1:14" ht="14.25" customHeight="1">
      <c r="A215" s="49" t="s">
        <v>22</v>
      </c>
      <c r="B215" s="53" t="s">
        <v>512</v>
      </c>
      <c r="C215" s="49" t="s">
        <v>515</v>
      </c>
      <c r="D215" s="50">
        <v>6</v>
      </c>
      <c r="E215" s="50">
        <v>6</v>
      </c>
      <c r="F215" s="50">
        <v>0</v>
      </c>
      <c r="G215" s="50">
        <v>1</v>
      </c>
      <c r="H215" s="50">
        <v>6</v>
      </c>
      <c r="I215" s="50" t="s">
        <v>585</v>
      </c>
      <c r="J215" s="50" t="s">
        <v>585</v>
      </c>
      <c r="K215" s="50">
        <v>15</v>
      </c>
      <c r="L215" s="50" t="s">
        <v>6</v>
      </c>
      <c r="M215" s="50"/>
      <c r="N215" s="49"/>
    </row>
    <row r="216" spans="1:14" ht="14.25" customHeight="1">
      <c r="A216" s="54" t="s">
        <v>22</v>
      </c>
      <c r="B216" s="56" t="s">
        <v>512</v>
      </c>
      <c r="C216" s="54" t="s">
        <v>525</v>
      </c>
      <c r="D216" s="55">
        <v>6</v>
      </c>
      <c r="E216" s="55">
        <v>6</v>
      </c>
      <c r="F216" s="55">
        <v>0</v>
      </c>
      <c r="G216" s="55">
        <v>1</v>
      </c>
      <c r="H216" s="55">
        <v>6</v>
      </c>
      <c r="I216" s="55" t="s">
        <v>624</v>
      </c>
      <c r="J216" s="55" t="s">
        <v>624</v>
      </c>
      <c r="K216" s="55">
        <v>16</v>
      </c>
      <c r="L216" s="55" t="s">
        <v>6</v>
      </c>
      <c r="M216" s="55"/>
      <c r="N216" s="54"/>
    </row>
    <row r="217" spans="1:14" ht="14.25" customHeight="1">
      <c r="A217" s="49" t="s">
        <v>22</v>
      </c>
      <c r="B217" s="53" t="s">
        <v>512</v>
      </c>
      <c r="C217" s="49" t="s">
        <v>522</v>
      </c>
      <c r="D217" s="50">
        <v>6</v>
      </c>
      <c r="E217" s="50">
        <v>6</v>
      </c>
      <c r="F217" s="50">
        <v>0</v>
      </c>
      <c r="G217" s="50">
        <v>1</v>
      </c>
      <c r="H217" s="50">
        <v>6</v>
      </c>
      <c r="I217" s="50" t="s">
        <v>625</v>
      </c>
      <c r="J217" s="50" t="s">
        <v>625</v>
      </c>
      <c r="K217" s="50">
        <v>17</v>
      </c>
      <c r="L217" s="50" t="s">
        <v>6</v>
      </c>
      <c r="M217" s="50"/>
      <c r="N217" s="49"/>
    </row>
    <row r="218" spans="1:14" ht="14.25" customHeight="1">
      <c r="A218" s="54" t="s">
        <v>22</v>
      </c>
      <c r="B218" s="56" t="s">
        <v>512</v>
      </c>
      <c r="C218" s="54" t="s">
        <v>531</v>
      </c>
      <c r="D218" s="55">
        <v>6</v>
      </c>
      <c r="E218" s="55">
        <v>6</v>
      </c>
      <c r="F218" s="55">
        <v>0</v>
      </c>
      <c r="G218" s="55">
        <v>1</v>
      </c>
      <c r="H218" s="55">
        <v>6</v>
      </c>
      <c r="I218" s="55" t="s">
        <v>626</v>
      </c>
      <c r="J218" s="55" t="s">
        <v>626</v>
      </c>
      <c r="K218" s="55">
        <v>18</v>
      </c>
      <c r="L218" s="55" t="s">
        <v>6</v>
      </c>
      <c r="M218" s="55"/>
      <c r="N218" s="54"/>
    </row>
    <row r="219" spans="1:14" ht="14.25" customHeight="1">
      <c r="A219" s="49" t="s">
        <v>22</v>
      </c>
      <c r="B219" s="53" t="s">
        <v>512</v>
      </c>
      <c r="C219" s="49" t="s">
        <v>520</v>
      </c>
      <c r="D219" s="50">
        <v>6</v>
      </c>
      <c r="E219" s="50">
        <v>6</v>
      </c>
      <c r="F219" s="50">
        <v>0</v>
      </c>
      <c r="G219" s="50">
        <v>1</v>
      </c>
      <c r="H219" s="50">
        <v>6</v>
      </c>
      <c r="I219" s="50" t="s">
        <v>627</v>
      </c>
      <c r="J219" s="50" t="s">
        <v>627</v>
      </c>
      <c r="K219" s="50">
        <v>19</v>
      </c>
      <c r="L219" s="50" t="s">
        <v>6</v>
      </c>
      <c r="M219" s="50"/>
      <c r="N219" s="49"/>
    </row>
    <row r="220" spans="1:14" ht="14.25" customHeight="1">
      <c r="A220" s="54" t="s">
        <v>22</v>
      </c>
      <c r="B220" s="56" t="s">
        <v>512</v>
      </c>
      <c r="C220" s="54" t="s">
        <v>519</v>
      </c>
      <c r="D220" s="55">
        <v>6</v>
      </c>
      <c r="E220" s="55">
        <v>6</v>
      </c>
      <c r="F220" s="55">
        <v>0</v>
      </c>
      <c r="G220" s="55">
        <v>1</v>
      </c>
      <c r="H220" s="55">
        <v>6</v>
      </c>
      <c r="I220" s="55" t="s">
        <v>628</v>
      </c>
      <c r="J220" s="55" t="s">
        <v>628</v>
      </c>
      <c r="K220" s="55">
        <v>20</v>
      </c>
      <c r="L220" s="55" t="s">
        <v>6</v>
      </c>
      <c r="M220" s="55"/>
      <c r="N220" s="54"/>
    </row>
    <row r="221" spans="1:14" ht="14.25" customHeight="1">
      <c r="A221" s="49" t="s">
        <v>22</v>
      </c>
      <c r="B221" s="53" t="s">
        <v>512</v>
      </c>
      <c r="C221" s="49" t="s">
        <v>518</v>
      </c>
      <c r="D221" s="50">
        <v>6</v>
      </c>
      <c r="E221" s="50">
        <v>6</v>
      </c>
      <c r="F221" s="50">
        <v>0</v>
      </c>
      <c r="G221" s="50">
        <v>1</v>
      </c>
      <c r="H221" s="50">
        <v>6</v>
      </c>
      <c r="I221" s="50" t="s">
        <v>629</v>
      </c>
      <c r="J221" s="50" t="s">
        <v>629</v>
      </c>
      <c r="K221" s="50">
        <v>21</v>
      </c>
      <c r="L221" s="50" t="s">
        <v>6</v>
      </c>
      <c r="M221" s="50"/>
      <c r="N221" s="49"/>
    </row>
    <row r="222" spans="1:14" ht="14.25" customHeight="1">
      <c r="A222" s="54" t="s">
        <v>22</v>
      </c>
      <c r="B222" s="56" t="s">
        <v>512</v>
      </c>
      <c r="C222" s="54" t="s">
        <v>516</v>
      </c>
      <c r="D222" s="55">
        <v>6</v>
      </c>
      <c r="E222" s="55">
        <v>6</v>
      </c>
      <c r="F222" s="55">
        <v>0</v>
      </c>
      <c r="G222" s="55">
        <v>1</v>
      </c>
      <c r="H222" s="55">
        <v>6</v>
      </c>
      <c r="I222" s="55" t="s">
        <v>630</v>
      </c>
      <c r="J222" s="55" t="s">
        <v>630</v>
      </c>
      <c r="K222" s="55">
        <v>22</v>
      </c>
      <c r="L222" s="55" t="s">
        <v>6</v>
      </c>
      <c r="M222" s="55"/>
      <c r="N222" s="54"/>
    </row>
    <row r="223" spans="1:14" ht="14.25" customHeight="1">
      <c r="A223" s="49" t="s">
        <v>22</v>
      </c>
      <c r="B223" s="53" t="s">
        <v>512</v>
      </c>
      <c r="C223" s="49" t="s">
        <v>517</v>
      </c>
      <c r="D223" s="50">
        <v>6</v>
      </c>
      <c r="E223" s="50">
        <v>6</v>
      </c>
      <c r="F223" s="50">
        <v>0</v>
      </c>
      <c r="G223" s="50">
        <v>1</v>
      </c>
      <c r="H223" s="50">
        <v>6</v>
      </c>
      <c r="I223" s="50" t="s">
        <v>631</v>
      </c>
      <c r="J223" s="50" t="s">
        <v>631</v>
      </c>
      <c r="K223" s="50">
        <v>23</v>
      </c>
      <c r="L223" s="50" t="s">
        <v>6</v>
      </c>
      <c r="M223" s="50"/>
      <c r="N223" s="49"/>
    </row>
    <row r="224" spans="1:14" ht="14.25" customHeight="1">
      <c r="A224" s="54" t="s">
        <v>22</v>
      </c>
      <c r="B224" s="56" t="s">
        <v>512</v>
      </c>
      <c r="C224" s="54" t="s">
        <v>561</v>
      </c>
      <c r="D224" s="55">
        <v>5</v>
      </c>
      <c r="E224" s="55">
        <v>5</v>
      </c>
      <c r="F224" s="55">
        <v>0</v>
      </c>
      <c r="G224" s="55">
        <v>1</v>
      </c>
      <c r="H224" s="55">
        <v>5</v>
      </c>
      <c r="I224" s="55" t="s">
        <v>632</v>
      </c>
      <c r="J224" s="55" t="s">
        <v>632</v>
      </c>
      <c r="K224" s="55">
        <v>24</v>
      </c>
      <c r="L224" s="55" t="s">
        <v>6</v>
      </c>
      <c r="M224" s="55"/>
      <c r="N224" s="54"/>
    </row>
    <row r="225" spans="1:14" ht="14.25" customHeight="1">
      <c r="A225" s="49" t="s">
        <v>22</v>
      </c>
      <c r="B225" s="53" t="s">
        <v>512</v>
      </c>
      <c r="C225" s="49" t="s">
        <v>558</v>
      </c>
      <c r="D225" s="50">
        <v>5</v>
      </c>
      <c r="E225" s="50">
        <v>5</v>
      </c>
      <c r="F225" s="50">
        <v>0</v>
      </c>
      <c r="G225" s="50">
        <v>1</v>
      </c>
      <c r="H225" s="50">
        <v>5</v>
      </c>
      <c r="I225" s="50" t="s">
        <v>633</v>
      </c>
      <c r="J225" s="50" t="s">
        <v>633</v>
      </c>
      <c r="K225" s="50">
        <v>25</v>
      </c>
      <c r="L225" s="50" t="s">
        <v>6</v>
      </c>
      <c r="M225" s="50"/>
      <c r="N225" s="49"/>
    </row>
    <row r="226" spans="1:14" ht="14.25" customHeight="1">
      <c r="A226" s="54" t="s">
        <v>22</v>
      </c>
      <c r="B226" s="56" t="s">
        <v>512</v>
      </c>
      <c r="C226" s="54" t="s">
        <v>513</v>
      </c>
      <c r="D226" s="55">
        <v>5</v>
      </c>
      <c r="E226" s="55">
        <v>5</v>
      </c>
      <c r="F226" s="55">
        <v>0</v>
      </c>
      <c r="G226" s="55">
        <v>1</v>
      </c>
      <c r="H226" s="55">
        <v>5</v>
      </c>
      <c r="I226" s="55" t="s">
        <v>634</v>
      </c>
      <c r="J226" s="55" t="s">
        <v>634</v>
      </c>
      <c r="K226" s="55">
        <v>26</v>
      </c>
      <c r="L226" s="55" t="s">
        <v>6</v>
      </c>
      <c r="M226" s="55"/>
      <c r="N226" s="54"/>
    </row>
    <row r="227" spans="1:14" ht="14.25" customHeight="1">
      <c r="A227" s="49" t="s">
        <v>22</v>
      </c>
      <c r="B227" s="53" t="s">
        <v>512</v>
      </c>
      <c r="C227" s="49" t="s">
        <v>556</v>
      </c>
      <c r="D227" s="50">
        <v>4</v>
      </c>
      <c r="E227" s="50">
        <v>4</v>
      </c>
      <c r="F227" s="50">
        <v>0</v>
      </c>
      <c r="G227" s="50">
        <v>1</v>
      </c>
      <c r="H227" s="50">
        <v>4</v>
      </c>
      <c r="I227" s="50" t="s">
        <v>635</v>
      </c>
      <c r="J227" s="50" t="s">
        <v>635</v>
      </c>
      <c r="K227" s="50">
        <v>27</v>
      </c>
      <c r="L227" s="50" t="s">
        <v>6</v>
      </c>
      <c r="M227" s="50"/>
      <c r="N227" s="49"/>
    </row>
    <row r="228" spans="1:14" ht="14.25" customHeight="1">
      <c r="A228" s="54" t="s">
        <v>22</v>
      </c>
      <c r="B228" s="56" t="s">
        <v>512</v>
      </c>
      <c r="C228" s="54" t="s">
        <v>526</v>
      </c>
      <c r="D228" s="55">
        <v>4</v>
      </c>
      <c r="E228" s="55">
        <v>4</v>
      </c>
      <c r="F228" s="55">
        <v>0</v>
      </c>
      <c r="G228" s="55">
        <v>1</v>
      </c>
      <c r="H228" s="55">
        <v>4</v>
      </c>
      <c r="I228" s="55" t="s">
        <v>636</v>
      </c>
      <c r="J228" s="55" t="s">
        <v>636</v>
      </c>
      <c r="K228" s="55">
        <v>28</v>
      </c>
      <c r="L228" s="55" t="s">
        <v>6</v>
      </c>
      <c r="M228" s="55"/>
      <c r="N228" s="54"/>
    </row>
    <row r="229" spans="1:14" ht="14.25" customHeight="1">
      <c r="A229" s="49" t="s">
        <v>22</v>
      </c>
      <c r="B229" s="53" t="s">
        <v>512</v>
      </c>
      <c r="C229" s="49" t="s">
        <v>533</v>
      </c>
      <c r="D229" s="50">
        <v>4</v>
      </c>
      <c r="E229" s="50">
        <v>4</v>
      </c>
      <c r="F229" s="50">
        <v>0</v>
      </c>
      <c r="G229" s="50">
        <v>1</v>
      </c>
      <c r="H229" s="50">
        <v>4</v>
      </c>
      <c r="I229" s="50" t="s">
        <v>637</v>
      </c>
      <c r="J229" s="50" t="s">
        <v>637</v>
      </c>
      <c r="K229" s="50">
        <v>29</v>
      </c>
      <c r="L229" s="50" t="s">
        <v>6</v>
      </c>
      <c r="M229" s="50"/>
      <c r="N229" s="49"/>
    </row>
    <row r="230" spans="1:14" ht="14.25" customHeight="1">
      <c r="A230" s="54" t="s">
        <v>22</v>
      </c>
      <c r="B230" s="56" t="s">
        <v>512</v>
      </c>
      <c r="C230" s="54" t="s">
        <v>560</v>
      </c>
      <c r="D230" s="55">
        <v>4</v>
      </c>
      <c r="E230" s="55">
        <v>4</v>
      </c>
      <c r="F230" s="55">
        <v>0</v>
      </c>
      <c r="G230" s="55">
        <v>1</v>
      </c>
      <c r="H230" s="55">
        <v>4</v>
      </c>
      <c r="I230" s="55" t="s">
        <v>638</v>
      </c>
      <c r="J230" s="55" t="s">
        <v>638</v>
      </c>
      <c r="K230" s="55">
        <v>30</v>
      </c>
      <c r="L230" s="55" t="s">
        <v>6</v>
      </c>
      <c r="M230" s="55"/>
      <c r="N230" s="54"/>
    </row>
    <row r="231" spans="1:14" ht="14.25" customHeight="1">
      <c r="A231" s="49" t="s">
        <v>22</v>
      </c>
      <c r="B231" s="53" t="s">
        <v>512</v>
      </c>
      <c r="C231" s="49" t="s">
        <v>554</v>
      </c>
      <c r="D231" s="50">
        <v>3</v>
      </c>
      <c r="E231" s="50">
        <v>3</v>
      </c>
      <c r="F231" s="50">
        <v>0</v>
      </c>
      <c r="G231" s="50">
        <v>1</v>
      </c>
      <c r="H231" s="50">
        <v>3</v>
      </c>
      <c r="I231" s="50" t="s">
        <v>639</v>
      </c>
      <c r="J231" s="50" t="s">
        <v>639</v>
      </c>
      <c r="K231" s="50">
        <v>31</v>
      </c>
      <c r="L231" s="50" t="s">
        <v>6</v>
      </c>
      <c r="M231" s="50"/>
      <c r="N231" s="49"/>
    </row>
    <row r="232" spans="1:14" ht="14.25" customHeight="1">
      <c r="A232" s="54" t="s">
        <v>22</v>
      </c>
      <c r="B232" s="56" t="s">
        <v>512</v>
      </c>
      <c r="C232" s="54" t="s">
        <v>553</v>
      </c>
      <c r="D232" s="55">
        <v>3</v>
      </c>
      <c r="E232" s="55">
        <v>3</v>
      </c>
      <c r="F232" s="55">
        <v>0</v>
      </c>
      <c r="G232" s="55">
        <v>1</v>
      </c>
      <c r="H232" s="55">
        <v>3</v>
      </c>
      <c r="I232" s="55" t="s">
        <v>588</v>
      </c>
      <c r="J232" s="55" t="s">
        <v>588</v>
      </c>
      <c r="K232" s="55">
        <v>32</v>
      </c>
      <c r="L232" s="55" t="s">
        <v>6</v>
      </c>
      <c r="M232" s="55"/>
      <c r="N232" s="54"/>
    </row>
    <row r="233" spans="1:14" ht="14.25" customHeight="1">
      <c r="A233" s="49" t="s">
        <v>22</v>
      </c>
      <c r="B233" s="53" t="s">
        <v>512</v>
      </c>
      <c r="C233" s="49" t="s">
        <v>552</v>
      </c>
      <c r="D233" s="50">
        <v>3</v>
      </c>
      <c r="E233" s="50">
        <v>3</v>
      </c>
      <c r="F233" s="50">
        <v>0</v>
      </c>
      <c r="G233" s="50">
        <v>1</v>
      </c>
      <c r="H233" s="50">
        <v>3</v>
      </c>
      <c r="I233" s="50" t="s">
        <v>640</v>
      </c>
      <c r="J233" s="50" t="s">
        <v>640</v>
      </c>
      <c r="K233" s="50">
        <v>33</v>
      </c>
      <c r="L233" s="50" t="s">
        <v>6</v>
      </c>
      <c r="M233" s="50"/>
      <c r="N233" s="49"/>
    </row>
    <row r="234" spans="1:14" ht="14.25" customHeight="1">
      <c r="A234" s="54" t="s">
        <v>22</v>
      </c>
      <c r="B234" s="56" t="s">
        <v>512</v>
      </c>
      <c r="C234" s="54" t="s">
        <v>541</v>
      </c>
      <c r="D234" s="55">
        <v>3</v>
      </c>
      <c r="E234" s="55">
        <v>3</v>
      </c>
      <c r="F234" s="55">
        <v>0</v>
      </c>
      <c r="G234" s="55">
        <v>1</v>
      </c>
      <c r="H234" s="55">
        <v>3</v>
      </c>
      <c r="I234" s="55" t="s">
        <v>594</v>
      </c>
      <c r="J234" s="55" t="s">
        <v>594</v>
      </c>
      <c r="K234" s="55">
        <v>34</v>
      </c>
      <c r="L234" s="55" t="s">
        <v>6</v>
      </c>
      <c r="M234" s="55"/>
      <c r="N234" s="54"/>
    </row>
    <row r="235" spans="1:14" ht="14.25" customHeight="1">
      <c r="A235" s="49" t="s">
        <v>22</v>
      </c>
      <c r="B235" s="53" t="s">
        <v>512</v>
      </c>
      <c r="C235" s="49" t="s">
        <v>551</v>
      </c>
      <c r="D235" s="50">
        <v>3</v>
      </c>
      <c r="E235" s="50">
        <v>3</v>
      </c>
      <c r="F235" s="50">
        <v>0</v>
      </c>
      <c r="G235" s="50">
        <v>1</v>
      </c>
      <c r="H235" s="50">
        <v>3</v>
      </c>
      <c r="I235" s="50" t="s">
        <v>595</v>
      </c>
      <c r="J235" s="50" t="s">
        <v>595</v>
      </c>
      <c r="K235" s="50">
        <v>35</v>
      </c>
      <c r="L235" s="50" t="s">
        <v>6</v>
      </c>
      <c r="M235" s="50"/>
      <c r="N235" s="49"/>
    </row>
    <row r="236" spans="1:14" ht="14.25" customHeight="1">
      <c r="A236" s="54" t="s">
        <v>22</v>
      </c>
      <c r="B236" s="56" t="s">
        <v>512</v>
      </c>
      <c r="C236" s="54" t="s">
        <v>555</v>
      </c>
      <c r="D236" s="55">
        <v>3</v>
      </c>
      <c r="E236" s="55">
        <v>3</v>
      </c>
      <c r="F236" s="55">
        <v>0</v>
      </c>
      <c r="G236" s="55">
        <v>1</v>
      </c>
      <c r="H236" s="55">
        <v>3</v>
      </c>
      <c r="I236" s="55" t="s">
        <v>641</v>
      </c>
      <c r="J236" s="55" t="s">
        <v>641</v>
      </c>
      <c r="K236" s="55">
        <v>36</v>
      </c>
      <c r="L236" s="55" t="s">
        <v>6</v>
      </c>
      <c r="M236" s="55"/>
      <c r="N236" s="54"/>
    </row>
    <row r="237" spans="1:14" ht="14.25" customHeight="1">
      <c r="A237" s="49" t="s">
        <v>22</v>
      </c>
      <c r="B237" s="53" t="s">
        <v>512</v>
      </c>
      <c r="C237" s="49" t="s">
        <v>534</v>
      </c>
      <c r="D237" s="50">
        <v>3</v>
      </c>
      <c r="E237" s="50">
        <v>3</v>
      </c>
      <c r="F237" s="50">
        <v>0</v>
      </c>
      <c r="G237" s="50">
        <v>1</v>
      </c>
      <c r="H237" s="50">
        <v>3</v>
      </c>
      <c r="I237" s="50" t="s">
        <v>642</v>
      </c>
      <c r="J237" s="50" t="s">
        <v>642</v>
      </c>
      <c r="K237" s="50">
        <v>37</v>
      </c>
      <c r="L237" s="50" t="s">
        <v>6</v>
      </c>
      <c r="M237" s="50"/>
      <c r="N237" s="49"/>
    </row>
    <row r="238" spans="1:14" ht="14.25" customHeight="1">
      <c r="A238" s="54" t="s">
        <v>22</v>
      </c>
      <c r="B238" s="56" t="s">
        <v>512</v>
      </c>
      <c r="C238" s="54" t="s">
        <v>529</v>
      </c>
      <c r="D238" s="55">
        <v>3</v>
      </c>
      <c r="E238" s="55">
        <v>3</v>
      </c>
      <c r="F238" s="55">
        <v>0</v>
      </c>
      <c r="G238" s="55">
        <v>1</v>
      </c>
      <c r="H238" s="55">
        <v>3</v>
      </c>
      <c r="I238" s="55" t="s">
        <v>643</v>
      </c>
      <c r="J238" s="55" t="s">
        <v>643</v>
      </c>
      <c r="K238" s="55">
        <v>38</v>
      </c>
      <c r="L238" s="55" t="s">
        <v>6</v>
      </c>
      <c r="M238" s="55"/>
      <c r="N238" s="54"/>
    </row>
    <row r="239" spans="1:14" ht="14.25" customHeight="1">
      <c r="A239" s="49" t="s">
        <v>22</v>
      </c>
      <c r="B239" s="53" t="s">
        <v>512</v>
      </c>
      <c r="C239" s="49" t="s">
        <v>527</v>
      </c>
      <c r="D239" s="50">
        <v>3</v>
      </c>
      <c r="E239" s="50">
        <v>3</v>
      </c>
      <c r="F239" s="50">
        <v>0</v>
      </c>
      <c r="G239" s="50">
        <v>1</v>
      </c>
      <c r="H239" s="50">
        <v>3</v>
      </c>
      <c r="I239" s="50" t="s">
        <v>580</v>
      </c>
      <c r="J239" s="50" t="s">
        <v>580</v>
      </c>
      <c r="K239" s="50">
        <v>39</v>
      </c>
      <c r="L239" s="50" t="s">
        <v>6</v>
      </c>
      <c r="M239" s="50"/>
      <c r="N239" s="49"/>
    </row>
    <row r="240" spans="1:14" ht="14.25" customHeight="1">
      <c r="A240" s="54" t="s">
        <v>22</v>
      </c>
      <c r="B240" s="56" t="s">
        <v>512</v>
      </c>
      <c r="C240" s="54" t="s">
        <v>524</v>
      </c>
      <c r="D240" s="55">
        <v>3</v>
      </c>
      <c r="E240" s="55">
        <v>3</v>
      </c>
      <c r="F240" s="55">
        <v>0</v>
      </c>
      <c r="G240" s="55">
        <v>1</v>
      </c>
      <c r="H240" s="55">
        <v>3</v>
      </c>
      <c r="I240" s="55" t="s">
        <v>644</v>
      </c>
      <c r="J240" s="55" t="s">
        <v>644</v>
      </c>
      <c r="K240" s="55">
        <v>40</v>
      </c>
      <c r="L240" s="55" t="s">
        <v>6</v>
      </c>
      <c r="M240" s="55"/>
      <c r="N240" s="54"/>
    </row>
    <row r="241" spans="1:14" ht="14.25" customHeight="1">
      <c r="A241" s="49" t="s">
        <v>22</v>
      </c>
      <c r="B241" s="53" t="s">
        <v>512</v>
      </c>
      <c r="C241" s="49" t="s">
        <v>557</v>
      </c>
      <c r="D241" s="50">
        <v>2</v>
      </c>
      <c r="E241" s="50">
        <v>2</v>
      </c>
      <c r="F241" s="50">
        <v>0</v>
      </c>
      <c r="G241" s="50">
        <v>1</v>
      </c>
      <c r="H241" s="50">
        <v>2</v>
      </c>
      <c r="I241" s="50" t="s">
        <v>650</v>
      </c>
      <c r="J241" s="50" t="s">
        <v>650</v>
      </c>
      <c r="K241" s="50">
        <v>41</v>
      </c>
      <c r="L241" s="50" t="s">
        <v>6</v>
      </c>
      <c r="M241" s="50"/>
      <c r="N241" s="49"/>
    </row>
    <row r="242" spans="1:14" ht="14.25" customHeight="1">
      <c r="A242" s="54" t="s">
        <v>22</v>
      </c>
      <c r="B242" s="56" t="s">
        <v>512</v>
      </c>
      <c r="C242" s="54" t="s">
        <v>559</v>
      </c>
      <c r="D242" s="55">
        <v>2</v>
      </c>
      <c r="E242" s="55">
        <v>2</v>
      </c>
      <c r="F242" s="55">
        <v>0</v>
      </c>
      <c r="G242" s="55">
        <v>1</v>
      </c>
      <c r="H242" s="55">
        <v>2</v>
      </c>
      <c r="I242" s="55" t="s">
        <v>651</v>
      </c>
      <c r="J242" s="55" t="s">
        <v>651</v>
      </c>
      <c r="K242" s="55">
        <v>42</v>
      </c>
      <c r="L242" s="55" t="s">
        <v>6</v>
      </c>
      <c r="M242" s="55"/>
      <c r="N242" s="54"/>
    </row>
    <row r="243" spans="1:14" ht="14.25" customHeight="1">
      <c r="A243" s="49" t="s">
        <v>22</v>
      </c>
      <c r="B243" s="53" t="s">
        <v>512</v>
      </c>
      <c r="C243" s="49" t="s">
        <v>548</v>
      </c>
      <c r="D243" s="50">
        <v>2</v>
      </c>
      <c r="E243" s="50">
        <v>2</v>
      </c>
      <c r="F243" s="50">
        <v>0</v>
      </c>
      <c r="G243" s="50">
        <v>1</v>
      </c>
      <c r="H243" s="50">
        <v>2</v>
      </c>
      <c r="I243" s="50" t="s">
        <v>651</v>
      </c>
      <c r="J243" s="50" t="s">
        <v>651</v>
      </c>
      <c r="K243" s="50">
        <v>42</v>
      </c>
      <c r="L243" s="50" t="s">
        <v>6</v>
      </c>
      <c r="M243" s="50"/>
      <c r="N243" s="49"/>
    </row>
    <row r="244" spans="1:14" ht="14.25" customHeight="1">
      <c r="A244" s="54" t="s">
        <v>22</v>
      </c>
      <c r="B244" s="56" t="s">
        <v>512</v>
      </c>
      <c r="C244" s="54" t="s">
        <v>562</v>
      </c>
      <c r="D244" s="55">
        <v>2</v>
      </c>
      <c r="E244" s="55">
        <v>2</v>
      </c>
      <c r="F244" s="55">
        <v>0</v>
      </c>
      <c r="G244" s="55">
        <v>1</v>
      </c>
      <c r="H244" s="55">
        <v>2</v>
      </c>
      <c r="I244" s="55" t="s">
        <v>654</v>
      </c>
      <c r="J244" s="55" t="s">
        <v>654</v>
      </c>
      <c r="K244" s="55">
        <v>43</v>
      </c>
      <c r="L244" s="55" t="s">
        <v>6</v>
      </c>
      <c r="M244" s="55"/>
      <c r="N244" s="54"/>
    </row>
    <row r="245" spans="1:14" ht="14.25" customHeight="1">
      <c r="A245" s="49" t="s">
        <v>22</v>
      </c>
      <c r="B245" s="53" t="s">
        <v>512</v>
      </c>
      <c r="C245" s="49" t="s">
        <v>549</v>
      </c>
      <c r="D245" s="50">
        <v>2</v>
      </c>
      <c r="E245" s="50">
        <v>2</v>
      </c>
      <c r="F245" s="50">
        <v>0</v>
      </c>
      <c r="G245" s="50">
        <v>1</v>
      </c>
      <c r="H245" s="50">
        <v>2</v>
      </c>
      <c r="I245" s="50" t="s">
        <v>654</v>
      </c>
      <c r="J245" s="50" t="s">
        <v>654</v>
      </c>
      <c r="K245" s="50">
        <v>43</v>
      </c>
      <c r="L245" s="50" t="s">
        <v>6</v>
      </c>
      <c r="M245" s="50"/>
      <c r="N245" s="49"/>
    </row>
    <row r="246" spans="1:14" ht="14.25" customHeight="1">
      <c r="A246" s="54" t="s">
        <v>22</v>
      </c>
      <c r="B246" s="56" t="s">
        <v>512</v>
      </c>
      <c r="C246" s="54" t="s">
        <v>540</v>
      </c>
      <c r="D246" s="55">
        <v>2</v>
      </c>
      <c r="E246" s="55">
        <v>2</v>
      </c>
      <c r="F246" s="55">
        <v>0</v>
      </c>
      <c r="G246" s="55">
        <v>1</v>
      </c>
      <c r="H246" s="55">
        <v>2</v>
      </c>
      <c r="I246" s="55" t="s">
        <v>655</v>
      </c>
      <c r="J246" s="55" t="s">
        <v>655</v>
      </c>
      <c r="K246" s="55">
        <v>44</v>
      </c>
      <c r="L246" s="55" t="s">
        <v>6</v>
      </c>
      <c r="M246" s="55"/>
      <c r="N246" s="54"/>
    </row>
    <row r="247" spans="1:14" ht="14.25" customHeight="1">
      <c r="A247" s="49" t="s">
        <v>22</v>
      </c>
      <c r="B247" s="53" t="s">
        <v>512</v>
      </c>
      <c r="C247" s="49" t="s">
        <v>547</v>
      </c>
      <c r="D247" s="50">
        <v>2</v>
      </c>
      <c r="E247" s="50">
        <v>2</v>
      </c>
      <c r="F247" s="50">
        <v>0</v>
      </c>
      <c r="G247" s="50">
        <v>1</v>
      </c>
      <c r="H247" s="50">
        <v>2</v>
      </c>
      <c r="I247" s="50" t="s">
        <v>655</v>
      </c>
      <c r="J247" s="50" t="s">
        <v>655</v>
      </c>
      <c r="K247" s="50">
        <v>44</v>
      </c>
      <c r="L247" s="50" t="s">
        <v>6</v>
      </c>
      <c r="M247" s="50"/>
      <c r="N247" s="49"/>
    </row>
    <row r="248" spans="1:14" ht="14.25" customHeight="1">
      <c r="A248" s="54" t="s">
        <v>22</v>
      </c>
      <c r="B248" s="56" t="s">
        <v>512</v>
      </c>
      <c r="C248" s="54" t="s">
        <v>539</v>
      </c>
      <c r="D248" s="55">
        <v>2</v>
      </c>
      <c r="E248" s="55">
        <v>2</v>
      </c>
      <c r="F248" s="55">
        <v>0</v>
      </c>
      <c r="G248" s="55">
        <v>1</v>
      </c>
      <c r="H248" s="55">
        <v>2</v>
      </c>
      <c r="I248" s="55" t="s">
        <v>656</v>
      </c>
      <c r="J248" s="55" t="s">
        <v>656</v>
      </c>
      <c r="K248" s="55">
        <v>45</v>
      </c>
      <c r="L248" s="55" t="s">
        <v>6</v>
      </c>
      <c r="M248" s="55"/>
      <c r="N248" s="54"/>
    </row>
    <row r="249" spans="1:14" ht="14.25" customHeight="1">
      <c r="A249" s="49" t="s">
        <v>22</v>
      </c>
      <c r="B249" s="53" t="s">
        <v>512</v>
      </c>
      <c r="C249" s="49" t="s">
        <v>523</v>
      </c>
      <c r="D249" s="50">
        <v>2</v>
      </c>
      <c r="E249" s="50">
        <v>2</v>
      </c>
      <c r="F249" s="50">
        <v>0</v>
      </c>
      <c r="G249" s="50">
        <v>1</v>
      </c>
      <c r="H249" s="50">
        <v>2</v>
      </c>
      <c r="I249" s="50" t="s">
        <v>656</v>
      </c>
      <c r="J249" s="50" t="s">
        <v>656</v>
      </c>
      <c r="K249" s="50">
        <v>45</v>
      </c>
      <c r="L249" s="50" t="s">
        <v>6</v>
      </c>
      <c r="M249" s="50"/>
      <c r="N249" s="49"/>
    </row>
    <row r="250" spans="1:14" ht="14.25" customHeight="1">
      <c r="A250" s="54" t="s">
        <v>22</v>
      </c>
      <c r="B250" s="56" t="s">
        <v>512</v>
      </c>
      <c r="C250" s="54" t="s">
        <v>528</v>
      </c>
      <c r="D250" s="55">
        <v>2</v>
      </c>
      <c r="E250" s="55">
        <v>2</v>
      </c>
      <c r="F250" s="55">
        <v>0</v>
      </c>
      <c r="G250" s="55">
        <v>1</v>
      </c>
      <c r="H250" s="55">
        <v>2</v>
      </c>
      <c r="I250" s="55" t="s">
        <v>656</v>
      </c>
      <c r="J250" s="55" t="s">
        <v>656</v>
      </c>
      <c r="K250" s="55">
        <v>45</v>
      </c>
      <c r="L250" s="55" t="s">
        <v>6</v>
      </c>
      <c r="M250" s="55"/>
      <c r="N250" s="54"/>
    </row>
    <row r="251" spans="1:14" ht="14.25" customHeight="1">
      <c r="A251" s="49" t="s">
        <v>22</v>
      </c>
      <c r="B251" s="53" t="s">
        <v>512</v>
      </c>
      <c r="C251" s="49" t="s">
        <v>535</v>
      </c>
      <c r="D251" s="50">
        <v>2</v>
      </c>
      <c r="E251" s="50">
        <v>2</v>
      </c>
      <c r="F251" s="50">
        <v>0</v>
      </c>
      <c r="G251" s="50">
        <v>1</v>
      </c>
      <c r="H251" s="50">
        <v>2</v>
      </c>
      <c r="I251" s="50" t="s">
        <v>586</v>
      </c>
      <c r="J251" s="50" t="s">
        <v>586</v>
      </c>
      <c r="K251" s="50">
        <v>46</v>
      </c>
      <c r="L251" s="50" t="s">
        <v>6</v>
      </c>
      <c r="M251" s="50"/>
      <c r="N251" s="49"/>
    </row>
    <row r="252" spans="1:14" ht="14.25" customHeight="1">
      <c r="A252" s="54" t="s">
        <v>22</v>
      </c>
      <c r="B252" s="56" t="s">
        <v>512</v>
      </c>
      <c r="C252" s="54" t="s">
        <v>537</v>
      </c>
      <c r="D252" s="55">
        <v>2</v>
      </c>
      <c r="E252" s="55">
        <v>2</v>
      </c>
      <c r="F252" s="55">
        <v>0</v>
      </c>
      <c r="G252" s="55">
        <v>1</v>
      </c>
      <c r="H252" s="55">
        <v>2</v>
      </c>
      <c r="I252" s="55" t="s">
        <v>586</v>
      </c>
      <c r="J252" s="55" t="s">
        <v>586</v>
      </c>
      <c r="K252" s="55">
        <v>46</v>
      </c>
      <c r="L252" s="55" t="s">
        <v>6</v>
      </c>
      <c r="M252" s="55"/>
      <c r="N252" s="54"/>
    </row>
    <row r="253" spans="1:14" ht="14.25" customHeight="1">
      <c r="A253" s="49" t="s">
        <v>22</v>
      </c>
      <c r="B253" s="53" t="s">
        <v>512</v>
      </c>
      <c r="C253" s="49" t="s">
        <v>538</v>
      </c>
      <c r="D253" s="50">
        <v>2</v>
      </c>
      <c r="E253" s="50">
        <v>2</v>
      </c>
      <c r="F253" s="50">
        <v>0</v>
      </c>
      <c r="G253" s="50">
        <v>1</v>
      </c>
      <c r="H253" s="50">
        <v>2</v>
      </c>
      <c r="I253" s="50" t="s">
        <v>589</v>
      </c>
      <c r="J253" s="50" t="s">
        <v>589</v>
      </c>
      <c r="K253" s="50">
        <v>47</v>
      </c>
      <c r="L253" s="50" t="s">
        <v>6</v>
      </c>
      <c r="M253" s="50"/>
      <c r="N253" s="49"/>
    </row>
    <row r="254" spans="1:14" ht="14.25" customHeight="1">
      <c r="A254" s="54" t="s">
        <v>22</v>
      </c>
      <c r="B254" s="56" t="s">
        <v>512</v>
      </c>
      <c r="C254" s="54" t="s">
        <v>536</v>
      </c>
      <c r="D254" s="55">
        <v>2</v>
      </c>
      <c r="E254" s="55">
        <v>2</v>
      </c>
      <c r="F254" s="55">
        <v>0</v>
      </c>
      <c r="G254" s="55">
        <v>1</v>
      </c>
      <c r="H254" s="55">
        <v>2</v>
      </c>
      <c r="I254" s="55" t="s">
        <v>589</v>
      </c>
      <c r="J254" s="55" t="s">
        <v>589</v>
      </c>
      <c r="K254" s="55">
        <v>47</v>
      </c>
      <c r="L254" s="55" t="s">
        <v>6</v>
      </c>
      <c r="M254" s="55"/>
      <c r="N254" s="54"/>
    </row>
    <row r="255" spans="1:14" ht="14.25" customHeight="1">
      <c r="A255" s="49" t="s">
        <v>22</v>
      </c>
      <c r="B255" s="53" t="s">
        <v>512</v>
      </c>
      <c r="C255" s="49" t="s">
        <v>542</v>
      </c>
      <c r="D255" s="50">
        <v>2</v>
      </c>
      <c r="E255" s="50">
        <v>2</v>
      </c>
      <c r="F255" s="50">
        <v>0</v>
      </c>
      <c r="G255" s="50">
        <v>1</v>
      </c>
      <c r="H255" s="50">
        <v>2</v>
      </c>
      <c r="I255" s="50" t="s">
        <v>652</v>
      </c>
      <c r="J255" s="50" t="s">
        <v>652</v>
      </c>
      <c r="K255" s="50">
        <v>48</v>
      </c>
      <c r="L255" s="50" t="s">
        <v>6</v>
      </c>
      <c r="M255" s="50"/>
      <c r="N255" s="49"/>
    </row>
    <row r="256" spans="1:14" ht="14.25" customHeight="1">
      <c r="A256" s="54" t="s">
        <v>22</v>
      </c>
      <c r="B256" s="56" t="s">
        <v>512</v>
      </c>
      <c r="C256" s="54" t="s">
        <v>543</v>
      </c>
      <c r="D256" s="55">
        <v>2</v>
      </c>
      <c r="E256" s="55">
        <v>2</v>
      </c>
      <c r="F256" s="55">
        <v>0</v>
      </c>
      <c r="G256" s="55">
        <v>1</v>
      </c>
      <c r="H256" s="55">
        <v>2</v>
      </c>
      <c r="I256" s="55" t="s">
        <v>652</v>
      </c>
      <c r="J256" s="55" t="s">
        <v>652</v>
      </c>
      <c r="K256" s="55">
        <v>48</v>
      </c>
      <c r="L256" s="55" t="s">
        <v>6</v>
      </c>
      <c r="M256" s="55"/>
      <c r="N256" s="54"/>
    </row>
    <row r="257" spans="1:14" ht="14.25" customHeight="1">
      <c r="A257" s="49" t="s">
        <v>22</v>
      </c>
      <c r="B257" s="53" t="s">
        <v>512</v>
      </c>
      <c r="C257" s="49" t="s">
        <v>544</v>
      </c>
      <c r="D257" s="50">
        <v>2</v>
      </c>
      <c r="E257" s="50">
        <v>2</v>
      </c>
      <c r="F257" s="50">
        <v>0</v>
      </c>
      <c r="G257" s="50">
        <v>1</v>
      </c>
      <c r="H257" s="50">
        <v>2</v>
      </c>
      <c r="I257" s="50" t="s">
        <v>653</v>
      </c>
      <c r="J257" s="50" t="s">
        <v>653</v>
      </c>
      <c r="K257" s="50">
        <v>49</v>
      </c>
      <c r="L257" s="50" t="s">
        <v>6</v>
      </c>
      <c r="M257" s="50"/>
      <c r="N257" s="49"/>
    </row>
    <row r="258" spans="1:14" ht="14.25" customHeight="1">
      <c r="A258" s="54" t="s">
        <v>22</v>
      </c>
      <c r="B258" s="56" t="s">
        <v>512</v>
      </c>
      <c r="C258" s="54" t="s">
        <v>545</v>
      </c>
      <c r="D258" s="55">
        <v>2</v>
      </c>
      <c r="E258" s="55">
        <v>2</v>
      </c>
      <c r="F258" s="55">
        <v>0</v>
      </c>
      <c r="G258" s="55">
        <v>1</v>
      </c>
      <c r="H258" s="55">
        <v>2</v>
      </c>
      <c r="I258" s="55" t="s">
        <v>653</v>
      </c>
      <c r="J258" s="55" t="s">
        <v>653</v>
      </c>
      <c r="K258" s="55">
        <v>49</v>
      </c>
      <c r="L258" s="55" t="s">
        <v>6</v>
      </c>
      <c r="M258" s="55"/>
      <c r="N258" s="54"/>
    </row>
    <row r="259" spans="1:14" ht="14.25" customHeight="1">
      <c r="A259" s="49" t="s">
        <v>22</v>
      </c>
      <c r="B259" s="53" t="s">
        <v>512</v>
      </c>
      <c r="C259" s="49" t="s">
        <v>546</v>
      </c>
      <c r="D259" s="50">
        <v>2</v>
      </c>
      <c r="E259" s="50">
        <v>2</v>
      </c>
      <c r="F259" s="50">
        <v>0</v>
      </c>
      <c r="G259" s="50">
        <v>1</v>
      </c>
      <c r="H259" s="50">
        <v>2</v>
      </c>
      <c r="I259" s="50" t="s">
        <v>653</v>
      </c>
      <c r="J259" s="50" t="s">
        <v>653</v>
      </c>
      <c r="K259" s="50">
        <v>49</v>
      </c>
      <c r="L259" s="50" t="s">
        <v>6</v>
      </c>
      <c r="M259" s="50"/>
      <c r="N259" s="49"/>
    </row>
    <row r="260" spans="1:14" ht="14.25" customHeight="1">
      <c r="A260" s="54" t="s">
        <v>22</v>
      </c>
      <c r="B260" s="56" t="s">
        <v>512</v>
      </c>
      <c r="C260" s="54" t="s">
        <v>568</v>
      </c>
      <c r="D260" s="55">
        <v>2</v>
      </c>
      <c r="E260" s="55">
        <v>2</v>
      </c>
      <c r="F260" s="55">
        <v>0</v>
      </c>
      <c r="G260" s="55">
        <v>1</v>
      </c>
      <c r="H260" s="55">
        <v>2</v>
      </c>
      <c r="I260" s="55" t="s">
        <v>596</v>
      </c>
      <c r="J260" s="55" t="s">
        <v>596</v>
      </c>
      <c r="K260" s="55">
        <v>50</v>
      </c>
      <c r="L260" s="55" t="s">
        <v>6</v>
      </c>
      <c r="M260" s="55"/>
      <c r="N260" s="54"/>
    </row>
    <row r="261" spans="1:14" ht="14.25" customHeight="1">
      <c r="A261" s="49" t="s">
        <v>22</v>
      </c>
      <c r="B261" s="53" t="s">
        <v>512</v>
      </c>
      <c r="C261" s="49" t="s">
        <v>550</v>
      </c>
      <c r="D261" s="50">
        <v>1</v>
      </c>
      <c r="E261" s="50">
        <v>1</v>
      </c>
      <c r="F261" s="50">
        <v>0</v>
      </c>
      <c r="G261" s="50">
        <v>1</v>
      </c>
      <c r="H261" s="50">
        <v>1</v>
      </c>
      <c r="I261" s="50" t="s">
        <v>596</v>
      </c>
      <c r="J261" s="50" t="s">
        <v>596</v>
      </c>
      <c r="K261" s="50">
        <v>50</v>
      </c>
      <c r="L261" s="50" t="s">
        <v>6</v>
      </c>
      <c r="M261" s="50"/>
      <c r="N261" s="49"/>
    </row>
    <row r="262" spans="1:14" ht="14.25" customHeight="1">
      <c r="A262" s="54" t="s">
        <v>22</v>
      </c>
      <c r="B262" s="56" t="s">
        <v>512</v>
      </c>
      <c r="C262" s="54" t="s">
        <v>563</v>
      </c>
      <c r="D262" s="55">
        <v>1</v>
      </c>
      <c r="E262" s="55">
        <v>1</v>
      </c>
      <c r="F262" s="55">
        <v>0</v>
      </c>
      <c r="G262" s="55">
        <v>1</v>
      </c>
      <c r="H262" s="55">
        <v>1</v>
      </c>
      <c r="I262" s="55" t="s">
        <v>596</v>
      </c>
      <c r="J262" s="55" t="s">
        <v>596</v>
      </c>
      <c r="K262" s="55">
        <v>50</v>
      </c>
      <c r="L262" s="55" t="s">
        <v>6</v>
      </c>
      <c r="M262" s="55"/>
      <c r="N262" s="54"/>
    </row>
    <row r="263" spans="1:14" ht="14.25" customHeight="1">
      <c r="A263" s="49" t="s">
        <v>22</v>
      </c>
      <c r="B263" s="53" t="s">
        <v>512</v>
      </c>
      <c r="C263" s="49" t="s">
        <v>564</v>
      </c>
      <c r="D263" s="50">
        <v>1</v>
      </c>
      <c r="E263" s="50">
        <v>1</v>
      </c>
      <c r="F263" s="50">
        <v>0</v>
      </c>
      <c r="G263" s="50">
        <v>1</v>
      </c>
      <c r="H263" s="50">
        <v>1</v>
      </c>
      <c r="I263" s="50" t="s">
        <v>597</v>
      </c>
      <c r="J263" s="50" t="s">
        <v>597</v>
      </c>
      <c r="K263" s="50">
        <v>51</v>
      </c>
      <c r="L263" s="50" t="s">
        <v>6</v>
      </c>
      <c r="M263" s="50"/>
      <c r="N263" s="49"/>
    </row>
    <row r="264" spans="1:14" ht="14.25" customHeight="1">
      <c r="A264" s="54" t="s">
        <v>22</v>
      </c>
      <c r="B264" s="56" t="s">
        <v>512</v>
      </c>
      <c r="C264" s="54" t="s">
        <v>565</v>
      </c>
      <c r="D264" s="55">
        <v>1</v>
      </c>
      <c r="E264" s="55">
        <v>1</v>
      </c>
      <c r="F264" s="55">
        <v>0</v>
      </c>
      <c r="G264" s="55">
        <v>1</v>
      </c>
      <c r="H264" s="55">
        <v>1</v>
      </c>
      <c r="I264" s="55" t="s">
        <v>597</v>
      </c>
      <c r="J264" s="55" t="s">
        <v>597</v>
      </c>
      <c r="K264" s="55">
        <v>51</v>
      </c>
      <c r="L264" s="55" t="s">
        <v>6</v>
      </c>
      <c r="M264" s="55"/>
      <c r="N264" s="54"/>
    </row>
    <row r="265" spans="1:14" ht="14.25" customHeight="1">
      <c r="A265" s="49" t="s">
        <v>22</v>
      </c>
      <c r="B265" s="53" t="s">
        <v>512</v>
      </c>
      <c r="C265" s="49" t="s">
        <v>566</v>
      </c>
      <c r="D265" s="50">
        <v>1</v>
      </c>
      <c r="E265" s="50">
        <v>1</v>
      </c>
      <c r="F265" s="50">
        <v>0</v>
      </c>
      <c r="G265" s="50">
        <v>1</v>
      </c>
      <c r="H265" s="50">
        <v>1</v>
      </c>
      <c r="I265" s="50" t="s">
        <v>597</v>
      </c>
      <c r="J265" s="50" t="s">
        <v>597</v>
      </c>
      <c r="K265" s="50">
        <v>51</v>
      </c>
      <c r="L265" s="50" t="s">
        <v>6</v>
      </c>
      <c r="M265" s="50"/>
      <c r="N265" s="49"/>
    </row>
    <row r="266" spans="1:14" ht="14.25" customHeight="1">
      <c r="A266" s="54" t="s">
        <v>22</v>
      </c>
      <c r="B266" s="56" t="s">
        <v>512</v>
      </c>
      <c r="C266" s="54" t="s">
        <v>567</v>
      </c>
      <c r="D266" s="55">
        <v>1</v>
      </c>
      <c r="E266" s="55">
        <v>1</v>
      </c>
      <c r="F266" s="55">
        <v>0</v>
      </c>
      <c r="G266" s="55">
        <v>1</v>
      </c>
      <c r="H266" s="55">
        <v>1</v>
      </c>
      <c r="I266" s="55" t="s">
        <v>597</v>
      </c>
      <c r="J266" s="55" t="s">
        <v>597</v>
      </c>
      <c r="K266" s="55">
        <v>51</v>
      </c>
      <c r="L266" s="55" t="s">
        <v>6</v>
      </c>
      <c r="M266" s="55"/>
      <c r="N266" s="54"/>
    </row>
    <row r="267" spans="1:14" ht="14.25" customHeight="1">
      <c r="A267" s="49" t="s">
        <v>22</v>
      </c>
      <c r="B267" s="49" t="s">
        <v>504</v>
      </c>
      <c r="C267" s="49" t="s">
        <v>505</v>
      </c>
      <c r="D267" s="50">
        <v>39</v>
      </c>
      <c r="E267" s="50">
        <v>39</v>
      </c>
      <c r="F267" s="50">
        <v>0</v>
      </c>
      <c r="G267" s="50">
        <v>9</v>
      </c>
      <c r="H267" s="50">
        <v>4.33</v>
      </c>
      <c r="I267" s="50" t="s">
        <v>587</v>
      </c>
      <c r="J267" s="50" t="s">
        <v>646</v>
      </c>
      <c r="K267" s="50">
        <v>52</v>
      </c>
      <c r="L267" s="50" t="s">
        <v>6</v>
      </c>
      <c r="M267" s="50"/>
      <c r="N267" s="49"/>
    </row>
    <row r="268" spans="1:14" ht="14.25" customHeight="1">
      <c r="A268" s="54" t="s">
        <v>22</v>
      </c>
      <c r="B268" s="54" t="s">
        <v>504</v>
      </c>
      <c r="C268" s="54" t="s">
        <v>507</v>
      </c>
      <c r="D268" s="55">
        <v>3</v>
      </c>
      <c r="E268" s="55">
        <v>3</v>
      </c>
      <c r="F268" s="55">
        <v>0</v>
      </c>
      <c r="G268" s="55">
        <v>1</v>
      </c>
      <c r="H268" s="55">
        <v>3</v>
      </c>
      <c r="I268" s="55" t="s">
        <v>598</v>
      </c>
      <c r="J268" s="55" t="s">
        <v>598</v>
      </c>
      <c r="K268" s="55">
        <v>61</v>
      </c>
      <c r="L268" s="55" t="s">
        <v>6</v>
      </c>
      <c r="M268" s="55"/>
      <c r="N268" s="54"/>
    </row>
    <row r="269" spans="1:14" ht="14.25" customHeight="1">
      <c r="A269" s="49" t="s">
        <v>22</v>
      </c>
      <c r="B269" s="49" t="s">
        <v>504</v>
      </c>
      <c r="C269" s="49" t="s">
        <v>506</v>
      </c>
      <c r="D269" s="50">
        <v>2</v>
      </c>
      <c r="E269" s="50">
        <v>2</v>
      </c>
      <c r="F269" s="50">
        <v>0</v>
      </c>
      <c r="G269" s="50">
        <v>1</v>
      </c>
      <c r="H269" s="50">
        <v>2</v>
      </c>
      <c r="I269" s="50" t="s">
        <v>598</v>
      </c>
      <c r="J269" s="50" t="s">
        <v>598</v>
      </c>
      <c r="K269" s="50">
        <v>61</v>
      </c>
      <c r="L269" s="50" t="s">
        <v>6</v>
      </c>
      <c r="M269" s="50"/>
      <c r="N269" s="49"/>
    </row>
    <row r="270" spans="1:14" ht="14.25" customHeight="1">
      <c r="A270" s="54" t="s">
        <v>22</v>
      </c>
      <c r="B270" s="54" t="s">
        <v>501</v>
      </c>
      <c r="C270" s="54" t="s">
        <v>502</v>
      </c>
      <c r="D270" s="55">
        <v>37</v>
      </c>
      <c r="E270" s="55">
        <v>37</v>
      </c>
      <c r="F270" s="55">
        <v>0</v>
      </c>
      <c r="G270" s="55">
        <v>8</v>
      </c>
      <c r="H270" s="55">
        <v>4.62</v>
      </c>
      <c r="I270" s="55" t="s">
        <v>598</v>
      </c>
      <c r="J270" s="55" t="s">
        <v>648</v>
      </c>
      <c r="K270" s="55">
        <v>61</v>
      </c>
      <c r="L270" s="55" t="s">
        <v>6</v>
      </c>
      <c r="M270" s="55"/>
      <c r="N270" s="54"/>
    </row>
    <row r="271" spans="1:14" ht="14.25" customHeight="1">
      <c r="A271" s="49" t="s">
        <v>22</v>
      </c>
      <c r="B271" s="49" t="s">
        <v>501</v>
      </c>
      <c r="C271" s="49" t="s">
        <v>503</v>
      </c>
      <c r="D271" s="50">
        <v>2</v>
      </c>
      <c r="E271" s="50">
        <v>2</v>
      </c>
      <c r="F271" s="50">
        <v>0</v>
      </c>
      <c r="G271" s="50">
        <v>1</v>
      </c>
      <c r="H271" s="50">
        <v>2</v>
      </c>
      <c r="I271" s="50" t="s">
        <v>649</v>
      </c>
      <c r="J271" s="50" t="s">
        <v>649</v>
      </c>
      <c r="K271" s="50">
        <v>69</v>
      </c>
      <c r="L271" s="50" t="s">
        <v>6</v>
      </c>
      <c r="M271" s="50"/>
      <c r="N271" s="49"/>
    </row>
    <row r="272" spans="1:14" ht="14.25" customHeight="1">
      <c r="A272" s="54" t="s">
        <v>22</v>
      </c>
      <c r="B272" s="56" t="s">
        <v>509</v>
      </c>
      <c r="C272" s="56" t="s">
        <v>511</v>
      </c>
      <c r="D272" s="55">
        <v>5</v>
      </c>
      <c r="E272" s="55">
        <v>5</v>
      </c>
      <c r="F272" s="55">
        <v>0</v>
      </c>
      <c r="G272" s="55">
        <v>1</v>
      </c>
      <c r="H272" s="55">
        <v>5</v>
      </c>
      <c r="I272" s="55" t="s">
        <v>672</v>
      </c>
      <c r="J272" s="55" t="s">
        <v>672</v>
      </c>
      <c r="K272" s="55">
        <v>70</v>
      </c>
      <c r="L272" s="55" t="s">
        <v>6</v>
      </c>
      <c r="M272" s="55"/>
      <c r="N272" s="54"/>
    </row>
    <row r="273" spans="1:14" ht="14.25" customHeight="1">
      <c r="A273" s="49" t="s">
        <v>22</v>
      </c>
      <c r="B273" s="53" t="s">
        <v>509</v>
      </c>
      <c r="C273" s="53" t="s">
        <v>510</v>
      </c>
      <c r="D273" s="50">
        <v>3</v>
      </c>
      <c r="E273" s="50">
        <v>3</v>
      </c>
      <c r="F273" s="50">
        <v>0</v>
      </c>
      <c r="G273" s="50">
        <v>1</v>
      </c>
      <c r="H273" s="50">
        <v>3</v>
      </c>
      <c r="I273" s="50" t="s">
        <v>600</v>
      </c>
      <c r="J273" s="50" t="s">
        <v>600</v>
      </c>
      <c r="K273" s="50">
        <v>71</v>
      </c>
      <c r="L273" s="50" t="s">
        <v>6</v>
      </c>
      <c r="M273" s="50"/>
      <c r="N273" s="49"/>
    </row>
    <row r="274" spans="1:14" ht="14.25" customHeight="1">
      <c r="A274" s="54" t="s">
        <v>22</v>
      </c>
      <c r="B274" s="54" t="s">
        <v>508</v>
      </c>
      <c r="C274" s="54" t="s">
        <v>22</v>
      </c>
      <c r="D274" s="55">
        <v>4</v>
      </c>
      <c r="E274" s="55">
        <v>4</v>
      </c>
      <c r="F274" s="55">
        <v>0</v>
      </c>
      <c r="G274" s="55">
        <v>1</v>
      </c>
      <c r="H274" s="55">
        <v>4</v>
      </c>
      <c r="I274" s="55" t="s">
        <v>582</v>
      </c>
      <c r="J274" s="55" t="s">
        <v>582</v>
      </c>
      <c r="K274" s="55">
        <v>72</v>
      </c>
      <c r="L274" s="55" t="s">
        <v>6</v>
      </c>
      <c r="M274" s="55"/>
      <c r="N274" s="54"/>
    </row>
    <row r="275" spans="1:14" ht="14.25" customHeight="1">
      <c r="A275" s="49" t="s">
        <v>23</v>
      </c>
      <c r="B275" s="49" t="s">
        <v>415</v>
      </c>
      <c r="C275" s="49" t="s">
        <v>416</v>
      </c>
      <c r="D275" s="50">
        <v>4</v>
      </c>
      <c r="E275" s="50">
        <v>4</v>
      </c>
      <c r="F275" s="50">
        <v>0</v>
      </c>
      <c r="G275" s="50">
        <v>1</v>
      </c>
      <c r="H275" s="50">
        <v>4</v>
      </c>
      <c r="I275" s="50" t="s">
        <v>583</v>
      </c>
      <c r="J275" s="50" t="s">
        <v>583</v>
      </c>
      <c r="K275" s="50">
        <v>1</v>
      </c>
      <c r="L275" s="50" t="s">
        <v>6</v>
      </c>
      <c r="M275" s="50"/>
      <c r="N275" s="49"/>
    </row>
    <row r="276" spans="1:14" ht="14.25" customHeight="1">
      <c r="A276" s="54" t="s">
        <v>23</v>
      </c>
      <c r="B276" s="54" t="s">
        <v>415</v>
      </c>
      <c r="C276" s="54" t="s">
        <v>424</v>
      </c>
      <c r="D276" s="55">
        <v>4</v>
      </c>
      <c r="E276" s="55">
        <v>4</v>
      </c>
      <c r="F276" s="55">
        <v>0</v>
      </c>
      <c r="G276" s="55">
        <v>1</v>
      </c>
      <c r="H276" s="55">
        <v>4</v>
      </c>
      <c r="I276" s="55" t="s">
        <v>691</v>
      </c>
      <c r="J276" s="55" t="s">
        <v>691</v>
      </c>
      <c r="K276" s="55">
        <v>2</v>
      </c>
      <c r="L276" s="55" t="s">
        <v>6</v>
      </c>
      <c r="M276" s="55"/>
      <c r="N276" s="54"/>
    </row>
    <row r="277" spans="1:14" ht="14.25" customHeight="1">
      <c r="A277" s="49" t="s">
        <v>23</v>
      </c>
      <c r="B277" s="49" t="s">
        <v>415</v>
      </c>
      <c r="C277" s="49" t="s">
        <v>439</v>
      </c>
      <c r="D277" s="50">
        <v>3</v>
      </c>
      <c r="E277" s="50">
        <v>3</v>
      </c>
      <c r="F277" s="50">
        <v>0</v>
      </c>
      <c r="G277" s="50">
        <v>1</v>
      </c>
      <c r="H277" s="50">
        <v>3</v>
      </c>
      <c r="I277" s="50" t="s">
        <v>620</v>
      </c>
      <c r="J277" s="50" t="s">
        <v>620</v>
      </c>
      <c r="K277" s="50">
        <v>3</v>
      </c>
      <c r="L277" s="50" t="s">
        <v>6</v>
      </c>
      <c r="M277" s="50"/>
      <c r="N277" s="49"/>
    </row>
    <row r="278" spans="1:14" ht="14.25" customHeight="1">
      <c r="A278" s="54" t="s">
        <v>23</v>
      </c>
      <c r="B278" s="54" t="s">
        <v>415</v>
      </c>
      <c r="C278" s="54" t="s">
        <v>420</v>
      </c>
      <c r="D278" s="55">
        <v>3</v>
      </c>
      <c r="E278" s="55">
        <v>3</v>
      </c>
      <c r="F278" s="55">
        <v>0</v>
      </c>
      <c r="G278" s="55">
        <v>1</v>
      </c>
      <c r="H278" s="55">
        <v>3</v>
      </c>
      <c r="I278" s="55" t="s">
        <v>621</v>
      </c>
      <c r="J278" s="55" t="s">
        <v>621</v>
      </c>
      <c r="K278" s="55">
        <v>4</v>
      </c>
      <c r="L278" s="55" t="s">
        <v>6</v>
      </c>
      <c r="M278" s="55"/>
      <c r="N278" s="54"/>
    </row>
    <row r="279" spans="1:14" ht="14.25" customHeight="1">
      <c r="A279" s="49" t="s">
        <v>23</v>
      </c>
      <c r="B279" s="49" t="s">
        <v>415</v>
      </c>
      <c r="C279" s="49" t="s">
        <v>421</v>
      </c>
      <c r="D279" s="50">
        <v>3</v>
      </c>
      <c r="E279" s="50">
        <v>3</v>
      </c>
      <c r="F279" s="50">
        <v>0</v>
      </c>
      <c r="G279" s="50">
        <v>1</v>
      </c>
      <c r="H279" s="50">
        <v>3</v>
      </c>
      <c r="I279" s="50" t="s">
        <v>692</v>
      </c>
      <c r="J279" s="50" t="s">
        <v>692</v>
      </c>
      <c r="K279" s="50">
        <v>5</v>
      </c>
      <c r="L279" s="50" t="s">
        <v>6</v>
      </c>
      <c r="M279" s="50"/>
      <c r="N279" s="49"/>
    </row>
    <row r="280" spans="1:14" ht="14.25" customHeight="1">
      <c r="A280" s="54" t="s">
        <v>23</v>
      </c>
      <c r="B280" s="54" t="s">
        <v>415</v>
      </c>
      <c r="C280" s="54" t="s">
        <v>435</v>
      </c>
      <c r="D280" s="55">
        <v>3</v>
      </c>
      <c r="E280" s="55">
        <v>3</v>
      </c>
      <c r="F280" s="55">
        <v>0</v>
      </c>
      <c r="G280" s="55">
        <v>1</v>
      </c>
      <c r="H280" s="55">
        <v>3</v>
      </c>
      <c r="I280" s="55" t="s">
        <v>622</v>
      </c>
      <c r="J280" s="55" t="s">
        <v>622</v>
      </c>
      <c r="K280" s="55">
        <v>6</v>
      </c>
      <c r="L280" s="55" t="s">
        <v>6</v>
      </c>
      <c r="M280" s="55"/>
      <c r="N280" s="54"/>
    </row>
    <row r="281" spans="1:14" ht="14.25" customHeight="1">
      <c r="A281" s="49" t="s">
        <v>23</v>
      </c>
      <c r="B281" s="49" t="s">
        <v>415</v>
      </c>
      <c r="C281" s="49" t="s">
        <v>417</v>
      </c>
      <c r="D281" s="50">
        <v>3</v>
      </c>
      <c r="E281" s="50">
        <v>3</v>
      </c>
      <c r="F281" s="50">
        <v>0</v>
      </c>
      <c r="G281" s="50">
        <v>1</v>
      </c>
      <c r="H281" s="50">
        <v>3</v>
      </c>
      <c r="I281" s="50" t="s">
        <v>623</v>
      </c>
      <c r="J281" s="50" t="s">
        <v>623</v>
      </c>
      <c r="K281" s="50">
        <v>7</v>
      </c>
      <c r="L281" s="50" t="s">
        <v>6</v>
      </c>
      <c r="M281" s="50"/>
      <c r="N281" s="49"/>
    </row>
    <row r="282" spans="1:14" ht="14.25" customHeight="1">
      <c r="A282" s="54" t="s">
        <v>23</v>
      </c>
      <c r="B282" s="54" t="s">
        <v>415</v>
      </c>
      <c r="C282" s="54" t="s">
        <v>429</v>
      </c>
      <c r="D282" s="55">
        <v>2</v>
      </c>
      <c r="E282" s="55">
        <v>2</v>
      </c>
      <c r="F282" s="55">
        <v>0</v>
      </c>
      <c r="G282" s="55">
        <v>1</v>
      </c>
      <c r="H282" s="55">
        <v>2</v>
      </c>
      <c r="I282" s="55" t="s">
        <v>585</v>
      </c>
      <c r="J282" s="55" t="s">
        <v>585</v>
      </c>
      <c r="K282" s="55">
        <v>8</v>
      </c>
      <c r="L282" s="55" t="s">
        <v>6</v>
      </c>
      <c r="M282" s="55"/>
      <c r="N282" s="54"/>
    </row>
    <row r="283" spans="1:14" ht="14.25" customHeight="1">
      <c r="A283" s="49" t="s">
        <v>23</v>
      </c>
      <c r="B283" s="49" t="s">
        <v>415</v>
      </c>
      <c r="C283" s="49" t="s">
        <v>440</v>
      </c>
      <c r="D283" s="50">
        <v>2</v>
      </c>
      <c r="E283" s="50">
        <v>2</v>
      </c>
      <c r="F283" s="50">
        <v>0</v>
      </c>
      <c r="G283" s="50">
        <v>1</v>
      </c>
      <c r="H283" s="50">
        <v>2</v>
      </c>
      <c r="I283" s="50" t="s">
        <v>624</v>
      </c>
      <c r="J283" s="50" t="s">
        <v>624</v>
      </c>
      <c r="K283" s="50">
        <v>9</v>
      </c>
      <c r="L283" s="50" t="s">
        <v>6</v>
      </c>
      <c r="M283" s="50"/>
      <c r="N283" s="49"/>
    </row>
    <row r="284" spans="1:14" ht="14.25" customHeight="1">
      <c r="A284" s="54" t="s">
        <v>23</v>
      </c>
      <c r="B284" s="54" t="s">
        <v>415</v>
      </c>
      <c r="C284" s="54" t="s">
        <v>438</v>
      </c>
      <c r="D284" s="55">
        <v>2</v>
      </c>
      <c r="E284" s="55">
        <v>2</v>
      </c>
      <c r="F284" s="55">
        <v>0</v>
      </c>
      <c r="G284" s="55">
        <v>1</v>
      </c>
      <c r="H284" s="55">
        <v>2</v>
      </c>
      <c r="I284" s="55" t="s">
        <v>624</v>
      </c>
      <c r="J284" s="55" t="s">
        <v>624</v>
      </c>
      <c r="K284" s="55">
        <v>9</v>
      </c>
      <c r="L284" s="55" t="s">
        <v>6</v>
      </c>
      <c r="M284" s="55"/>
      <c r="N284" s="54"/>
    </row>
    <row r="285" spans="1:14" ht="14.25" customHeight="1">
      <c r="A285" s="49" t="s">
        <v>23</v>
      </c>
      <c r="B285" s="49" t="s">
        <v>415</v>
      </c>
      <c r="C285" s="49" t="s">
        <v>437</v>
      </c>
      <c r="D285" s="50">
        <v>2</v>
      </c>
      <c r="E285" s="50">
        <v>2</v>
      </c>
      <c r="F285" s="50">
        <v>0</v>
      </c>
      <c r="G285" s="50">
        <v>1</v>
      </c>
      <c r="H285" s="50">
        <v>2</v>
      </c>
      <c r="I285" s="50" t="s">
        <v>625</v>
      </c>
      <c r="J285" s="50" t="s">
        <v>625</v>
      </c>
      <c r="K285" s="50">
        <v>10</v>
      </c>
      <c r="L285" s="50" t="s">
        <v>6</v>
      </c>
      <c r="M285" s="50"/>
      <c r="N285" s="49"/>
    </row>
    <row r="286" spans="1:14" ht="14.25" customHeight="1">
      <c r="A286" s="54" t="s">
        <v>23</v>
      </c>
      <c r="B286" s="54" t="s">
        <v>415</v>
      </c>
      <c r="C286" s="54" t="s">
        <v>436</v>
      </c>
      <c r="D286" s="55">
        <v>2</v>
      </c>
      <c r="E286" s="55">
        <v>2</v>
      </c>
      <c r="F286" s="55">
        <v>0</v>
      </c>
      <c r="G286" s="55">
        <v>1</v>
      </c>
      <c r="H286" s="55">
        <v>2</v>
      </c>
      <c r="I286" s="55" t="s">
        <v>626</v>
      </c>
      <c r="J286" s="55" t="s">
        <v>626</v>
      </c>
      <c r="K286" s="55">
        <v>11</v>
      </c>
      <c r="L286" s="55" t="s">
        <v>6</v>
      </c>
      <c r="M286" s="55"/>
      <c r="N286" s="54"/>
    </row>
    <row r="287" spans="1:14" ht="14.25" customHeight="1">
      <c r="A287" s="49" t="s">
        <v>23</v>
      </c>
      <c r="B287" s="49" t="s">
        <v>415</v>
      </c>
      <c r="C287" s="49" t="s">
        <v>434</v>
      </c>
      <c r="D287" s="50">
        <v>2</v>
      </c>
      <c r="E287" s="50">
        <v>2</v>
      </c>
      <c r="F287" s="50">
        <v>0</v>
      </c>
      <c r="G287" s="50">
        <v>1</v>
      </c>
      <c r="H287" s="50">
        <v>2</v>
      </c>
      <c r="I287" s="50" t="s">
        <v>626</v>
      </c>
      <c r="J287" s="50" t="s">
        <v>626</v>
      </c>
      <c r="K287" s="50">
        <v>11</v>
      </c>
      <c r="L287" s="50" t="s">
        <v>6</v>
      </c>
      <c r="M287" s="50"/>
      <c r="N287" s="49"/>
    </row>
    <row r="288" spans="1:14" ht="14.25" customHeight="1">
      <c r="A288" s="54" t="s">
        <v>23</v>
      </c>
      <c r="B288" s="54" t="s">
        <v>415</v>
      </c>
      <c r="C288" s="54" t="s">
        <v>430</v>
      </c>
      <c r="D288" s="55">
        <v>2</v>
      </c>
      <c r="E288" s="55">
        <v>2</v>
      </c>
      <c r="F288" s="55">
        <v>0</v>
      </c>
      <c r="G288" s="55">
        <v>1</v>
      </c>
      <c r="H288" s="55">
        <v>2</v>
      </c>
      <c r="I288" s="55" t="s">
        <v>627</v>
      </c>
      <c r="J288" s="55" t="s">
        <v>627</v>
      </c>
      <c r="K288" s="55">
        <v>12</v>
      </c>
      <c r="L288" s="55" t="s">
        <v>6</v>
      </c>
      <c r="M288" s="55"/>
      <c r="N288" s="54"/>
    </row>
    <row r="289" spans="1:14" ht="14.25" customHeight="1">
      <c r="A289" s="49" t="s">
        <v>23</v>
      </c>
      <c r="B289" s="49" t="s">
        <v>415</v>
      </c>
      <c r="C289" s="49" t="s">
        <v>428</v>
      </c>
      <c r="D289" s="50">
        <v>2</v>
      </c>
      <c r="E289" s="50">
        <v>2</v>
      </c>
      <c r="F289" s="50">
        <v>0</v>
      </c>
      <c r="G289" s="50">
        <v>1</v>
      </c>
      <c r="H289" s="50">
        <v>2</v>
      </c>
      <c r="I289" s="50" t="s">
        <v>627</v>
      </c>
      <c r="J289" s="50" t="s">
        <v>627</v>
      </c>
      <c r="K289" s="50">
        <v>12</v>
      </c>
      <c r="L289" s="50" t="s">
        <v>6</v>
      </c>
      <c r="M289" s="50"/>
      <c r="N289" s="49"/>
    </row>
    <row r="290" spans="1:14" ht="14.25" customHeight="1">
      <c r="A290" s="54" t="s">
        <v>23</v>
      </c>
      <c r="B290" s="54" t="s">
        <v>415</v>
      </c>
      <c r="C290" s="54" t="s">
        <v>427</v>
      </c>
      <c r="D290" s="55">
        <v>2</v>
      </c>
      <c r="E290" s="55">
        <v>2</v>
      </c>
      <c r="F290" s="55">
        <v>0</v>
      </c>
      <c r="G290" s="55">
        <v>1</v>
      </c>
      <c r="H290" s="55">
        <v>2</v>
      </c>
      <c r="I290" s="55" t="s">
        <v>628</v>
      </c>
      <c r="J290" s="55" t="s">
        <v>628</v>
      </c>
      <c r="K290" s="55">
        <v>13</v>
      </c>
      <c r="L290" s="55" t="s">
        <v>6</v>
      </c>
      <c r="M290" s="55"/>
      <c r="N290" s="54"/>
    </row>
    <row r="291" spans="1:14" ht="14.25" customHeight="1">
      <c r="A291" s="49" t="s">
        <v>23</v>
      </c>
      <c r="B291" s="49" t="s">
        <v>415</v>
      </c>
      <c r="C291" s="49" t="s">
        <v>426</v>
      </c>
      <c r="D291" s="50">
        <v>2</v>
      </c>
      <c r="E291" s="50">
        <v>2</v>
      </c>
      <c r="F291" s="50">
        <v>0</v>
      </c>
      <c r="G291" s="50">
        <v>1</v>
      </c>
      <c r="H291" s="50">
        <v>2</v>
      </c>
      <c r="I291" s="50" t="s">
        <v>629</v>
      </c>
      <c r="J291" s="50" t="s">
        <v>629</v>
      </c>
      <c r="K291" s="50">
        <v>14</v>
      </c>
      <c r="L291" s="50" t="s">
        <v>6</v>
      </c>
      <c r="M291" s="50"/>
      <c r="N291" s="49"/>
    </row>
    <row r="292" spans="1:14" ht="14.25" customHeight="1">
      <c r="A292" s="54" t="s">
        <v>23</v>
      </c>
      <c r="B292" s="54" t="s">
        <v>415</v>
      </c>
      <c r="C292" s="54" t="s">
        <v>425</v>
      </c>
      <c r="D292" s="55">
        <v>2</v>
      </c>
      <c r="E292" s="55">
        <v>2</v>
      </c>
      <c r="F292" s="55">
        <v>0</v>
      </c>
      <c r="G292" s="55">
        <v>1</v>
      </c>
      <c r="H292" s="55">
        <v>2</v>
      </c>
      <c r="I292" s="55" t="s">
        <v>629</v>
      </c>
      <c r="J292" s="55" t="s">
        <v>629</v>
      </c>
      <c r="K292" s="55">
        <v>14</v>
      </c>
      <c r="L292" s="55" t="s">
        <v>6</v>
      </c>
      <c r="M292" s="55"/>
      <c r="N292" s="54"/>
    </row>
    <row r="293" spans="1:14" ht="14.25" customHeight="1">
      <c r="A293" s="49" t="s">
        <v>23</v>
      </c>
      <c r="B293" s="49" t="s">
        <v>415</v>
      </c>
      <c r="C293" s="49" t="s">
        <v>423</v>
      </c>
      <c r="D293" s="50">
        <v>2</v>
      </c>
      <c r="E293" s="50">
        <v>2</v>
      </c>
      <c r="F293" s="50">
        <v>0</v>
      </c>
      <c r="G293" s="50">
        <v>1</v>
      </c>
      <c r="H293" s="50">
        <v>2</v>
      </c>
      <c r="I293" s="50" t="s">
        <v>630</v>
      </c>
      <c r="J293" s="50" t="s">
        <v>630</v>
      </c>
      <c r="K293" s="50">
        <v>15</v>
      </c>
      <c r="L293" s="50" t="s">
        <v>6</v>
      </c>
      <c r="M293" s="50"/>
      <c r="N293" s="49"/>
    </row>
    <row r="294" spans="1:14" ht="14.25" customHeight="1">
      <c r="A294" s="54" t="s">
        <v>23</v>
      </c>
      <c r="B294" s="54" t="s">
        <v>415</v>
      </c>
      <c r="C294" s="54" t="s">
        <v>419</v>
      </c>
      <c r="D294" s="55">
        <v>2</v>
      </c>
      <c r="E294" s="55">
        <v>2</v>
      </c>
      <c r="F294" s="55">
        <v>0</v>
      </c>
      <c r="G294" s="55">
        <v>1</v>
      </c>
      <c r="H294" s="55">
        <v>2</v>
      </c>
      <c r="I294" s="55" t="s">
        <v>631</v>
      </c>
      <c r="J294" s="55" t="s">
        <v>631</v>
      </c>
      <c r="K294" s="55">
        <v>16</v>
      </c>
      <c r="L294" s="55" t="s">
        <v>6</v>
      </c>
      <c r="M294" s="55"/>
      <c r="N294" s="54"/>
    </row>
    <row r="295" spans="1:14" ht="14.25" customHeight="1">
      <c r="A295" s="49" t="s">
        <v>23</v>
      </c>
      <c r="B295" s="49" t="s">
        <v>415</v>
      </c>
      <c r="C295" s="49" t="s">
        <v>444</v>
      </c>
      <c r="D295" s="50">
        <v>2</v>
      </c>
      <c r="E295" s="50">
        <v>2</v>
      </c>
      <c r="F295" s="50">
        <v>0</v>
      </c>
      <c r="G295" s="50">
        <v>1</v>
      </c>
      <c r="H295" s="50">
        <v>2</v>
      </c>
      <c r="I295" s="50" t="s">
        <v>631</v>
      </c>
      <c r="J295" s="50" t="s">
        <v>631</v>
      </c>
      <c r="K295" s="50">
        <v>16</v>
      </c>
      <c r="L295" s="50" t="s">
        <v>6</v>
      </c>
      <c r="M295" s="50"/>
      <c r="N295" s="49"/>
    </row>
    <row r="296" spans="1:14" ht="14.25" customHeight="1">
      <c r="A296" s="54" t="s">
        <v>23</v>
      </c>
      <c r="B296" s="54" t="s">
        <v>415</v>
      </c>
      <c r="C296" s="54" t="s">
        <v>431</v>
      </c>
      <c r="D296" s="55">
        <v>1</v>
      </c>
      <c r="E296" s="55">
        <v>1</v>
      </c>
      <c r="F296" s="55">
        <v>0</v>
      </c>
      <c r="G296" s="55">
        <v>1</v>
      </c>
      <c r="H296" s="55">
        <v>1</v>
      </c>
      <c r="I296" s="55" t="s">
        <v>632</v>
      </c>
      <c r="J296" s="55" t="s">
        <v>632</v>
      </c>
      <c r="K296" s="55">
        <v>17</v>
      </c>
      <c r="L296" s="55" t="s">
        <v>6</v>
      </c>
      <c r="M296" s="55"/>
      <c r="N296" s="54"/>
    </row>
    <row r="297" spans="1:14" ht="14.25" customHeight="1">
      <c r="A297" s="49" t="s">
        <v>23</v>
      </c>
      <c r="B297" s="49" t="s">
        <v>415</v>
      </c>
      <c r="C297" s="49" t="s">
        <v>432</v>
      </c>
      <c r="D297" s="50">
        <v>1</v>
      </c>
      <c r="E297" s="50">
        <v>1</v>
      </c>
      <c r="F297" s="50">
        <v>0</v>
      </c>
      <c r="G297" s="50">
        <v>1</v>
      </c>
      <c r="H297" s="50">
        <v>1</v>
      </c>
      <c r="I297" s="50" t="s">
        <v>632</v>
      </c>
      <c r="J297" s="50" t="s">
        <v>632</v>
      </c>
      <c r="K297" s="50">
        <v>17</v>
      </c>
      <c r="L297" s="50" t="s">
        <v>6</v>
      </c>
      <c r="M297" s="50"/>
      <c r="N297" s="49"/>
    </row>
    <row r="298" spans="1:14" ht="14.25" customHeight="1">
      <c r="A298" s="54" t="s">
        <v>23</v>
      </c>
      <c r="B298" s="54" t="s">
        <v>415</v>
      </c>
      <c r="C298" s="54" t="s">
        <v>433</v>
      </c>
      <c r="D298" s="55">
        <v>1</v>
      </c>
      <c r="E298" s="55">
        <v>1</v>
      </c>
      <c r="F298" s="55">
        <v>0</v>
      </c>
      <c r="G298" s="55">
        <v>1</v>
      </c>
      <c r="H298" s="55">
        <v>1</v>
      </c>
      <c r="I298" s="55" t="s">
        <v>633</v>
      </c>
      <c r="J298" s="55" t="s">
        <v>633</v>
      </c>
      <c r="K298" s="55">
        <v>18</v>
      </c>
      <c r="L298" s="55" t="s">
        <v>6</v>
      </c>
      <c r="M298" s="55"/>
      <c r="N298" s="54"/>
    </row>
    <row r="299" spans="1:14" ht="14.25" customHeight="1">
      <c r="A299" s="49" t="s">
        <v>23</v>
      </c>
      <c r="B299" s="49" t="s">
        <v>415</v>
      </c>
      <c r="C299" s="49" t="s">
        <v>422</v>
      </c>
      <c r="D299" s="50">
        <v>1</v>
      </c>
      <c r="E299" s="50">
        <v>1</v>
      </c>
      <c r="F299" s="50">
        <v>0</v>
      </c>
      <c r="G299" s="50">
        <v>1</v>
      </c>
      <c r="H299" s="50">
        <v>1</v>
      </c>
      <c r="I299" s="50" t="s">
        <v>633</v>
      </c>
      <c r="J299" s="50" t="s">
        <v>633</v>
      </c>
      <c r="K299" s="50">
        <v>18</v>
      </c>
      <c r="L299" s="50" t="s">
        <v>6</v>
      </c>
      <c r="M299" s="50"/>
      <c r="N299" s="49"/>
    </row>
    <row r="300" spans="1:14" ht="14.25" customHeight="1">
      <c r="A300" s="54" t="s">
        <v>23</v>
      </c>
      <c r="B300" s="54" t="s">
        <v>415</v>
      </c>
      <c r="C300" s="54" t="s">
        <v>418</v>
      </c>
      <c r="D300" s="55">
        <v>1</v>
      </c>
      <c r="E300" s="55">
        <v>1</v>
      </c>
      <c r="F300" s="55">
        <v>0</v>
      </c>
      <c r="G300" s="55">
        <v>1</v>
      </c>
      <c r="H300" s="55">
        <v>1</v>
      </c>
      <c r="I300" s="55" t="s">
        <v>633</v>
      </c>
      <c r="J300" s="55" t="s">
        <v>633</v>
      </c>
      <c r="K300" s="55">
        <v>18</v>
      </c>
      <c r="L300" s="55" t="s">
        <v>6</v>
      </c>
      <c r="M300" s="55"/>
      <c r="N300" s="54"/>
    </row>
    <row r="301" spans="1:14" ht="14.25" customHeight="1">
      <c r="A301" s="49" t="s">
        <v>23</v>
      </c>
      <c r="B301" s="49" t="s">
        <v>415</v>
      </c>
      <c r="C301" s="49" t="s">
        <v>441</v>
      </c>
      <c r="D301" s="50">
        <v>1</v>
      </c>
      <c r="E301" s="50">
        <v>1</v>
      </c>
      <c r="F301" s="50">
        <v>0</v>
      </c>
      <c r="G301" s="50">
        <v>1</v>
      </c>
      <c r="H301" s="50">
        <v>1</v>
      </c>
      <c r="I301" s="50" t="s">
        <v>634</v>
      </c>
      <c r="J301" s="50" t="s">
        <v>634</v>
      </c>
      <c r="K301" s="50">
        <v>19</v>
      </c>
      <c r="L301" s="50" t="s">
        <v>6</v>
      </c>
      <c r="M301" s="50"/>
      <c r="N301" s="49"/>
    </row>
    <row r="302" spans="1:14" ht="14.25" customHeight="1">
      <c r="A302" s="54" t="s">
        <v>23</v>
      </c>
      <c r="B302" s="54" t="s">
        <v>415</v>
      </c>
      <c r="C302" s="54" t="s">
        <v>442</v>
      </c>
      <c r="D302" s="55">
        <v>1</v>
      </c>
      <c r="E302" s="55">
        <v>1</v>
      </c>
      <c r="F302" s="55">
        <v>0</v>
      </c>
      <c r="G302" s="55">
        <v>1</v>
      </c>
      <c r="H302" s="55">
        <v>1</v>
      </c>
      <c r="I302" s="55" t="s">
        <v>634</v>
      </c>
      <c r="J302" s="55" t="s">
        <v>634</v>
      </c>
      <c r="K302" s="55">
        <v>19</v>
      </c>
      <c r="L302" s="55" t="s">
        <v>6</v>
      </c>
      <c r="M302" s="55"/>
      <c r="N302" s="54"/>
    </row>
    <row r="303" spans="1:14" ht="14.25" customHeight="1">
      <c r="A303" s="49" t="s">
        <v>23</v>
      </c>
      <c r="B303" s="49" t="s">
        <v>415</v>
      </c>
      <c r="C303" s="49" t="s">
        <v>443</v>
      </c>
      <c r="D303" s="50">
        <v>1</v>
      </c>
      <c r="E303" s="50">
        <v>1</v>
      </c>
      <c r="F303" s="50">
        <v>0</v>
      </c>
      <c r="G303" s="50">
        <v>1</v>
      </c>
      <c r="H303" s="50">
        <v>1</v>
      </c>
      <c r="I303" s="50" t="s">
        <v>634</v>
      </c>
      <c r="J303" s="50" t="s">
        <v>634</v>
      </c>
      <c r="K303" s="50">
        <v>19</v>
      </c>
      <c r="L303" s="50" t="s">
        <v>6</v>
      </c>
      <c r="M303" s="50"/>
      <c r="N303" s="49"/>
    </row>
    <row r="304" spans="1:14" ht="14.25" customHeight="1">
      <c r="A304" s="54" t="s">
        <v>23</v>
      </c>
      <c r="B304" s="54" t="s">
        <v>391</v>
      </c>
      <c r="C304" s="54" t="s">
        <v>403</v>
      </c>
      <c r="D304" s="55">
        <v>5</v>
      </c>
      <c r="E304" s="55">
        <v>5</v>
      </c>
      <c r="F304" s="55">
        <v>0</v>
      </c>
      <c r="G304" s="55">
        <v>2</v>
      </c>
      <c r="H304" s="55">
        <v>2.5</v>
      </c>
      <c r="I304" s="55" t="s">
        <v>635</v>
      </c>
      <c r="J304" s="55" t="s">
        <v>636</v>
      </c>
      <c r="K304" s="55">
        <v>20</v>
      </c>
      <c r="L304" s="55" t="s">
        <v>6</v>
      </c>
      <c r="M304" s="55"/>
      <c r="N304" s="54"/>
    </row>
    <row r="305" spans="1:14" ht="14.25" customHeight="1">
      <c r="A305" s="49" t="s">
        <v>23</v>
      </c>
      <c r="B305" s="49" t="s">
        <v>391</v>
      </c>
      <c r="C305" s="49" t="s">
        <v>392</v>
      </c>
      <c r="D305" s="50">
        <v>4</v>
      </c>
      <c r="E305" s="50">
        <v>4</v>
      </c>
      <c r="F305" s="50">
        <v>0</v>
      </c>
      <c r="G305" s="50">
        <v>1</v>
      </c>
      <c r="H305" s="50">
        <v>4</v>
      </c>
      <c r="I305" s="50" t="s">
        <v>637</v>
      </c>
      <c r="J305" s="50" t="s">
        <v>637</v>
      </c>
      <c r="K305" s="50">
        <v>22</v>
      </c>
      <c r="L305" s="50" t="s">
        <v>6</v>
      </c>
      <c r="M305" s="50"/>
      <c r="N305" s="49"/>
    </row>
    <row r="306" spans="1:14" ht="14.25" customHeight="1">
      <c r="A306" s="54" t="s">
        <v>23</v>
      </c>
      <c r="B306" s="54" t="s">
        <v>391</v>
      </c>
      <c r="C306" s="54" t="s">
        <v>396</v>
      </c>
      <c r="D306" s="55">
        <v>4</v>
      </c>
      <c r="E306" s="55">
        <v>4</v>
      </c>
      <c r="F306" s="55">
        <v>0</v>
      </c>
      <c r="G306" s="55">
        <v>1</v>
      </c>
      <c r="H306" s="55">
        <v>4</v>
      </c>
      <c r="I306" s="55" t="s">
        <v>638</v>
      </c>
      <c r="J306" s="55" t="s">
        <v>638</v>
      </c>
      <c r="K306" s="55">
        <v>23</v>
      </c>
      <c r="L306" s="55" t="s">
        <v>6</v>
      </c>
      <c r="M306" s="55"/>
      <c r="N306" s="54"/>
    </row>
    <row r="307" spans="1:14" ht="14.25" customHeight="1">
      <c r="A307" s="49" t="s">
        <v>23</v>
      </c>
      <c r="B307" s="49" t="s">
        <v>391</v>
      </c>
      <c r="C307" s="49" t="s">
        <v>393</v>
      </c>
      <c r="D307" s="50">
        <v>3</v>
      </c>
      <c r="E307" s="50">
        <v>3</v>
      </c>
      <c r="F307" s="50">
        <v>0</v>
      </c>
      <c r="G307" s="50">
        <v>1</v>
      </c>
      <c r="H307" s="50">
        <v>3</v>
      </c>
      <c r="I307" s="50" t="s">
        <v>639</v>
      </c>
      <c r="J307" s="50" t="s">
        <v>639</v>
      </c>
      <c r="K307" s="50">
        <v>24</v>
      </c>
      <c r="L307" s="50" t="s">
        <v>6</v>
      </c>
      <c r="M307" s="50"/>
      <c r="N307" s="49"/>
    </row>
    <row r="308" spans="1:14" ht="14.25" customHeight="1">
      <c r="A308" s="54" t="s">
        <v>23</v>
      </c>
      <c r="B308" s="54" t="s">
        <v>391</v>
      </c>
      <c r="C308" s="54" t="s">
        <v>394</v>
      </c>
      <c r="D308" s="55">
        <v>3</v>
      </c>
      <c r="E308" s="55">
        <v>3</v>
      </c>
      <c r="F308" s="55">
        <v>0</v>
      </c>
      <c r="G308" s="55">
        <v>1</v>
      </c>
      <c r="H308" s="55">
        <v>3</v>
      </c>
      <c r="I308" s="55" t="s">
        <v>588</v>
      </c>
      <c r="J308" s="55" t="s">
        <v>588</v>
      </c>
      <c r="K308" s="55">
        <v>25</v>
      </c>
      <c r="L308" s="55" t="s">
        <v>6</v>
      </c>
      <c r="M308" s="55"/>
      <c r="N308" s="54"/>
    </row>
    <row r="309" spans="1:14" ht="14.25" customHeight="1">
      <c r="A309" s="49" t="s">
        <v>23</v>
      </c>
      <c r="B309" s="49" t="s">
        <v>391</v>
      </c>
      <c r="C309" s="49" t="s">
        <v>395</v>
      </c>
      <c r="D309" s="50">
        <v>3</v>
      </c>
      <c r="E309" s="50">
        <v>3</v>
      </c>
      <c r="F309" s="50">
        <v>0</v>
      </c>
      <c r="G309" s="50">
        <v>1</v>
      </c>
      <c r="H309" s="50">
        <v>3</v>
      </c>
      <c r="I309" s="50" t="s">
        <v>640</v>
      </c>
      <c r="J309" s="50" t="s">
        <v>640</v>
      </c>
      <c r="K309" s="50">
        <v>26</v>
      </c>
      <c r="L309" s="50" t="s">
        <v>6</v>
      </c>
      <c r="M309" s="50"/>
      <c r="N309" s="49"/>
    </row>
    <row r="310" spans="1:14" ht="14.25" customHeight="1">
      <c r="A310" s="54" t="s">
        <v>23</v>
      </c>
      <c r="B310" s="54" t="s">
        <v>391</v>
      </c>
      <c r="C310" s="54" t="s">
        <v>397</v>
      </c>
      <c r="D310" s="55">
        <v>2</v>
      </c>
      <c r="E310" s="55">
        <v>2</v>
      </c>
      <c r="F310" s="55">
        <v>0</v>
      </c>
      <c r="G310" s="55">
        <v>1</v>
      </c>
      <c r="H310" s="55">
        <v>2</v>
      </c>
      <c r="I310" s="55" t="s">
        <v>594</v>
      </c>
      <c r="J310" s="55" t="s">
        <v>594</v>
      </c>
      <c r="K310" s="55">
        <v>27</v>
      </c>
      <c r="L310" s="55" t="s">
        <v>6</v>
      </c>
      <c r="M310" s="55"/>
      <c r="N310" s="54"/>
    </row>
    <row r="311" spans="1:14" ht="14.25" customHeight="1">
      <c r="A311" s="49" t="s">
        <v>23</v>
      </c>
      <c r="B311" s="49" t="s">
        <v>391</v>
      </c>
      <c r="C311" s="49" t="s">
        <v>398</v>
      </c>
      <c r="D311" s="50">
        <v>2</v>
      </c>
      <c r="E311" s="50">
        <v>2</v>
      </c>
      <c r="F311" s="50">
        <v>0</v>
      </c>
      <c r="G311" s="50">
        <v>1</v>
      </c>
      <c r="H311" s="50">
        <v>2</v>
      </c>
      <c r="I311" s="50" t="s">
        <v>594</v>
      </c>
      <c r="J311" s="50" t="s">
        <v>594</v>
      </c>
      <c r="K311" s="50">
        <v>27</v>
      </c>
      <c r="L311" s="50" t="s">
        <v>6</v>
      </c>
      <c r="M311" s="50"/>
      <c r="N311" s="49"/>
    </row>
    <row r="312" spans="1:14" ht="14.25" customHeight="1">
      <c r="A312" s="54" t="s">
        <v>23</v>
      </c>
      <c r="B312" s="54" t="s">
        <v>391</v>
      </c>
      <c r="C312" s="54" t="s">
        <v>399</v>
      </c>
      <c r="D312" s="55">
        <v>2</v>
      </c>
      <c r="E312" s="55">
        <v>2</v>
      </c>
      <c r="F312" s="55">
        <v>0</v>
      </c>
      <c r="G312" s="55">
        <v>1</v>
      </c>
      <c r="H312" s="55">
        <v>2</v>
      </c>
      <c r="I312" s="55" t="s">
        <v>595</v>
      </c>
      <c r="J312" s="55" t="s">
        <v>595</v>
      </c>
      <c r="K312" s="55">
        <v>28</v>
      </c>
      <c r="L312" s="55" t="s">
        <v>6</v>
      </c>
      <c r="M312" s="55"/>
      <c r="N312" s="54"/>
    </row>
    <row r="313" spans="1:14" ht="14.25" customHeight="1">
      <c r="A313" s="49" t="s">
        <v>23</v>
      </c>
      <c r="B313" s="49" t="s">
        <v>391</v>
      </c>
      <c r="C313" s="49" t="s">
        <v>400</v>
      </c>
      <c r="D313" s="50">
        <v>2</v>
      </c>
      <c r="E313" s="50">
        <v>2</v>
      </c>
      <c r="F313" s="50">
        <v>0</v>
      </c>
      <c r="G313" s="50">
        <v>1</v>
      </c>
      <c r="H313" s="50">
        <v>2</v>
      </c>
      <c r="I313" s="50" t="s">
        <v>641</v>
      </c>
      <c r="J313" s="50" t="s">
        <v>641</v>
      </c>
      <c r="K313" s="50">
        <v>29</v>
      </c>
      <c r="L313" s="50" t="s">
        <v>6</v>
      </c>
      <c r="M313" s="50"/>
      <c r="N313" s="49"/>
    </row>
    <row r="314" spans="1:14" ht="14.25" customHeight="1">
      <c r="A314" s="54" t="s">
        <v>23</v>
      </c>
      <c r="B314" s="54" t="s">
        <v>391</v>
      </c>
      <c r="C314" s="54" t="s">
        <v>401</v>
      </c>
      <c r="D314" s="55">
        <v>2</v>
      </c>
      <c r="E314" s="55">
        <v>2</v>
      </c>
      <c r="F314" s="55">
        <v>0</v>
      </c>
      <c r="G314" s="55">
        <v>1</v>
      </c>
      <c r="H314" s="55">
        <v>2</v>
      </c>
      <c r="I314" s="55" t="s">
        <v>641</v>
      </c>
      <c r="J314" s="55" t="s">
        <v>641</v>
      </c>
      <c r="K314" s="55">
        <v>29</v>
      </c>
      <c r="L314" s="55" t="s">
        <v>6</v>
      </c>
      <c r="M314" s="55"/>
      <c r="N314" s="54"/>
    </row>
    <row r="315" spans="1:14" ht="14.25" customHeight="1">
      <c r="A315" s="49" t="s">
        <v>23</v>
      </c>
      <c r="B315" s="49" t="s">
        <v>391</v>
      </c>
      <c r="C315" s="49" t="s">
        <v>402</v>
      </c>
      <c r="D315" s="50">
        <v>2</v>
      </c>
      <c r="E315" s="50">
        <v>2</v>
      </c>
      <c r="F315" s="50">
        <v>0</v>
      </c>
      <c r="G315" s="50">
        <v>1</v>
      </c>
      <c r="H315" s="50">
        <v>2</v>
      </c>
      <c r="I315" s="50" t="s">
        <v>642</v>
      </c>
      <c r="J315" s="50" t="s">
        <v>642</v>
      </c>
      <c r="K315" s="50">
        <v>30</v>
      </c>
      <c r="L315" s="50" t="s">
        <v>6</v>
      </c>
      <c r="M315" s="50"/>
      <c r="N315" s="49"/>
    </row>
    <row r="316" spans="1:14" ht="14.25" customHeight="1">
      <c r="A316" s="54" t="s">
        <v>23</v>
      </c>
      <c r="B316" s="54" t="s">
        <v>391</v>
      </c>
      <c r="C316" s="54" t="s">
        <v>404</v>
      </c>
      <c r="D316" s="55">
        <v>2</v>
      </c>
      <c r="E316" s="55">
        <v>2</v>
      </c>
      <c r="F316" s="55">
        <v>0</v>
      </c>
      <c r="G316" s="55">
        <v>1</v>
      </c>
      <c r="H316" s="55">
        <v>2</v>
      </c>
      <c r="I316" s="55" t="s">
        <v>643</v>
      </c>
      <c r="J316" s="55" t="s">
        <v>643</v>
      </c>
      <c r="K316" s="55">
        <v>31</v>
      </c>
      <c r="L316" s="55" t="s">
        <v>6</v>
      </c>
      <c r="M316" s="55"/>
      <c r="N316" s="54"/>
    </row>
    <row r="317" spans="1:14" ht="14.25" customHeight="1">
      <c r="A317" s="49" t="s">
        <v>23</v>
      </c>
      <c r="B317" s="49" t="s">
        <v>405</v>
      </c>
      <c r="C317" s="49" t="s">
        <v>406</v>
      </c>
      <c r="D317" s="50">
        <v>4</v>
      </c>
      <c r="E317" s="50">
        <v>4</v>
      </c>
      <c r="F317" s="50">
        <v>0</v>
      </c>
      <c r="G317" s="50">
        <v>1</v>
      </c>
      <c r="H317" s="50">
        <v>4</v>
      </c>
      <c r="I317" s="50" t="s">
        <v>643</v>
      </c>
      <c r="J317" s="50" t="s">
        <v>643</v>
      </c>
      <c r="K317" s="50">
        <v>31</v>
      </c>
      <c r="L317" s="50" t="s">
        <v>6</v>
      </c>
      <c r="M317" s="50"/>
      <c r="N317" s="49"/>
    </row>
    <row r="318" spans="1:14" ht="14.25" customHeight="1">
      <c r="A318" s="54" t="s">
        <v>23</v>
      </c>
      <c r="B318" s="54" t="s">
        <v>405</v>
      </c>
      <c r="C318" s="54" t="s">
        <v>407</v>
      </c>
      <c r="D318" s="55">
        <v>3</v>
      </c>
      <c r="E318" s="55">
        <v>3</v>
      </c>
      <c r="F318" s="55">
        <v>0</v>
      </c>
      <c r="G318" s="55">
        <v>1</v>
      </c>
      <c r="H318" s="55">
        <v>3</v>
      </c>
      <c r="I318" s="55" t="s">
        <v>580</v>
      </c>
      <c r="J318" s="55" t="s">
        <v>580</v>
      </c>
      <c r="K318" s="55">
        <v>32</v>
      </c>
      <c r="L318" s="55" t="s">
        <v>6</v>
      </c>
      <c r="M318" s="55"/>
      <c r="N318" s="54"/>
    </row>
    <row r="319" spans="1:14" ht="14.25" customHeight="1">
      <c r="A319" s="49" t="s">
        <v>23</v>
      </c>
      <c r="B319" s="49" t="s">
        <v>405</v>
      </c>
      <c r="C319" s="49" t="s">
        <v>408</v>
      </c>
      <c r="D319" s="50">
        <v>3</v>
      </c>
      <c r="E319" s="50">
        <v>3</v>
      </c>
      <c r="F319" s="50">
        <v>0</v>
      </c>
      <c r="G319" s="50">
        <v>1</v>
      </c>
      <c r="H319" s="50">
        <v>3</v>
      </c>
      <c r="I319" s="50" t="s">
        <v>644</v>
      </c>
      <c r="J319" s="50" t="s">
        <v>644</v>
      </c>
      <c r="K319" s="50">
        <v>33</v>
      </c>
      <c r="L319" s="50" t="s">
        <v>6</v>
      </c>
      <c r="M319" s="50"/>
      <c r="N319" s="49"/>
    </row>
    <row r="320" spans="1:14" ht="14.25" customHeight="1">
      <c r="A320" s="54" t="s">
        <v>23</v>
      </c>
      <c r="B320" s="54" t="s">
        <v>405</v>
      </c>
      <c r="C320" s="54" t="s">
        <v>413</v>
      </c>
      <c r="D320" s="55">
        <v>3</v>
      </c>
      <c r="E320" s="55">
        <v>3</v>
      </c>
      <c r="F320" s="55">
        <v>0</v>
      </c>
      <c r="G320" s="55">
        <v>1</v>
      </c>
      <c r="H320" s="55">
        <v>3</v>
      </c>
      <c r="I320" s="55" t="s">
        <v>650</v>
      </c>
      <c r="J320" s="55" t="s">
        <v>650</v>
      </c>
      <c r="K320" s="55">
        <v>34</v>
      </c>
      <c r="L320" s="55" t="s">
        <v>6</v>
      </c>
      <c r="M320" s="55"/>
      <c r="N320" s="54"/>
    </row>
    <row r="321" spans="1:14" ht="14.25" customHeight="1">
      <c r="A321" s="49" t="s">
        <v>23</v>
      </c>
      <c r="B321" s="49" t="s">
        <v>405</v>
      </c>
      <c r="C321" s="49" t="s">
        <v>409</v>
      </c>
      <c r="D321" s="50">
        <v>2</v>
      </c>
      <c r="E321" s="50">
        <v>2</v>
      </c>
      <c r="F321" s="50">
        <v>0</v>
      </c>
      <c r="G321" s="50">
        <v>1</v>
      </c>
      <c r="H321" s="50">
        <v>2</v>
      </c>
      <c r="I321" s="50" t="s">
        <v>651</v>
      </c>
      <c r="J321" s="50" t="s">
        <v>651</v>
      </c>
      <c r="K321" s="50">
        <v>35</v>
      </c>
      <c r="L321" s="50" t="s">
        <v>6</v>
      </c>
      <c r="M321" s="50"/>
      <c r="N321" s="49"/>
    </row>
    <row r="322" spans="1:14" ht="14.25" customHeight="1">
      <c r="A322" s="54" t="s">
        <v>23</v>
      </c>
      <c r="B322" s="54" t="s">
        <v>405</v>
      </c>
      <c r="C322" s="54" t="s">
        <v>410</v>
      </c>
      <c r="D322" s="55">
        <v>2</v>
      </c>
      <c r="E322" s="55">
        <v>2</v>
      </c>
      <c r="F322" s="55">
        <v>0</v>
      </c>
      <c r="G322" s="55">
        <v>1</v>
      </c>
      <c r="H322" s="55">
        <v>2</v>
      </c>
      <c r="I322" s="55" t="s">
        <v>654</v>
      </c>
      <c r="J322" s="55" t="s">
        <v>654</v>
      </c>
      <c r="K322" s="55">
        <v>36</v>
      </c>
      <c r="L322" s="55" t="s">
        <v>6</v>
      </c>
      <c r="M322" s="55"/>
      <c r="N322" s="54"/>
    </row>
    <row r="323" spans="1:14" ht="14.25" customHeight="1">
      <c r="A323" s="49" t="s">
        <v>23</v>
      </c>
      <c r="B323" s="49" t="s">
        <v>405</v>
      </c>
      <c r="C323" s="49" t="s">
        <v>411</v>
      </c>
      <c r="D323" s="50">
        <v>2</v>
      </c>
      <c r="E323" s="50">
        <v>2</v>
      </c>
      <c r="F323" s="50">
        <v>0</v>
      </c>
      <c r="G323" s="50">
        <v>1</v>
      </c>
      <c r="H323" s="50">
        <v>2</v>
      </c>
      <c r="I323" s="50" t="s">
        <v>655</v>
      </c>
      <c r="J323" s="50" t="s">
        <v>655</v>
      </c>
      <c r="K323" s="50">
        <v>37</v>
      </c>
      <c r="L323" s="50" t="s">
        <v>6</v>
      </c>
      <c r="M323" s="50"/>
      <c r="N323" s="49"/>
    </row>
    <row r="324" spans="1:14" ht="14.25" customHeight="1">
      <c r="A324" s="54" t="s">
        <v>23</v>
      </c>
      <c r="B324" s="54" t="s">
        <v>405</v>
      </c>
      <c r="C324" s="54" t="s">
        <v>412</v>
      </c>
      <c r="D324" s="55">
        <v>2</v>
      </c>
      <c r="E324" s="55">
        <v>2</v>
      </c>
      <c r="F324" s="55">
        <v>0</v>
      </c>
      <c r="G324" s="55">
        <v>1</v>
      </c>
      <c r="H324" s="55">
        <v>2</v>
      </c>
      <c r="I324" s="55" t="s">
        <v>655</v>
      </c>
      <c r="J324" s="55" t="s">
        <v>655</v>
      </c>
      <c r="K324" s="55">
        <v>37</v>
      </c>
      <c r="L324" s="55" t="s">
        <v>6</v>
      </c>
      <c r="M324" s="55"/>
      <c r="N324" s="54"/>
    </row>
    <row r="325" spans="1:14" ht="14.25" customHeight="1">
      <c r="A325" s="49" t="s">
        <v>23</v>
      </c>
      <c r="B325" s="49" t="s">
        <v>405</v>
      </c>
      <c r="C325" s="49" t="s">
        <v>414</v>
      </c>
      <c r="D325" s="50">
        <v>2</v>
      </c>
      <c r="E325" s="50">
        <v>2</v>
      </c>
      <c r="F325" s="50">
        <v>0</v>
      </c>
      <c r="G325" s="50">
        <v>1</v>
      </c>
      <c r="H325" s="50">
        <v>2</v>
      </c>
      <c r="I325" s="50" t="s">
        <v>656</v>
      </c>
      <c r="J325" s="50" t="s">
        <v>656</v>
      </c>
      <c r="K325" s="50">
        <v>38</v>
      </c>
      <c r="L325" s="50" t="s">
        <v>6</v>
      </c>
      <c r="M325" s="50"/>
      <c r="N325" s="49"/>
    </row>
    <row r="326" spans="1:14" ht="14.25" customHeight="1">
      <c r="A326" s="54" t="s">
        <v>23</v>
      </c>
      <c r="B326" s="56" t="s">
        <v>453</v>
      </c>
      <c r="C326" s="54" t="s">
        <v>77</v>
      </c>
      <c r="D326" s="55">
        <v>11</v>
      </c>
      <c r="E326" s="55">
        <v>0</v>
      </c>
      <c r="F326" s="55">
        <v>11</v>
      </c>
      <c r="G326" s="55">
        <v>4</v>
      </c>
      <c r="H326" s="55">
        <v>2.75</v>
      </c>
      <c r="I326" s="55" t="s">
        <v>586</v>
      </c>
      <c r="J326" s="55" t="s">
        <v>653</v>
      </c>
      <c r="K326" s="55">
        <v>39</v>
      </c>
      <c r="L326" s="55" t="s">
        <v>6</v>
      </c>
      <c r="M326" s="55"/>
      <c r="N326" s="54"/>
    </row>
    <row r="327" spans="1:14" ht="14.25" customHeight="1">
      <c r="A327" s="49" t="s">
        <v>23</v>
      </c>
      <c r="B327" s="53" t="s">
        <v>453</v>
      </c>
      <c r="C327" s="49" t="s">
        <v>454</v>
      </c>
      <c r="D327" s="50">
        <v>2</v>
      </c>
      <c r="E327" s="50">
        <v>2</v>
      </c>
      <c r="F327" s="50">
        <v>0</v>
      </c>
      <c r="G327" s="50">
        <v>1</v>
      </c>
      <c r="H327" s="50">
        <v>2</v>
      </c>
      <c r="I327" s="50" t="s">
        <v>596</v>
      </c>
      <c r="J327" s="50" t="s">
        <v>596</v>
      </c>
      <c r="K327" s="50">
        <v>43</v>
      </c>
      <c r="L327" s="50" t="s">
        <v>6</v>
      </c>
      <c r="M327" s="50"/>
      <c r="N327" s="49"/>
    </row>
    <row r="328" spans="1:14" ht="14.25" customHeight="1">
      <c r="A328" s="54" t="s">
        <v>23</v>
      </c>
      <c r="B328" s="56" t="s">
        <v>453</v>
      </c>
      <c r="C328" s="54" t="s">
        <v>455</v>
      </c>
      <c r="D328" s="55">
        <v>2</v>
      </c>
      <c r="E328" s="55">
        <v>2</v>
      </c>
      <c r="F328" s="55">
        <v>0</v>
      </c>
      <c r="G328" s="55">
        <v>1</v>
      </c>
      <c r="H328" s="55">
        <v>2</v>
      </c>
      <c r="I328" s="55" t="s">
        <v>596</v>
      </c>
      <c r="J328" s="55" t="s">
        <v>596</v>
      </c>
      <c r="K328" s="55">
        <v>43</v>
      </c>
      <c r="L328" s="55" t="s">
        <v>6</v>
      </c>
      <c r="M328" s="55"/>
      <c r="N328" s="54"/>
    </row>
    <row r="329" spans="1:14" ht="14.25" customHeight="1">
      <c r="A329" s="49" t="s">
        <v>23</v>
      </c>
      <c r="B329" s="53" t="s">
        <v>453</v>
      </c>
      <c r="C329" s="49" t="s">
        <v>356</v>
      </c>
      <c r="D329" s="50">
        <v>1</v>
      </c>
      <c r="E329" s="50">
        <v>1</v>
      </c>
      <c r="F329" s="50">
        <v>0</v>
      </c>
      <c r="G329" s="50">
        <v>1</v>
      </c>
      <c r="H329" s="50">
        <v>1</v>
      </c>
      <c r="I329" s="50" t="s">
        <v>597</v>
      </c>
      <c r="J329" s="50" t="s">
        <v>597</v>
      </c>
      <c r="K329" s="50">
        <v>44</v>
      </c>
      <c r="L329" s="50" t="s">
        <v>6</v>
      </c>
      <c r="M329" s="50"/>
      <c r="N329" s="49"/>
    </row>
    <row r="330" spans="1:14" ht="14.25" customHeight="1">
      <c r="A330" s="54" t="s">
        <v>23</v>
      </c>
      <c r="B330" s="56" t="s">
        <v>453</v>
      </c>
      <c r="C330" s="54" t="s">
        <v>290</v>
      </c>
      <c r="D330" s="55">
        <v>1</v>
      </c>
      <c r="E330" s="55">
        <v>1</v>
      </c>
      <c r="F330" s="55">
        <v>0</v>
      </c>
      <c r="G330" s="55">
        <v>1</v>
      </c>
      <c r="H330" s="55">
        <v>1</v>
      </c>
      <c r="I330" s="55" t="s">
        <v>597</v>
      </c>
      <c r="J330" s="55" t="s">
        <v>597</v>
      </c>
      <c r="K330" s="55">
        <v>44</v>
      </c>
      <c r="L330" s="55" t="s">
        <v>6</v>
      </c>
      <c r="M330" s="55"/>
      <c r="N330" s="54"/>
    </row>
    <row r="331" spans="1:14" ht="14.25" customHeight="1">
      <c r="A331" s="49" t="s">
        <v>23</v>
      </c>
      <c r="B331" s="53" t="s">
        <v>448</v>
      </c>
      <c r="C331" s="49" t="s">
        <v>447</v>
      </c>
      <c r="D331" s="50">
        <v>3</v>
      </c>
      <c r="E331" s="50">
        <v>3</v>
      </c>
      <c r="F331" s="50">
        <v>0</v>
      </c>
      <c r="G331" s="50">
        <v>1</v>
      </c>
      <c r="H331" s="50">
        <v>3</v>
      </c>
      <c r="I331" s="50" t="s">
        <v>597</v>
      </c>
      <c r="J331" s="50" t="s">
        <v>597</v>
      </c>
      <c r="K331" s="50">
        <v>44</v>
      </c>
      <c r="L331" s="50" t="s">
        <v>6</v>
      </c>
      <c r="M331" s="50"/>
      <c r="N331" s="49"/>
    </row>
    <row r="332" spans="1:14" ht="14.25" customHeight="1">
      <c r="A332" s="54" t="s">
        <v>23</v>
      </c>
      <c r="B332" s="54" t="s">
        <v>445</v>
      </c>
      <c r="C332" s="54" t="s">
        <v>445</v>
      </c>
      <c r="D332" s="55">
        <v>2</v>
      </c>
      <c r="E332" s="55">
        <v>2</v>
      </c>
      <c r="F332" s="55">
        <v>0</v>
      </c>
      <c r="G332" s="55">
        <v>1</v>
      </c>
      <c r="H332" s="55">
        <v>2</v>
      </c>
      <c r="I332" s="55" t="s">
        <v>587</v>
      </c>
      <c r="J332" s="55" t="s">
        <v>587</v>
      </c>
      <c r="K332" s="55">
        <v>45</v>
      </c>
      <c r="L332" s="55" t="s">
        <v>6</v>
      </c>
      <c r="M332" s="55"/>
      <c r="N332" s="54"/>
    </row>
    <row r="333" spans="1:14" ht="14.25" customHeight="1">
      <c r="A333" s="49" t="s">
        <v>23</v>
      </c>
      <c r="B333" s="53" t="s">
        <v>446</v>
      </c>
      <c r="C333" s="49" t="s">
        <v>447</v>
      </c>
      <c r="D333" s="50">
        <v>2</v>
      </c>
      <c r="E333" s="50">
        <v>2</v>
      </c>
      <c r="F333" s="50">
        <v>0</v>
      </c>
      <c r="G333" s="50">
        <v>1</v>
      </c>
      <c r="H333" s="50">
        <v>2</v>
      </c>
      <c r="I333" s="50" t="s">
        <v>663</v>
      </c>
      <c r="J333" s="50" t="s">
        <v>663</v>
      </c>
      <c r="K333" s="50">
        <v>46</v>
      </c>
      <c r="L333" s="50" t="s">
        <v>6</v>
      </c>
      <c r="M333" s="50"/>
      <c r="N333" s="49"/>
    </row>
    <row r="334" spans="1:14" ht="14.25" customHeight="1">
      <c r="A334" s="54" t="s">
        <v>23</v>
      </c>
      <c r="B334" s="54" t="s">
        <v>389</v>
      </c>
      <c r="C334" s="56" t="s">
        <v>390</v>
      </c>
      <c r="D334" s="55">
        <v>1</v>
      </c>
      <c r="E334" s="55">
        <v>1</v>
      </c>
      <c r="F334" s="55">
        <v>0</v>
      </c>
      <c r="G334" s="55">
        <v>1</v>
      </c>
      <c r="H334" s="55">
        <v>1</v>
      </c>
      <c r="I334" s="55" t="s">
        <v>584</v>
      </c>
      <c r="J334" s="55" t="s">
        <v>584</v>
      </c>
      <c r="K334" s="55">
        <v>47</v>
      </c>
      <c r="L334" s="55" t="s">
        <v>6</v>
      </c>
      <c r="M334" s="55"/>
      <c r="N334" s="54"/>
    </row>
    <row r="335" spans="1:14" ht="14.25" customHeight="1">
      <c r="A335" s="49" t="s">
        <v>23</v>
      </c>
      <c r="B335" s="53" t="s">
        <v>449</v>
      </c>
      <c r="C335" s="49" t="s">
        <v>450</v>
      </c>
      <c r="D335" s="50">
        <v>1</v>
      </c>
      <c r="E335" s="50">
        <v>1</v>
      </c>
      <c r="F335" s="50">
        <v>0</v>
      </c>
      <c r="G335" s="50">
        <v>1</v>
      </c>
      <c r="H335" s="50">
        <v>1</v>
      </c>
      <c r="I335" s="50" t="s">
        <v>584</v>
      </c>
      <c r="J335" s="50" t="s">
        <v>584</v>
      </c>
      <c r="K335" s="50">
        <v>47</v>
      </c>
      <c r="L335" s="50" t="s">
        <v>6</v>
      </c>
      <c r="M335" s="50"/>
      <c r="N335" s="49"/>
    </row>
    <row r="336" spans="1:14" ht="14.25" customHeight="1">
      <c r="A336" s="54" t="s">
        <v>23</v>
      </c>
      <c r="B336" s="56" t="s">
        <v>451</v>
      </c>
      <c r="C336" s="54" t="s">
        <v>452</v>
      </c>
      <c r="D336" s="55">
        <v>1</v>
      </c>
      <c r="E336" s="55">
        <v>1</v>
      </c>
      <c r="F336" s="55">
        <v>0</v>
      </c>
      <c r="G336" s="55">
        <v>1</v>
      </c>
      <c r="H336" s="55">
        <v>1</v>
      </c>
      <c r="I336" s="55" t="s">
        <v>584</v>
      </c>
      <c r="J336" s="55" t="s">
        <v>584</v>
      </c>
      <c r="K336" s="55">
        <v>47</v>
      </c>
      <c r="L336" s="55" t="s">
        <v>6</v>
      </c>
      <c r="M336" s="55"/>
      <c r="N336" s="54"/>
    </row>
    <row r="337" spans="1:14" ht="14.25" customHeight="1">
      <c r="A337" s="49" t="s">
        <v>24</v>
      </c>
      <c r="B337" s="49" t="s">
        <v>24</v>
      </c>
      <c r="C337" s="49" t="s">
        <v>77</v>
      </c>
      <c r="D337" s="50">
        <v>25</v>
      </c>
      <c r="E337" s="50">
        <v>0</v>
      </c>
      <c r="F337" s="50">
        <v>25</v>
      </c>
      <c r="G337" s="50">
        <v>8</v>
      </c>
      <c r="H337" s="50">
        <v>3.12</v>
      </c>
      <c r="I337" s="50" t="s">
        <v>585</v>
      </c>
      <c r="J337" s="50" t="s">
        <v>630</v>
      </c>
      <c r="K337" s="50">
        <v>1</v>
      </c>
      <c r="L337" s="50" t="s">
        <v>6</v>
      </c>
      <c r="M337" s="50"/>
      <c r="N337" s="49"/>
    </row>
    <row r="338" spans="1:14" ht="14.25" customHeight="1">
      <c r="A338" s="54" t="s">
        <v>24</v>
      </c>
      <c r="B338" s="54" t="s">
        <v>24</v>
      </c>
      <c r="C338" s="54" t="s">
        <v>473</v>
      </c>
      <c r="D338" s="55">
        <v>4</v>
      </c>
      <c r="E338" s="55">
        <v>4</v>
      </c>
      <c r="F338" s="55">
        <v>0</v>
      </c>
      <c r="G338" s="55">
        <v>1</v>
      </c>
      <c r="H338" s="55">
        <v>4</v>
      </c>
      <c r="I338" s="55" t="s">
        <v>631</v>
      </c>
      <c r="J338" s="55" t="s">
        <v>631</v>
      </c>
      <c r="K338" s="55">
        <v>9</v>
      </c>
      <c r="L338" s="55" t="s">
        <v>6</v>
      </c>
      <c r="M338" s="55"/>
      <c r="N338" s="54"/>
    </row>
    <row r="339" spans="1:14" ht="14.25" customHeight="1">
      <c r="A339" s="49" t="s">
        <v>24</v>
      </c>
      <c r="B339" s="49" t="s">
        <v>24</v>
      </c>
      <c r="C339" s="49" t="s">
        <v>474</v>
      </c>
      <c r="D339" s="50">
        <v>3</v>
      </c>
      <c r="E339" s="50">
        <v>3</v>
      </c>
      <c r="F339" s="50">
        <v>0</v>
      </c>
      <c r="G339" s="50">
        <v>1</v>
      </c>
      <c r="H339" s="50">
        <v>3</v>
      </c>
      <c r="I339" s="50" t="s">
        <v>632</v>
      </c>
      <c r="J339" s="50" t="s">
        <v>632</v>
      </c>
      <c r="K339" s="50">
        <v>10</v>
      </c>
      <c r="L339" s="50" t="s">
        <v>6</v>
      </c>
      <c r="M339" s="50"/>
      <c r="N339" s="49"/>
    </row>
    <row r="340" spans="1:14" ht="14.25" customHeight="1">
      <c r="A340" s="54" t="s">
        <v>24</v>
      </c>
      <c r="B340" s="54" t="s">
        <v>24</v>
      </c>
      <c r="C340" s="54" t="s">
        <v>477</v>
      </c>
      <c r="D340" s="55">
        <v>3</v>
      </c>
      <c r="E340" s="55">
        <v>3</v>
      </c>
      <c r="F340" s="55">
        <v>0</v>
      </c>
      <c r="G340" s="55">
        <v>1</v>
      </c>
      <c r="H340" s="55">
        <v>3</v>
      </c>
      <c r="I340" s="55" t="s">
        <v>633</v>
      </c>
      <c r="J340" s="55" t="s">
        <v>633</v>
      </c>
      <c r="K340" s="55">
        <v>11</v>
      </c>
      <c r="L340" s="55" t="s">
        <v>6</v>
      </c>
      <c r="M340" s="55"/>
      <c r="N340" s="54"/>
    </row>
    <row r="341" spans="1:14" ht="14.25" customHeight="1">
      <c r="A341" s="49" t="s">
        <v>24</v>
      </c>
      <c r="B341" s="49" t="s">
        <v>24</v>
      </c>
      <c r="C341" s="49" t="s">
        <v>472</v>
      </c>
      <c r="D341" s="50">
        <v>2</v>
      </c>
      <c r="E341" s="50">
        <v>2</v>
      </c>
      <c r="F341" s="50">
        <v>0</v>
      </c>
      <c r="G341" s="50">
        <v>1</v>
      </c>
      <c r="H341" s="50">
        <v>2</v>
      </c>
      <c r="I341" s="50" t="s">
        <v>634</v>
      </c>
      <c r="J341" s="50" t="s">
        <v>634</v>
      </c>
      <c r="K341" s="50">
        <v>12</v>
      </c>
      <c r="L341" s="50" t="s">
        <v>6</v>
      </c>
      <c r="M341" s="50"/>
      <c r="N341" s="49"/>
    </row>
    <row r="342" spans="1:14" ht="14.25" customHeight="1">
      <c r="A342" s="54" t="s">
        <v>24</v>
      </c>
      <c r="B342" s="54" t="s">
        <v>24</v>
      </c>
      <c r="C342" s="54" t="s">
        <v>476</v>
      </c>
      <c r="D342" s="55">
        <v>2</v>
      </c>
      <c r="E342" s="55">
        <v>2</v>
      </c>
      <c r="F342" s="55">
        <v>0</v>
      </c>
      <c r="G342" s="55">
        <v>1</v>
      </c>
      <c r="H342" s="55">
        <v>2</v>
      </c>
      <c r="I342" s="55" t="s">
        <v>634</v>
      </c>
      <c r="J342" s="55" t="s">
        <v>634</v>
      </c>
      <c r="K342" s="55">
        <v>12</v>
      </c>
      <c r="L342" s="55" t="s">
        <v>6</v>
      </c>
      <c r="M342" s="55"/>
      <c r="N342" s="54"/>
    </row>
    <row r="343" spans="1:14" ht="14.25" customHeight="1">
      <c r="A343" s="49" t="s">
        <v>24</v>
      </c>
      <c r="B343" s="49" t="s">
        <v>24</v>
      </c>
      <c r="C343" s="49" t="s">
        <v>478</v>
      </c>
      <c r="D343" s="50">
        <v>2</v>
      </c>
      <c r="E343" s="50">
        <v>2</v>
      </c>
      <c r="F343" s="50">
        <v>0</v>
      </c>
      <c r="G343" s="50">
        <v>1</v>
      </c>
      <c r="H343" s="50">
        <v>2</v>
      </c>
      <c r="I343" s="50" t="s">
        <v>635</v>
      </c>
      <c r="J343" s="50" t="s">
        <v>635</v>
      </c>
      <c r="K343" s="50">
        <v>13</v>
      </c>
      <c r="L343" s="50" t="s">
        <v>6</v>
      </c>
      <c r="M343" s="50"/>
      <c r="N343" s="49"/>
    </row>
    <row r="344" spans="1:14" ht="14.25" customHeight="1">
      <c r="A344" s="54" t="s">
        <v>24</v>
      </c>
      <c r="B344" s="54" t="s">
        <v>24</v>
      </c>
      <c r="C344" s="56" t="s">
        <v>481</v>
      </c>
      <c r="D344" s="55">
        <v>2</v>
      </c>
      <c r="E344" s="55">
        <v>2</v>
      </c>
      <c r="F344" s="55">
        <v>0</v>
      </c>
      <c r="G344" s="55">
        <v>1</v>
      </c>
      <c r="H344" s="55">
        <v>2</v>
      </c>
      <c r="I344" s="55" t="s">
        <v>636</v>
      </c>
      <c r="J344" s="55" t="s">
        <v>636</v>
      </c>
      <c r="K344" s="55">
        <v>14</v>
      </c>
      <c r="L344" s="55" t="s">
        <v>6</v>
      </c>
      <c r="M344" s="55"/>
      <c r="N344" s="54"/>
    </row>
    <row r="345" spans="1:14" ht="14.25" customHeight="1">
      <c r="A345" s="49" t="s">
        <v>24</v>
      </c>
      <c r="B345" s="49" t="s">
        <v>24</v>
      </c>
      <c r="C345" s="49" t="s">
        <v>475</v>
      </c>
      <c r="D345" s="50">
        <v>1</v>
      </c>
      <c r="E345" s="50">
        <v>1</v>
      </c>
      <c r="F345" s="50">
        <v>0</v>
      </c>
      <c r="G345" s="50">
        <v>1</v>
      </c>
      <c r="H345" s="50">
        <v>1</v>
      </c>
      <c r="I345" s="50" t="s">
        <v>636</v>
      </c>
      <c r="J345" s="50" t="s">
        <v>636</v>
      </c>
      <c r="K345" s="50">
        <v>14</v>
      </c>
      <c r="L345" s="50" t="s">
        <v>6</v>
      </c>
      <c r="M345" s="50"/>
      <c r="N345" s="49"/>
    </row>
    <row r="346" spans="1:14" ht="14.25" customHeight="1">
      <c r="A346" s="54" t="s">
        <v>24</v>
      </c>
      <c r="B346" s="54" t="s">
        <v>24</v>
      </c>
      <c r="C346" s="56" t="s">
        <v>479</v>
      </c>
      <c r="D346" s="55">
        <v>1</v>
      </c>
      <c r="E346" s="55">
        <v>1</v>
      </c>
      <c r="F346" s="55">
        <v>0</v>
      </c>
      <c r="G346" s="55">
        <v>1</v>
      </c>
      <c r="H346" s="55">
        <v>1</v>
      </c>
      <c r="I346" s="55" t="s">
        <v>637</v>
      </c>
      <c r="J346" s="55" t="s">
        <v>637</v>
      </c>
      <c r="K346" s="55">
        <v>15</v>
      </c>
      <c r="L346" s="55" t="s">
        <v>6</v>
      </c>
      <c r="M346" s="55"/>
      <c r="N346" s="54"/>
    </row>
    <row r="347" spans="1:14" ht="14.25" customHeight="1">
      <c r="A347" s="49" t="s">
        <v>24</v>
      </c>
      <c r="B347" s="49" t="s">
        <v>24</v>
      </c>
      <c r="C347" s="53" t="s">
        <v>480</v>
      </c>
      <c r="D347" s="50">
        <v>1</v>
      </c>
      <c r="E347" s="50">
        <v>1</v>
      </c>
      <c r="F347" s="50">
        <v>0</v>
      </c>
      <c r="G347" s="50">
        <v>1</v>
      </c>
      <c r="H347" s="50">
        <v>1</v>
      </c>
      <c r="I347" s="50" t="s">
        <v>637</v>
      </c>
      <c r="J347" s="50" t="s">
        <v>637</v>
      </c>
      <c r="K347" s="50">
        <v>15</v>
      </c>
      <c r="L347" s="50" t="s">
        <v>6</v>
      </c>
      <c r="M347" s="50"/>
      <c r="N347" s="49"/>
    </row>
    <row r="348" spans="1:14" ht="14.25" customHeight="1">
      <c r="A348" s="54" t="s">
        <v>24</v>
      </c>
      <c r="B348" s="54" t="s">
        <v>24</v>
      </c>
      <c r="C348" s="56" t="s">
        <v>483</v>
      </c>
      <c r="D348" s="55">
        <v>1</v>
      </c>
      <c r="E348" s="55">
        <v>1</v>
      </c>
      <c r="F348" s="55">
        <v>0</v>
      </c>
      <c r="G348" s="55">
        <v>1</v>
      </c>
      <c r="H348" s="55">
        <v>1</v>
      </c>
      <c r="I348" s="55" t="s">
        <v>637</v>
      </c>
      <c r="J348" s="55" t="s">
        <v>637</v>
      </c>
      <c r="K348" s="55">
        <v>15</v>
      </c>
      <c r="L348" s="55" t="s">
        <v>6</v>
      </c>
      <c r="M348" s="55"/>
      <c r="N348" s="54"/>
    </row>
    <row r="349" spans="1:14" ht="14.25" customHeight="1">
      <c r="A349" s="49" t="s">
        <v>24</v>
      </c>
      <c r="B349" s="49" t="s">
        <v>24</v>
      </c>
      <c r="C349" s="53" t="s">
        <v>484</v>
      </c>
      <c r="D349" s="50">
        <v>1</v>
      </c>
      <c r="E349" s="50">
        <v>1</v>
      </c>
      <c r="F349" s="50">
        <v>0</v>
      </c>
      <c r="G349" s="50">
        <v>1</v>
      </c>
      <c r="H349" s="50">
        <v>1</v>
      </c>
      <c r="I349" s="50" t="s">
        <v>638</v>
      </c>
      <c r="J349" s="50" t="s">
        <v>638</v>
      </c>
      <c r="K349" s="50">
        <v>16</v>
      </c>
      <c r="L349" s="50" t="s">
        <v>6</v>
      </c>
      <c r="M349" s="50"/>
      <c r="N349" s="49"/>
    </row>
    <row r="350" spans="1:14" ht="14.25" customHeight="1">
      <c r="A350" s="54" t="s">
        <v>24</v>
      </c>
      <c r="B350" s="54" t="s">
        <v>24</v>
      </c>
      <c r="C350" s="56" t="s">
        <v>482</v>
      </c>
      <c r="D350" s="55">
        <v>1</v>
      </c>
      <c r="E350" s="55">
        <v>1</v>
      </c>
      <c r="F350" s="55">
        <v>0</v>
      </c>
      <c r="G350" s="55">
        <v>1</v>
      </c>
      <c r="H350" s="55">
        <v>1</v>
      </c>
      <c r="I350" s="55" t="s">
        <v>638</v>
      </c>
      <c r="J350" s="55" t="s">
        <v>638</v>
      </c>
      <c r="K350" s="55">
        <v>16</v>
      </c>
      <c r="L350" s="55" t="s">
        <v>6</v>
      </c>
      <c r="M350" s="55"/>
      <c r="N350" s="54"/>
    </row>
    <row r="351" spans="1:14" ht="14.25" customHeight="1">
      <c r="A351" s="49" t="s">
        <v>24</v>
      </c>
      <c r="B351" s="53" t="s">
        <v>494</v>
      </c>
      <c r="C351" s="49" t="s">
        <v>77</v>
      </c>
      <c r="D351" s="50">
        <v>5</v>
      </c>
      <c r="E351" s="50">
        <v>0</v>
      </c>
      <c r="F351" s="50">
        <v>5</v>
      </c>
      <c r="G351" s="50">
        <v>2</v>
      </c>
      <c r="H351" s="50">
        <v>2.5</v>
      </c>
      <c r="I351" s="50" t="s">
        <v>638</v>
      </c>
      <c r="J351" s="50" t="s">
        <v>639</v>
      </c>
      <c r="K351" s="50">
        <v>16</v>
      </c>
      <c r="L351" s="50" t="s">
        <v>6</v>
      </c>
      <c r="M351" s="50"/>
      <c r="N351" s="49"/>
    </row>
    <row r="352" spans="1:14" ht="14.25" customHeight="1">
      <c r="A352" s="54" t="s">
        <v>24</v>
      </c>
      <c r="B352" s="56" t="s">
        <v>494</v>
      </c>
      <c r="C352" s="54" t="s">
        <v>472</v>
      </c>
      <c r="D352" s="55">
        <v>4</v>
      </c>
      <c r="E352" s="55">
        <v>4</v>
      </c>
      <c r="F352" s="55">
        <v>0</v>
      </c>
      <c r="G352" s="55">
        <v>1</v>
      </c>
      <c r="H352" s="55">
        <v>4</v>
      </c>
      <c r="I352" s="55" t="s">
        <v>588</v>
      </c>
      <c r="J352" s="55" t="s">
        <v>588</v>
      </c>
      <c r="K352" s="55">
        <v>18</v>
      </c>
      <c r="L352" s="55" t="s">
        <v>6</v>
      </c>
      <c r="M352" s="55"/>
      <c r="N352" s="54"/>
    </row>
    <row r="353" spans="1:14" ht="14.25" customHeight="1">
      <c r="A353" s="49" t="s">
        <v>24</v>
      </c>
      <c r="B353" s="53" t="s">
        <v>494</v>
      </c>
      <c r="C353" s="49" t="s">
        <v>495</v>
      </c>
      <c r="D353" s="50">
        <v>3</v>
      </c>
      <c r="E353" s="50">
        <v>3</v>
      </c>
      <c r="F353" s="50">
        <v>0</v>
      </c>
      <c r="G353" s="50">
        <v>1</v>
      </c>
      <c r="H353" s="50">
        <v>3</v>
      </c>
      <c r="I353" s="50" t="s">
        <v>640</v>
      </c>
      <c r="J353" s="50" t="s">
        <v>640</v>
      </c>
      <c r="K353" s="50">
        <v>19</v>
      </c>
      <c r="L353" s="50" t="s">
        <v>6</v>
      </c>
      <c r="M353" s="50"/>
      <c r="N353" s="49"/>
    </row>
    <row r="354" spans="1:14" ht="14.25" customHeight="1">
      <c r="A354" s="54" t="s">
        <v>24</v>
      </c>
      <c r="B354" s="56" t="s">
        <v>494</v>
      </c>
      <c r="C354" s="54" t="s">
        <v>496</v>
      </c>
      <c r="D354" s="55">
        <v>2</v>
      </c>
      <c r="E354" s="55">
        <v>2</v>
      </c>
      <c r="F354" s="55">
        <v>0</v>
      </c>
      <c r="G354" s="55">
        <v>1</v>
      </c>
      <c r="H354" s="55">
        <v>2</v>
      </c>
      <c r="I354" s="55" t="s">
        <v>594</v>
      </c>
      <c r="J354" s="55" t="s">
        <v>594</v>
      </c>
      <c r="K354" s="55">
        <v>20</v>
      </c>
      <c r="L354" s="55" t="s">
        <v>6</v>
      </c>
      <c r="M354" s="55"/>
      <c r="N354" s="54"/>
    </row>
    <row r="355" spans="1:14" ht="14.25" customHeight="1">
      <c r="A355" s="49" t="s">
        <v>24</v>
      </c>
      <c r="B355" s="53" t="s">
        <v>494</v>
      </c>
      <c r="C355" s="49" t="s">
        <v>460</v>
      </c>
      <c r="D355" s="50">
        <v>2</v>
      </c>
      <c r="E355" s="50">
        <v>2</v>
      </c>
      <c r="F355" s="50">
        <v>0</v>
      </c>
      <c r="G355" s="50">
        <v>1</v>
      </c>
      <c r="H355" s="50">
        <v>2</v>
      </c>
      <c r="I355" s="50" t="s">
        <v>595</v>
      </c>
      <c r="J355" s="50" t="s">
        <v>595</v>
      </c>
      <c r="K355" s="50">
        <v>21</v>
      </c>
      <c r="L355" s="50" t="s">
        <v>6</v>
      </c>
      <c r="M355" s="50"/>
      <c r="N355" s="49"/>
    </row>
    <row r="356" spans="1:14" ht="14.25" customHeight="1">
      <c r="A356" s="54" t="s">
        <v>24</v>
      </c>
      <c r="B356" s="56" t="s">
        <v>494</v>
      </c>
      <c r="C356" s="56" t="s">
        <v>499</v>
      </c>
      <c r="D356" s="55">
        <v>2</v>
      </c>
      <c r="E356" s="55">
        <v>2</v>
      </c>
      <c r="F356" s="55">
        <v>0</v>
      </c>
      <c r="G356" s="55">
        <v>1</v>
      </c>
      <c r="H356" s="55">
        <v>2</v>
      </c>
      <c r="I356" s="55" t="s">
        <v>641</v>
      </c>
      <c r="J356" s="55" t="s">
        <v>641</v>
      </c>
      <c r="K356" s="55">
        <v>22</v>
      </c>
      <c r="L356" s="55" t="s">
        <v>6</v>
      </c>
      <c r="M356" s="55"/>
      <c r="N356" s="54"/>
    </row>
    <row r="357" spans="1:14" ht="14.25" customHeight="1">
      <c r="A357" s="49" t="s">
        <v>24</v>
      </c>
      <c r="B357" s="53" t="s">
        <v>494</v>
      </c>
      <c r="C357" s="53" t="s">
        <v>498</v>
      </c>
      <c r="D357" s="50">
        <v>2</v>
      </c>
      <c r="E357" s="50">
        <v>2</v>
      </c>
      <c r="F357" s="50">
        <v>0</v>
      </c>
      <c r="G357" s="50">
        <v>1</v>
      </c>
      <c r="H357" s="50">
        <v>2</v>
      </c>
      <c r="I357" s="50" t="s">
        <v>641</v>
      </c>
      <c r="J357" s="50" t="s">
        <v>641</v>
      </c>
      <c r="K357" s="50">
        <v>22</v>
      </c>
      <c r="L357" s="50" t="s">
        <v>6</v>
      </c>
      <c r="M357" s="50"/>
      <c r="N357" s="49"/>
    </row>
    <row r="358" spans="1:14" ht="14.25" customHeight="1">
      <c r="A358" s="54" t="s">
        <v>24</v>
      </c>
      <c r="B358" s="56" t="s">
        <v>494</v>
      </c>
      <c r="C358" s="56" t="s">
        <v>500</v>
      </c>
      <c r="D358" s="55">
        <v>2</v>
      </c>
      <c r="E358" s="55">
        <v>2</v>
      </c>
      <c r="F358" s="55">
        <v>0</v>
      </c>
      <c r="G358" s="55">
        <v>1</v>
      </c>
      <c r="H358" s="55">
        <v>2</v>
      </c>
      <c r="I358" s="55" t="s">
        <v>642</v>
      </c>
      <c r="J358" s="55" t="s">
        <v>642</v>
      </c>
      <c r="K358" s="55">
        <v>23</v>
      </c>
      <c r="L358" s="55" t="s">
        <v>6</v>
      </c>
      <c r="M358" s="55"/>
      <c r="N358" s="54"/>
    </row>
    <row r="359" spans="1:14" ht="14.25" customHeight="1">
      <c r="A359" s="49" t="s">
        <v>24</v>
      </c>
      <c r="B359" s="53" t="s">
        <v>494</v>
      </c>
      <c r="C359" s="49" t="s">
        <v>497</v>
      </c>
      <c r="D359" s="50">
        <v>1</v>
      </c>
      <c r="E359" s="50">
        <v>1</v>
      </c>
      <c r="F359" s="50">
        <v>0</v>
      </c>
      <c r="G359" s="50">
        <v>1</v>
      </c>
      <c r="H359" s="50">
        <v>1</v>
      </c>
      <c r="I359" s="50" t="s">
        <v>642</v>
      </c>
      <c r="J359" s="50" t="s">
        <v>642</v>
      </c>
      <c r="K359" s="50">
        <v>23</v>
      </c>
      <c r="L359" s="50" t="s">
        <v>6</v>
      </c>
      <c r="M359" s="50"/>
      <c r="N359" s="49"/>
    </row>
    <row r="360" spans="1:14" ht="14.25" customHeight="1">
      <c r="A360" s="54" t="s">
        <v>24</v>
      </c>
      <c r="B360" s="54" t="s">
        <v>469</v>
      </c>
      <c r="C360" s="54" t="s">
        <v>460</v>
      </c>
      <c r="D360" s="55">
        <v>2</v>
      </c>
      <c r="E360" s="55">
        <v>2</v>
      </c>
      <c r="F360" s="55">
        <v>0</v>
      </c>
      <c r="G360" s="55">
        <v>1</v>
      </c>
      <c r="H360" s="55">
        <v>2</v>
      </c>
      <c r="I360" s="55" t="s">
        <v>643</v>
      </c>
      <c r="J360" s="55" t="s">
        <v>643</v>
      </c>
      <c r="K360" s="55">
        <v>24</v>
      </c>
      <c r="L360" s="55" t="s">
        <v>6</v>
      </c>
      <c r="M360" s="55"/>
      <c r="N360" s="54"/>
    </row>
    <row r="361" spans="1:14" ht="14.25" customHeight="1">
      <c r="A361" s="49" t="s">
        <v>24</v>
      </c>
      <c r="B361" s="49" t="s">
        <v>469</v>
      </c>
      <c r="C361" s="49" t="s">
        <v>77</v>
      </c>
      <c r="D361" s="50">
        <v>1</v>
      </c>
      <c r="E361" s="50">
        <v>0</v>
      </c>
      <c r="F361" s="50">
        <v>1</v>
      </c>
      <c r="G361" s="50">
        <v>1</v>
      </c>
      <c r="H361" s="50">
        <v>1</v>
      </c>
      <c r="I361" s="50" t="s">
        <v>643</v>
      </c>
      <c r="J361" s="50" t="s">
        <v>643</v>
      </c>
      <c r="K361" s="50">
        <v>24</v>
      </c>
      <c r="L361" s="50" t="s">
        <v>6</v>
      </c>
      <c r="M361" s="50"/>
      <c r="N361" s="49"/>
    </row>
    <row r="362" spans="1:14" ht="14.25" customHeight="1">
      <c r="A362" s="54" t="s">
        <v>24</v>
      </c>
      <c r="B362" s="54" t="s">
        <v>493</v>
      </c>
      <c r="C362" s="54" t="s">
        <v>460</v>
      </c>
      <c r="D362" s="55">
        <v>2</v>
      </c>
      <c r="E362" s="55">
        <v>2</v>
      </c>
      <c r="F362" s="55">
        <v>0</v>
      </c>
      <c r="G362" s="55">
        <v>1</v>
      </c>
      <c r="H362" s="55">
        <v>2</v>
      </c>
      <c r="I362" s="55" t="s">
        <v>580</v>
      </c>
      <c r="J362" s="55" t="s">
        <v>580</v>
      </c>
      <c r="K362" s="55">
        <v>25</v>
      </c>
      <c r="L362" s="55" t="s">
        <v>6</v>
      </c>
      <c r="M362" s="55"/>
      <c r="N362" s="54"/>
    </row>
    <row r="363" spans="1:14" ht="14.25" customHeight="1">
      <c r="A363" s="49" t="s">
        <v>24</v>
      </c>
      <c r="B363" s="49" t="s">
        <v>493</v>
      </c>
      <c r="C363" s="49" t="s">
        <v>77</v>
      </c>
      <c r="D363" s="50">
        <v>1</v>
      </c>
      <c r="E363" s="50">
        <v>0</v>
      </c>
      <c r="F363" s="50">
        <v>1</v>
      </c>
      <c r="G363" s="50">
        <v>1</v>
      </c>
      <c r="H363" s="50">
        <v>1</v>
      </c>
      <c r="I363" s="50" t="s">
        <v>580</v>
      </c>
      <c r="J363" s="50" t="s">
        <v>580</v>
      </c>
      <c r="K363" s="50">
        <v>25</v>
      </c>
      <c r="L363" s="50" t="s">
        <v>6</v>
      </c>
      <c r="M363" s="50"/>
      <c r="N363" s="49"/>
    </row>
    <row r="364" spans="1:14" ht="14.25" customHeight="1">
      <c r="A364" s="54" t="s">
        <v>24</v>
      </c>
      <c r="B364" s="54" t="s">
        <v>459</v>
      </c>
      <c r="C364" s="54" t="s">
        <v>460</v>
      </c>
      <c r="D364" s="55">
        <v>2</v>
      </c>
      <c r="E364" s="55">
        <v>2</v>
      </c>
      <c r="F364" s="55">
        <v>0</v>
      </c>
      <c r="G364" s="55">
        <v>1</v>
      </c>
      <c r="H364" s="55">
        <v>2</v>
      </c>
      <c r="I364" s="55" t="s">
        <v>644</v>
      </c>
      <c r="J364" s="55" t="s">
        <v>644</v>
      </c>
      <c r="K364" s="55">
        <v>26</v>
      </c>
      <c r="L364" s="55" t="s">
        <v>6</v>
      </c>
      <c r="M364" s="55"/>
      <c r="N364" s="54"/>
    </row>
    <row r="365" spans="1:14" ht="14.25" customHeight="1">
      <c r="A365" s="49" t="s">
        <v>24</v>
      </c>
      <c r="B365" s="49" t="s">
        <v>461</v>
      </c>
      <c r="C365" s="49" t="s">
        <v>462</v>
      </c>
      <c r="D365" s="50">
        <v>2</v>
      </c>
      <c r="E365" s="50">
        <v>2</v>
      </c>
      <c r="F365" s="50">
        <v>0</v>
      </c>
      <c r="G365" s="50">
        <v>1</v>
      </c>
      <c r="H365" s="50">
        <v>2</v>
      </c>
      <c r="I365" s="50" t="s">
        <v>644</v>
      </c>
      <c r="J365" s="50" t="s">
        <v>644</v>
      </c>
      <c r="K365" s="50">
        <v>26</v>
      </c>
      <c r="L365" s="50" t="s">
        <v>6</v>
      </c>
      <c r="M365" s="50"/>
      <c r="N365" s="49"/>
    </row>
    <row r="366" spans="1:14" ht="14.25" customHeight="1">
      <c r="A366" s="54" t="s">
        <v>24</v>
      </c>
      <c r="B366" s="54" t="s">
        <v>464</v>
      </c>
      <c r="C366" s="54" t="s">
        <v>465</v>
      </c>
      <c r="D366" s="55">
        <v>2</v>
      </c>
      <c r="E366" s="55">
        <v>2</v>
      </c>
      <c r="F366" s="55">
        <v>0</v>
      </c>
      <c r="G366" s="55">
        <v>1</v>
      </c>
      <c r="H366" s="55">
        <v>2</v>
      </c>
      <c r="I366" s="55" t="s">
        <v>650</v>
      </c>
      <c r="J366" s="55" t="s">
        <v>650</v>
      </c>
      <c r="K366" s="55">
        <v>27</v>
      </c>
      <c r="L366" s="55" t="s">
        <v>6</v>
      </c>
      <c r="M366" s="55"/>
      <c r="N366" s="54"/>
    </row>
    <row r="367" spans="1:14" ht="14.25" customHeight="1">
      <c r="A367" s="49" t="s">
        <v>24</v>
      </c>
      <c r="B367" s="49" t="s">
        <v>463</v>
      </c>
      <c r="C367" s="49" t="s">
        <v>327</v>
      </c>
      <c r="D367" s="50">
        <v>2</v>
      </c>
      <c r="E367" s="50">
        <v>2</v>
      </c>
      <c r="F367" s="50">
        <v>0</v>
      </c>
      <c r="G367" s="50">
        <v>1</v>
      </c>
      <c r="H367" s="50">
        <v>2</v>
      </c>
      <c r="I367" s="50" t="s">
        <v>651</v>
      </c>
      <c r="J367" s="50" t="s">
        <v>651</v>
      </c>
      <c r="K367" s="50">
        <v>28</v>
      </c>
      <c r="L367" s="50" t="s">
        <v>6</v>
      </c>
      <c r="M367" s="50"/>
      <c r="N367" s="49"/>
    </row>
    <row r="368" spans="1:14" ht="14.25" customHeight="1">
      <c r="A368" s="54" t="s">
        <v>24</v>
      </c>
      <c r="B368" s="54" t="s">
        <v>466</v>
      </c>
      <c r="C368" s="54" t="s">
        <v>467</v>
      </c>
      <c r="D368" s="55">
        <v>2</v>
      </c>
      <c r="E368" s="55">
        <v>2</v>
      </c>
      <c r="F368" s="55">
        <v>0</v>
      </c>
      <c r="G368" s="55">
        <v>1</v>
      </c>
      <c r="H368" s="55">
        <v>2</v>
      </c>
      <c r="I368" s="55" t="s">
        <v>651</v>
      </c>
      <c r="J368" s="55" t="s">
        <v>651</v>
      </c>
      <c r="K368" s="55">
        <v>28</v>
      </c>
      <c r="L368" s="55" t="s">
        <v>6</v>
      </c>
      <c r="M368" s="55"/>
      <c r="N368" s="54"/>
    </row>
    <row r="369" spans="1:14" ht="14.25" customHeight="1">
      <c r="A369" s="49" t="s">
        <v>24</v>
      </c>
      <c r="B369" s="49" t="s">
        <v>468</v>
      </c>
      <c r="C369" s="49" t="s">
        <v>290</v>
      </c>
      <c r="D369" s="50">
        <v>2</v>
      </c>
      <c r="E369" s="50">
        <v>2</v>
      </c>
      <c r="F369" s="50">
        <v>0</v>
      </c>
      <c r="G369" s="50">
        <v>1</v>
      </c>
      <c r="H369" s="50">
        <v>2</v>
      </c>
      <c r="I369" s="50" t="s">
        <v>654</v>
      </c>
      <c r="J369" s="50" t="s">
        <v>654</v>
      </c>
      <c r="K369" s="50">
        <v>29</v>
      </c>
      <c r="L369" s="50" t="s">
        <v>6</v>
      </c>
      <c r="M369" s="50"/>
      <c r="N369" s="49"/>
    </row>
    <row r="370" spans="1:14" ht="14.25" customHeight="1">
      <c r="A370" s="54" t="s">
        <v>24</v>
      </c>
      <c r="B370" s="54" t="s">
        <v>470</v>
      </c>
      <c r="C370" s="54" t="s">
        <v>471</v>
      </c>
      <c r="D370" s="55">
        <v>2</v>
      </c>
      <c r="E370" s="55">
        <v>2</v>
      </c>
      <c r="F370" s="55">
        <v>0</v>
      </c>
      <c r="G370" s="55">
        <v>1</v>
      </c>
      <c r="H370" s="55">
        <v>2</v>
      </c>
      <c r="I370" s="55" t="s">
        <v>655</v>
      </c>
      <c r="J370" s="55" t="s">
        <v>655</v>
      </c>
      <c r="K370" s="55">
        <v>30</v>
      </c>
      <c r="L370" s="55" t="s">
        <v>6</v>
      </c>
      <c r="M370" s="55"/>
      <c r="N370" s="54"/>
    </row>
    <row r="371" spans="1:14" ht="14.25" customHeight="1">
      <c r="A371" s="49" t="s">
        <v>24</v>
      </c>
      <c r="B371" s="49" t="s">
        <v>489</v>
      </c>
      <c r="C371" s="49" t="s">
        <v>490</v>
      </c>
      <c r="D371" s="50">
        <v>2</v>
      </c>
      <c r="E371" s="50">
        <v>2</v>
      </c>
      <c r="F371" s="50">
        <v>0</v>
      </c>
      <c r="G371" s="50">
        <v>1</v>
      </c>
      <c r="H371" s="50">
        <v>2</v>
      </c>
      <c r="I371" s="50" t="s">
        <v>655</v>
      </c>
      <c r="J371" s="50" t="s">
        <v>655</v>
      </c>
      <c r="K371" s="50">
        <v>30</v>
      </c>
      <c r="L371" s="50" t="s">
        <v>6</v>
      </c>
      <c r="M371" s="50"/>
      <c r="N371" s="49"/>
    </row>
    <row r="372" spans="1:14" ht="14.25" customHeight="1">
      <c r="A372" s="54" t="s">
        <v>24</v>
      </c>
      <c r="B372" s="54" t="s">
        <v>485</v>
      </c>
      <c r="C372" s="54" t="s">
        <v>486</v>
      </c>
      <c r="D372" s="55">
        <v>2</v>
      </c>
      <c r="E372" s="55">
        <v>2</v>
      </c>
      <c r="F372" s="55">
        <v>0</v>
      </c>
      <c r="G372" s="55">
        <v>1</v>
      </c>
      <c r="H372" s="55">
        <v>2</v>
      </c>
      <c r="I372" s="55" t="s">
        <v>656</v>
      </c>
      <c r="J372" s="55" t="s">
        <v>656</v>
      </c>
      <c r="K372" s="55">
        <v>31</v>
      </c>
      <c r="L372" s="55" t="s">
        <v>6</v>
      </c>
      <c r="M372" s="55"/>
      <c r="N372" s="54"/>
    </row>
    <row r="373" spans="1:14" ht="14.25" customHeight="1">
      <c r="A373" s="49" t="s">
        <v>24</v>
      </c>
      <c r="B373" s="49" t="s">
        <v>487</v>
      </c>
      <c r="C373" s="49" t="s">
        <v>488</v>
      </c>
      <c r="D373" s="50">
        <v>2</v>
      </c>
      <c r="E373" s="50">
        <v>2</v>
      </c>
      <c r="F373" s="50">
        <v>0</v>
      </c>
      <c r="G373" s="50">
        <v>1</v>
      </c>
      <c r="H373" s="50">
        <v>2</v>
      </c>
      <c r="I373" s="50" t="s">
        <v>586</v>
      </c>
      <c r="J373" s="50" t="s">
        <v>586</v>
      </c>
      <c r="K373" s="50">
        <v>32</v>
      </c>
      <c r="L373" s="50" t="s">
        <v>6</v>
      </c>
      <c r="M373" s="50"/>
      <c r="N373" s="49"/>
    </row>
    <row r="374" spans="1:14" ht="14.25" customHeight="1">
      <c r="A374" s="54" t="s">
        <v>24</v>
      </c>
      <c r="B374" s="54" t="s">
        <v>491</v>
      </c>
      <c r="C374" s="54" t="s">
        <v>492</v>
      </c>
      <c r="D374" s="55">
        <v>1</v>
      </c>
      <c r="E374" s="55">
        <v>1</v>
      </c>
      <c r="F374" s="55">
        <v>0</v>
      </c>
      <c r="G374" s="55">
        <v>1</v>
      </c>
      <c r="H374" s="55">
        <v>1</v>
      </c>
      <c r="I374" s="55" t="s">
        <v>586</v>
      </c>
      <c r="J374" s="55" t="s">
        <v>586</v>
      </c>
      <c r="K374" s="55">
        <v>32</v>
      </c>
      <c r="L374" s="55" t="s">
        <v>6</v>
      </c>
      <c r="M374" s="55"/>
      <c r="N374" s="54"/>
    </row>
    <row r="375" spans="1:14" ht="14.25" customHeight="1">
      <c r="A375" s="49" t="s">
        <v>25</v>
      </c>
      <c r="B375" s="49" t="s">
        <v>76</v>
      </c>
      <c r="C375" s="49" t="s">
        <v>77</v>
      </c>
      <c r="D375" s="50">
        <v>18</v>
      </c>
      <c r="E375" s="50">
        <v>0</v>
      </c>
      <c r="F375" s="50">
        <v>18</v>
      </c>
      <c r="G375" s="50">
        <v>6</v>
      </c>
      <c r="H375" s="50">
        <v>3</v>
      </c>
      <c r="I375" s="50" t="s">
        <v>585</v>
      </c>
      <c r="J375" s="50" t="s">
        <v>628</v>
      </c>
      <c r="K375" s="50">
        <v>1</v>
      </c>
      <c r="L375" s="50" t="s">
        <v>6</v>
      </c>
      <c r="M375" s="50"/>
      <c r="N375" s="49"/>
    </row>
    <row r="376" spans="1:14" ht="14.25" customHeight="1">
      <c r="A376" s="54" t="s">
        <v>25</v>
      </c>
      <c r="B376" s="54" t="s">
        <v>76</v>
      </c>
      <c r="C376" s="54" t="s">
        <v>296</v>
      </c>
      <c r="D376" s="55">
        <v>12</v>
      </c>
      <c r="E376" s="55">
        <v>12</v>
      </c>
      <c r="F376" s="55">
        <v>0</v>
      </c>
      <c r="G376" s="55">
        <v>4</v>
      </c>
      <c r="H376" s="55">
        <v>3</v>
      </c>
      <c r="I376" s="55" t="s">
        <v>629</v>
      </c>
      <c r="J376" s="55" t="s">
        <v>632</v>
      </c>
      <c r="K376" s="55">
        <v>7</v>
      </c>
      <c r="L376" s="55" t="s">
        <v>6</v>
      </c>
      <c r="M376" s="55"/>
      <c r="N376" s="54"/>
    </row>
    <row r="377" spans="1:14" ht="14.25" customHeight="1">
      <c r="A377" s="49" t="s">
        <v>25</v>
      </c>
      <c r="B377" s="49" t="s">
        <v>76</v>
      </c>
      <c r="C377" s="49" t="s">
        <v>82</v>
      </c>
      <c r="D377" s="50">
        <v>4</v>
      </c>
      <c r="E377" s="50">
        <v>4</v>
      </c>
      <c r="F377" s="50">
        <v>0</v>
      </c>
      <c r="G377" s="50">
        <v>1</v>
      </c>
      <c r="H377" s="50">
        <v>4</v>
      </c>
      <c r="I377" s="50" t="s">
        <v>633</v>
      </c>
      <c r="J377" s="50" t="s">
        <v>633</v>
      </c>
      <c r="K377" s="50">
        <v>11</v>
      </c>
      <c r="L377" s="50" t="s">
        <v>6</v>
      </c>
      <c r="M377" s="50"/>
      <c r="N377" s="49"/>
    </row>
    <row r="378" spans="1:14" ht="14.25" customHeight="1">
      <c r="A378" s="54" t="s">
        <v>25</v>
      </c>
      <c r="B378" s="54" t="s">
        <v>76</v>
      </c>
      <c r="C378" s="54" t="s">
        <v>294</v>
      </c>
      <c r="D378" s="55">
        <v>4</v>
      </c>
      <c r="E378" s="55">
        <v>4</v>
      </c>
      <c r="F378" s="55">
        <v>0</v>
      </c>
      <c r="G378" s="55">
        <v>1</v>
      </c>
      <c r="H378" s="55">
        <v>4</v>
      </c>
      <c r="I378" s="55" t="s">
        <v>634</v>
      </c>
      <c r="J378" s="55" t="s">
        <v>634</v>
      </c>
      <c r="K378" s="55">
        <v>12</v>
      </c>
      <c r="L378" s="55" t="s">
        <v>6</v>
      </c>
      <c r="M378" s="55"/>
      <c r="N378" s="54"/>
    </row>
    <row r="379" spans="1:14" ht="14.25" customHeight="1">
      <c r="A379" s="49" t="s">
        <v>25</v>
      </c>
      <c r="B379" s="49" t="s">
        <v>76</v>
      </c>
      <c r="C379" s="49" t="s">
        <v>291</v>
      </c>
      <c r="D379" s="50">
        <v>3</v>
      </c>
      <c r="E379" s="50">
        <v>3</v>
      </c>
      <c r="F379" s="50">
        <v>0</v>
      </c>
      <c r="G379" s="50">
        <v>1</v>
      </c>
      <c r="H379" s="50">
        <v>3</v>
      </c>
      <c r="I379" s="50" t="s">
        <v>635</v>
      </c>
      <c r="J379" s="50" t="s">
        <v>635</v>
      </c>
      <c r="K379" s="50">
        <v>13</v>
      </c>
      <c r="L379" s="50" t="s">
        <v>6</v>
      </c>
      <c r="M379" s="50"/>
      <c r="N379" s="49"/>
    </row>
    <row r="380" spans="1:14" ht="14.25" customHeight="1">
      <c r="A380" s="54" t="s">
        <v>25</v>
      </c>
      <c r="B380" s="54" t="s">
        <v>76</v>
      </c>
      <c r="C380" s="54" t="s">
        <v>295</v>
      </c>
      <c r="D380" s="55">
        <v>2</v>
      </c>
      <c r="E380" s="55">
        <v>2</v>
      </c>
      <c r="F380" s="55">
        <v>0</v>
      </c>
      <c r="G380" s="55">
        <v>1</v>
      </c>
      <c r="H380" s="55">
        <v>2</v>
      </c>
      <c r="I380" s="55" t="s">
        <v>636</v>
      </c>
      <c r="J380" s="55" t="s">
        <v>636</v>
      </c>
      <c r="K380" s="55">
        <v>14</v>
      </c>
      <c r="L380" s="55" t="s">
        <v>6</v>
      </c>
      <c r="M380" s="55"/>
      <c r="N380" s="54"/>
    </row>
    <row r="381" spans="1:14" ht="14.25" customHeight="1">
      <c r="A381" s="49" t="s">
        <v>25</v>
      </c>
      <c r="B381" s="49" t="s">
        <v>76</v>
      </c>
      <c r="C381" s="49" t="s">
        <v>292</v>
      </c>
      <c r="D381" s="50">
        <v>2</v>
      </c>
      <c r="E381" s="50">
        <v>2</v>
      </c>
      <c r="F381" s="50">
        <v>0</v>
      </c>
      <c r="G381" s="50">
        <v>1</v>
      </c>
      <c r="H381" s="50">
        <v>2</v>
      </c>
      <c r="I381" s="50" t="s">
        <v>637</v>
      </c>
      <c r="J381" s="50" t="s">
        <v>637</v>
      </c>
      <c r="K381" s="50">
        <v>15</v>
      </c>
      <c r="L381" s="50" t="s">
        <v>6</v>
      </c>
      <c r="M381" s="50"/>
      <c r="N381" s="49"/>
    </row>
    <row r="382" spans="1:14" ht="14.25" customHeight="1">
      <c r="A382" s="54" t="s">
        <v>25</v>
      </c>
      <c r="B382" s="54" t="s">
        <v>76</v>
      </c>
      <c r="C382" s="54" t="s">
        <v>293</v>
      </c>
      <c r="D382" s="55">
        <v>2</v>
      </c>
      <c r="E382" s="55">
        <v>2</v>
      </c>
      <c r="F382" s="55">
        <v>0</v>
      </c>
      <c r="G382" s="55">
        <v>1</v>
      </c>
      <c r="H382" s="55">
        <v>2</v>
      </c>
      <c r="I382" s="55" t="s">
        <v>638</v>
      </c>
      <c r="J382" s="55" t="s">
        <v>638</v>
      </c>
      <c r="K382" s="55">
        <v>16</v>
      </c>
      <c r="L382" s="55" t="s">
        <v>6</v>
      </c>
      <c r="M382" s="55"/>
      <c r="N382" s="54"/>
    </row>
    <row r="383" spans="1:14" ht="14.25" customHeight="1">
      <c r="A383" s="49" t="s">
        <v>25</v>
      </c>
      <c r="B383" s="49" t="s">
        <v>76</v>
      </c>
      <c r="C383" s="49" t="s">
        <v>89</v>
      </c>
      <c r="D383" s="50">
        <v>2</v>
      </c>
      <c r="E383" s="50">
        <v>2</v>
      </c>
      <c r="F383" s="50">
        <v>0</v>
      </c>
      <c r="G383" s="50">
        <v>1</v>
      </c>
      <c r="H383" s="50">
        <v>2</v>
      </c>
      <c r="I383" s="50" t="s">
        <v>638</v>
      </c>
      <c r="J383" s="50" t="s">
        <v>638</v>
      </c>
      <c r="K383" s="50">
        <v>16</v>
      </c>
      <c r="L383" s="50" t="s">
        <v>6</v>
      </c>
      <c r="M383" s="50"/>
      <c r="N383" s="49"/>
    </row>
    <row r="384" spans="1:14" ht="14.25" customHeight="1">
      <c r="A384" s="54" t="s">
        <v>25</v>
      </c>
      <c r="B384" s="54" t="s">
        <v>76</v>
      </c>
      <c r="C384" s="56" t="s">
        <v>298</v>
      </c>
      <c r="D384" s="55">
        <v>1</v>
      </c>
      <c r="E384" s="55">
        <v>1</v>
      </c>
      <c r="F384" s="55">
        <v>0</v>
      </c>
      <c r="G384" s="55">
        <v>1</v>
      </c>
      <c r="H384" s="55">
        <v>1</v>
      </c>
      <c r="I384" s="55" t="s">
        <v>639</v>
      </c>
      <c r="J384" s="55" t="s">
        <v>639</v>
      </c>
      <c r="K384" s="55">
        <v>17</v>
      </c>
      <c r="L384" s="55" t="s">
        <v>6</v>
      </c>
      <c r="M384" s="55"/>
      <c r="N384" s="54"/>
    </row>
    <row r="385" spans="1:14" ht="14.25" customHeight="1">
      <c r="A385" s="49" t="s">
        <v>25</v>
      </c>
      <c r="B385" s="49" t="s">
        <v>72</v>
      </c>
      <c r="C385" s="49" t="s">
        <v>77</v>
      </c>
      <c r="D385" s="50">
        <v>8</v>
      </c>
      <c r="E385" s="50">
        <v>0</v>
      </c>
      <c r="F385" s="50">
        <v>8</v>
      </c>
      <c r="G385" s="50">
        <v>3</v>
      </c>
      <c r="H385" s="50">
        <v>2.67</v>
      </c>
      <c r="I385" s="50" t="s">
        <v>639</v>
      </c>
      <c r="J385" s="50" t="s">
        <v>640</v>
      </c>
      <c r="K385" s="50">
        <v>17</v>
      </c>
      <c r="L385" s="50" t="s">
        <v>6</v>
      </c>
      <c r="M385" s="50"/>
      <c r="N385" s="49"/>
    </row>
    <row r="386" spans="1:14" ht="14.25" customHeight="1">
      <c r="A386" s="54" t="s">
        <v>25</v>
      </c>
      <c r="B386" s="54" t="s">
        <v>72</v>
      </c>
      <c r="C386" s="56" t="s">
        <v>86</v>
      </c>
      <c r="D386" s="55">
        <v>3</v>
      </c>
      <c r="E386" s="55">
        <v>3</v>
      </c>
      <c r="F386" s="55">
        <v>0</v>
      </c>
      <c r="G386" s="55">
        <v>1</v>
      </c>
      <c r="H386" s="55">
        <v>3</v>
      </c>
      <c r="I386" s="55" t="s">
        <v>594</v>
      </c>
      <c r="J386" s="55" t="s">
        <v>594</v>
      </c>
      <c r="K386" s="55">
        <v>20</v>
      </c>
      <c r="L386" s="55" t="s">
        <v>6</v>
      </c>
      <c r="M386" s="55"/>
      <c r="N386" s="54"/>
    </row>
    <row r="387" spans="1:14" ht="14.25" customHeight="1">
      <c r="A387" s="49" t="s">
        <v>25</v>
      </c>
      <c r="B387" s="49" t="s">
        <v>72</v>
      </c>
      <c r="C387" s="49" t="s">
        <v>73</v>
      </c>
      <c r="D387" s="50">
        <v>2</v>
      </c>
      <c r="E387" s="50">
        <v>2</v>
      </c>
      <c r="F387" s="50">
        <v>0</v>
      </c>
      <c r="G387" s="50">
        <v>1</v>
      </c>
      <c r="H387" s="50">
        <v>2</v>
      </c>
      <c r="I387" s="50" t="s">
        <v>595</v>
      </c>
      <c r="J387" s="50" t="s">
        <v>595</v>
      </c>
      <c r="K387" s="50">
        <v>21</v>
      </c>
      <c r="L387" s="50" t="s">
        <v>6</v>
      </c>
      <c r="M387" s="50"/>
      <c r="N387" s="49"/>
    </row>
    <row r="388" spans="1:14" ht="14.25" customHeight="1">
      <c r="A388" s="54" t="s">
        <v>25</v>
      </c>
      <c r="B388" s="54" t="s">
        <v>72</v>
      </c>
      <c r="C388" s="56" t="s">
        <v>85</v>
      </c>
      <c r="D388" s="55">
        <v>2</v>
      </c>
      <c r="E388" s="55">
        <v>2</v>
      </c>
      <c r="F388" s="55">
        <v>0</v>
      </c>
      <c r="G388" s="55">
        <v>1</v>
      </c>
      <c r="H388" s="55">
        <v>2</v>
      </c>
      <c r="I388" s="55" t="s">
        <v>641</v>
      </c>
      <c r="J388" s="55" t="s">
        <v>641</v>
      </c>
      <c r="K388" s="55">
        <v>22</v>
      </c>
      <c r="L388" s="55" t="s">
        <v>6</v>
      </c>
      <c r="M388" s="55"/>
      <c r="N388" s="54"/>
    </row>
    <row r="389" spans="1:14" ht="14.25" customHeight="1">
      <c r="A389" s="49" t="s">
        <v>25</v>
      </c>
      <c r="B389" s="49" t="s">
        <v>72</v>
      </c>
      <c r="C389" s="53" t="s">
        <v>695</v>
      </c>
      <c r="D389" s="50">
        <v>1</v>
      </c>
      <c r="E389" s="50">
        <v>1</v>
      </c>
      <c r="F389" s="50">
        <v>0</v>
      </c>
      <c r="G389" s="50">
        <v>1</v>
      </c>
      <c r="H389" s="50">
        <v>1</v>
      </c>
      <c r="I389" s="50" t="s">
        <v>641</v>
      </c>
      <c r="J389" s="50" t="s">
        <v>641</v>
      </c>
      <c r="K389" s="50">
        <v>22</v>
      </c>
      <c r="L389" s="50" t="s">
        <v>6</v>
      </c>
      <c r="M389" s="50"/>
      <c r="N389" s="49"/>
    </row>
    <row r="390" spans="1:14" ht="14.25" customHeight="1">
      <c r="A390" s="54" t="s">
        <v>25</v>
      </c>
      <c r="B390" s="54" t="s">
        <v>98</v>
      </c>
      <c r="C390" s="54" t="s">
        <v>77</v>
      </c>
      <c r="D390" s="55">
        <v>6</v>
      </c>
      <c r="E390" s="55">
        <v>0</v>
      </c>
      <c r="F390" s="55">
        <v>6</v>
      </c>
      <c r="G390" s="55">
        <v>2</v>
      </c>
      <c r="H390" s="55">
        <v>3</v>
      </c>
      <c r="I390" s="55" t="s">
        <v>642</v>
      </c>
      <c r="J390" s="55" t="s">
        <v>643</v>
      </c>
      <c r="K390" s="55">
        <v>23</v>
      </c>
      <c r="L390" s="55" t="s">
        <v>6</v>
      </c>
      <c r="M390" s="55"/>
      <c r="N390" s="54"/>
    </row>
    <row r="391" spans="1:14" ht="14.25" customHeight="1">
      <c r="A391" s="49" t="s">
        <v>25</v>
      </c>
      <c r="B391" s="49" t="s">
        <v>98</v>
      </c>
      <c r="C391" s="53" t="s">
        <v>304</v>
      </c>
      <c r="D391" s="50">
        <v>6</v>
      </c>
      <c r="E391" s="50">
        <v>6</v>
      </c>
      <c r="F391" s="50">
        <v>0</v>
      </c>
      <c r="G391" s="50">
        <v>2</v>
      </c>
      <c r="H391" s="50">
        <v>3</v>
      </c>
      <c r="I391" s="50" t="s">
        <v>580</v>
      </c>
      <c r="J391" s="50" t="s">
        <v>644</v>
      </c>
      <c r="K391" s="50">
        <v>25</v>
      </c>
      <c r="L391" s="50" t="s">
        <v>6</v>
      </c>
      <c r="M391" s="50"/>
      <c r="N391" s="49"/>
    </row>
    <row r="392" spans="1:14" ht="14.25" customHeight="1">
      <c r="A392" s="54" t="s">
        <v>25</v>
      </c>
      <c r="B392" s="54" t="s">
        <v>98</v>
      </c>
      <c r="C392" s="56" t="s">
        <v>299</v>
      </c>
      <c r="D392" s="55">
        <v>1</v>
      </c>
      <c r="E392" s="55">
        <v>1</v>
      </c>
      <c r="F392" s="55">
        <v>0</v>
      </c>
      <c r="G392" s="55">
        <v>1</v>
      </c>
      <c r="H392" s="55">
        <v>1</v>
      </c>
      <c r="I392" s="55" t="s">
        <v>650</v>
      </c>
      <c r="J392" s="55" t="s">
        <v>650</v>
      </c>
      <c r="K392" s="55">
        <v>27</v>
      </c>
      <c r="L392" s="55" t="s">
        <v>6</v>
      </c>
      <c r="M392" s="55"/>
      <c r="N392" s="54"/>
    </row>
    <row r="393" spans="1:14" ht="14.25" customHeight="1">
      <c r="A393" s="49" t="s">
        <v>25</v>
      </c>
      <c r="B393" s="49" t="s">
        <v>98</v>
      </c>
      <c r="C393" s="53" t="s">
        <v>301</v>
      </c>
      <c r="D393" s="50">
        <v>1</v>
      </c>
      <c r="E393" s="50">
        <v>1</v>
      </c>
      <c r="F393" s="50">
        <v>0</v>
      </c>
      <c r="G393" s="50">
        <v>1</v>
      </c>
      <c r="H393" s="50">
        <v>1</v>
      </c>
      <c r="I393" s="50" t="s">
        <v>650</v>
      </c>
      <c r="J393" s="50" t="s">
        <v>650</v>
      </c>
      <c r="K393" s="50">
        <v>27</v>
      </c>
      <c r="L393" s="50" t="s">
        <v>6</v>
      </c>
      <c r="M393" s="50"/>
      <c r="N393" s="49"/>
    </row>
    <row r="394" spans="1:14" ht="14.25" customHeight="1">
      <c r="A394" s="54" t="s">
        <v>25</v>
      </c>
      <c r="B394" s="54" t="s">
        <v>98</v>
      </c>
      <c r="C394" s="56" t="s">
        <v>302</v>
      </c>
      <c r="D394" s="55">
        <v>1</v>
      </c>
      <c r="E394" s="55">
        <v>1</v>
      </c>
      <c r="F394" s="55">
        <v>0</v>
      </c>
      <c r="G394" s="55">
        <v>1</v>
      </c>
      <c r="H394" s="55">
        <v>1</v>
      </c>
      <c r="I394" s="55" t="s">
        <v>650</v>
      </c>
      <c r="J394" s="55" t="s">
        <v>650</v>
      </c>
      <c r="K394" s="55">
        <v>27</v>
      </c>
      <c r="L394" s="55" t="s">
        <v>6</v>
      </c>
      <c r="M394" s="55"/>
      <c r="N394" s="54"/>
    </row>
    <row r="395" spans="1:14" ht="14.25" customHeight="1">
      <c r="A395" s="49" t="s">
        <v>25</v>
      </c>
      <c r="B395" s="49" t="s">
        <v>114</v>
      </c>
      <c r="C395" s="49" t="s">
        <v>77</v>
      </c>
      <c r="D395" s="50">
        <v>5</v>
      </c>
      <c r="E395" s="50">
        <v>0</v>
      </c>
      <c r="F395" s="50">
        <v>5</v>
      </c>
      <c r="G395" s="50">
        <v>2</v>
      </c>
      <c r="H395" s="50">
        <v>2.5</v>
      </c>
      <c r="I395" s="50" t="s">
        <v>651</v>
      </c>
      <c r="J395" s="50" t="s">
        <v>654</v>
      </c>
      <c r="K395" s="50">
        <v>28</v>
      </c>
      <c r="L395" s="50" t="s">
        <v>6</v>
      </c>
      <c r="M395" s="50"/>
      <c r="N395" s="49"/>
    </row>
    <row r="396" spans="1:14" ht="14.25" customHeight="1">
      <c r="A396" s="54" t="s">
        <v>25</v>
      </c>
      <c r="B396" s="54" t="s">
        <v>114</v>
      </c>
      <c r="C396" s="56" t="s">
        <v>696</v>
      </c>
      <c r="D396" s="55">
        <v>2</v>
      </c>
      <c r="E396" s="55">
        <v>2</v>
      </c>
      <c r="F396" s="55">
        <v>0</v>
      </c>
      <c r="G396" s="55">
        <v>1</v>
      </c>
      <c r="H396" s="55">
        <v>2</v>
      </c>
      <c r="I396" s="55" t="s">
        <v>655</v>
      </c>
      <c r="J396" s="55" t="s">
        <v>655</v>
      </c>
      <c r="K396" s="55">
        <v>30</v>
      </c>
      <c r="L396" s="55" t="s">
        <v>6</v>
      </c>
      <c r="M396" s="55"/>
      <c r="N396" s="54"/>
    </row>
    <row r="397" spans="1:14" ht="14.25" customHeight="1">
      <c r="A397" s="49" t="s">
        <v>25</v>
      </c>
      <c r="B397" s="49" t="s">
        <v>105</v>
      </c>
      <c r="C397" s="49" t="s">
        <v>77</v>
      </c>
      <c r="D397" s="50">
        <v>2</v>
      </c>
      <c r="E397" s="50">
        <v>0</v>
      </c>
      <c r="F397" s="50">
        <v>2</v>
      </c>
      <c r="G397" s="50">
        <v>1</v>
      </c>
      <c r="H397" s="50">
        <v>2</v>
      </c>
      <c r="I397" s="50" t="s">
        <v>655</v>
      </c>
      <c r="J397" s="50" t="s">
        <v>655</v>
      </c>
      <c r="K397" s="50">
        <v>30</v>
      </c>
      <c r="L397" s="50" t="s">
        <v>6</v>
      </c>
      <c r="M397" s="50"/>
      <c r="N397" s="49"/>
    </row>
    <row r="398" spans="1:14" ht="14.25" customHeight="1">
      <c r="A398" s="54" t="s">
        <v>25</v>
      </c>
      <c r="B398" s="54" t="s">
        <v>105</v>
      </c>
      <c r="C398" s="54" t="s">
        <v>306</v>
      </c>
      <c r="D398" s="55">
        <v>2</v>
      </c>
      <c r="E398" s="55">
        <v>2</v>
      </c>
      <c r="F398" s="55">
        <v>0</v>
      </c>
      <c r="G398" s="55">
        <v>1</v>
      </c>
      <c r="H398" s="55">
        <v>2</v>
      </c>
      <c r="I398" s="55" t="s">
        <v>656</v>
      </c>
      <c r="J398" s="55" t="s">
        <v>656</v>
      </c>
      <c r="K398" s="55">
        <v>31</v>
      </c>
      <c r="L398" s="55" t="s">
        <v>6</v>
      </c>
      <c r="M398" s="55"/>
      <c r="N398" s="54"/>
    </row>
    <row r="399" spans="1:14" ht="14.25" customHeight="1">
      <c r="A399" s="49" t="s">
        <v>25</v>
      </c>
      <c r="B399" s="49" t="s">
        <v>105</v>
      </c>
      <c r="C399" s="53" t="s">
        <v>307</v>
      </c>
      <c r="D399" s="50">
        <v>2</v>
      </c>
      <c r="E399" s="50">
        <v>2</v>
      </c>
      <c r="F399" s="50">
        <v>0</v>
      </c>
      <c r="G399" s="50">
        <v>1</v>
      </c>
      <c r="H399" s="50">
        <v>2</v>
      </c>
      <c r="I399" s="50" t="s">
        <v>656</v>
      </c>
      <c r="J399" s="50" t="s">
        <v>656</v>
      </c>
      <c r="K399" s="50">
        <v>31</v>
      </c>
      <c r="L399" s="50" t="s">
        <v>6</v>
      </c>
      <c r="M399" s="50"/>
      <c r="N399" s="49"/>
    </row>
    <row r="400" spans="1:14" ht="14.25" customHeight="1">
      <c r="A400" s="54" t="s">
        <v>25</v>
      </c>
      <c r="B400" s="54" t="s">
        <v>109</v>
      </c>
      <c r="C400" s="54" t="s">
        <v>77</v>
      </c>
      <c r="D400" s="55">
        <v>3</v>
      </c>
      <c r="E400" s="55">
        <v>0</v>
      </c>
      <c r="F400" s="55">
        <v>3</v>
      </c>
      <c r="G400" s="55">
        <v>1</v>
      </c>
      <c r="H400" s="55">
        <v>3</v>
      </c>
      <c r="I400" s="55" t="s">
        <v>586</v>
      </c>
      <c r="J400" s="55" t="s">
        <v>586</v>
      </c>
      <c r="K400" s="55">
        <v>32</v>
      </c>
      <c r="L400" s="55" t="s">
        <v>6</v>
      </c>
      <c r="M400" s="55"/>
      <c r="N400" s="54"/>
    </row>
    <row r="401" spans="1:14" ht="14.25" customHeight="1">
      <c r="A401" s="49" t="s">
        <v>25</v>
      </c>
      <c r="B401" s="49" t="s">
        <v>109</v>
      </c>
      <c r="C401" s="49" t="s">
        <v>309</v>
      </c>
      <c r="D401" s="50">
        <v>1</v>
      </c>
      <c r="E401" s="50">
        <v>1</v>
      </c>
      <c r="F401" s="50">
        <v>0</v>
      </c>
      <c r="G401" s="50">
        <v>1</v>
      </c>
      <c r="H401" s="50">
        <v>1</v>
      </c>
      <c r="I401" s="50" t="s">
        <v>589</v>
      </c>
      <c r="J401" s="50" t="s">
        <v>589</v>
      </c>
      <c r="K401" s="50">
        <v>33</v>
      </c>
      <c r="L401" s="50" t="s">
        <v>6</v>
      </c>
      <c r="M401" s="50"/>
      <c r="N401" s="49"/>
    </row>
    <row r="402" spans="1:14" ht="14.25" customHeight="1">
      <c r="A402" s="54" t="s">
        <v>25</v>
      </c>
      <c r="B402" s="54" t="s">
        <v>109</v>
      </c>
      <c r="C402" s="56" t="s">
        <v>310</v>
      </c>
      <c r="D402" s="55">
        <v>1</v>
      </c>
      <c r="E402" s="55">
        <v>1</v>
      </c>
      <c r="F402" s="55">
        <v>0</v>
      </c>
      <c r="G402" s="55">
        <v>1</v>
      </c>
      <c r="H402" s="55">
        <v>1</v>
      </c>
      <c r="I402" s="55" t="s">
        <v>589</v>
      </c>
      <c r="J402" s="55" t="s">
        <v>589</v>
      </c>
      <c r="K402" s="55">
        <v>33</v>
      </c>
      <c r="L402" s="55" t="s">
        <v>6</v>
      </c>
      <c r="M402" s="55"/>
      <c r="N402" s="54"/>
    </row>
    <row r="403" spans="1:14" ht="14.25" customHeight="1">
      <c r="A403" s="49" t="s">
        <v>25</v>
      </c>
      <c r="B403" s="49" t="s">
        <v>111</v>
      </c>
      <c r="C403" s="49" t="s">
        <v>122</v>
      </c>
      <c r="D403" s="50">
        <v>2</v>
      </c>
      <c r="E403" s="50">
        <v>2</v>
      </c>
      <c r="F403" s="50">
        <v>0</v>
      </c>
      <c r="G403" s="50">
        <v>1</v>
      </c>
      <c r="H403" s="50">
        <v>2</v>
      </c>
      <c r="I403" s="50" t="s">
        <v>652</v>
      </c>
      <c r="J403" s="50" t="s">
        <v>652</v>
      </c>
      <c r="K403" s="50">
        <v>34</v>
      </c>
      <c r="L403" s="50" t="s">
        <v>6</v>
      </c>
      <c r="M403" s="50"/>
      <c r="N403" s="49"/>
    </row>
    <row r="404" spans="1:14" ht="14.25" customHeight="1">
      <c r="A404" s="54" t="s">
        <v>25</v>
      </c>
      <c r="B404" s="54" t="s">
        <v>111</v>
      </c>
      <c r="C404" s="54" t="s">
        <v>77</v>
      </c>
      <c r="D404" s="55">
        <v>1</v>
      </c>
      <c r="E404" s="55">
        <v>0</v>
      </c>
      <c r="F404" s="55">
        <v>1</v>
      </c>
      <c r="G404" s="55">
        <v>1</v>
      </c>
      <c r="H404" s="55">
        <v>1</v>
      </c>
      <c r="I404" s="55" t="s">
        <v>652</v>
      </c>
      <c r="J404" s="55" t="s">
        <v>652</v>
      </c>
      <c r="K404" s="55">
        <v>34</v>
      </c>
      <c r="L404" s="55" t="s">
        <v>6</v>
      </c>
      <c r="M404" s="55"/>
      <c r="N404" s="54"/>
    </row>
    <row r="405" spans="1:14" ht="14.25" customHeight="1">
      <c r="A405" s="49" t="s">
        <v>25</v>
      </c>
      <c r="B405" s="49" t="s">
        <v>111</v>
      </c>
      <c r="C405" s="49" t="s">
        <v>315</v>
      </c>
      <c r="D405" s="50">
        <v>1</v>
      </c>
      <c r="E405" s="50">
        <v>1</v>
      </c>
      <c r="F405" s="50">
        <v>0</v>
      </c>
      <c r="G405" s="50">
        <v>1</v>
      </c>
      <c r="H405" s="50">
        <v>1</v>
      </c>
      <c r="I405" s="50" t="s">
        <v>653</v>
      </c>
      <c r="J405" s="50" t="s">
        <v>653</v>
      </c>
      <c r="K405" s="50">
        <v>35</v>
      </c>
      <c r="L405" s="50" t="s">
        <v>6</v>
      </c>
      <c r="M405" s="50"/>
      <c r="N405" s="49"/>
    </row>
    <row r="406" spans="1:14" ht="14.25" customHeight="1">
      <c r="A406" s="54" t="s">
        <v>25</v>
      </c>
      <c r="B406" s="56" t="s">
        <v>116</v>
      </c>
      <c r="C406" s="54" t="s">
        <v>117</v>
      </c>
      <c r="D406" s="55">
        <v>2</v>
      </c>
      <c r="E406" s="55">
        <v>2</v>
      </c>
      <c r="F406" s="55">
        <v>0</v>
      </c>
      <c r="G406" s="55">
        <v>1</v>
      </c>
      <c r="H406" s="55">
        <v>2</v>
      </c>
      <c r="I406" s="55" t="s">
        <v>653</v>
      </c>
      <c r="J406" s="55" t="s">
        <v>653</v>
      </c>
      <c r="K406" s="55">
        <v>35</v>
      </c>
      <c r="L406" s="55" t="s">
        <v>6</v>
      </c>
      <c r="M406" s="55"/>
      <c r="N406" s="54"/>
    </row>
    <row r="407" spans="1:14" ht="14.25" customHeight="1">
      <c r="A407" s="49" t="s">
        <v>25</v>
      </c>
      <c r="B407" s="53" t="s">
        <v>116</v>
      </c>
      <c r="C407" s="49" t="s">
        <v>322</v>
      </c>
      <c r="D407" s="50">
        <v>1</v>
      </c>
      <c r="E407" s="50">
        <v>1</v>
      </c>
      <c r="F407" s="50">
        <v>0</v>
      </c>
      <c r="G407" s="50">
        <v>1</v>
      </c>
      <c r="H407" s="50">
        <v>1</v>
      </c>
      <c r="I407" s="50" t="s">
        <v>596</v>
      </c>
      <c r="J407" s="50" t="s">
        <v>596</v>
      </c>
      <c r="K407" s="50">
        <v>36</v>
      </c>
      <c r="L407" s="50" t="s">
        <v>6</v>
      </c>
      <c r="M407" s="50"/>
      <c r="N407" s="49"/>
    </row>
    <row r="408" spans="1:14" ht="14.25" customHeight="1">
      <c r="A408" s="54" t="s">
        <v>25</v>
      </c>
      <c r="B408" s="56" t="s">
        <v>116</v>
      </c>
      <c r="C408" s="56" t="s">
        <v>323</v>
      </c>
      <c r="D408" s="55">
        <v>1</v>
      </c>
      <c r="E408" s="55">
        <v>1</v>
      </c>
      <c r="F408" s="55">
        <v>0</v>
      </c>
      <c r="G408" s="55">
        <v>1</v>
      </c>
      <c r="H408" s="55">
        <v>1</v>
      </c>
      <c r="I408" s="55" t="s">
        <v>596</v>
      </c>
      <c r="J408" s="55" t="s">
        <v>596</v>
      </c>
      <c r="K408" s="55">
        <v>36</v>
      </c>
      <c r="L408" s="55" t="s">
        <v>6</v>
      </c>
      <c r="M408" s="55"/>
      <c r="N408" s="54"/>
    </row>
    <row r="409" spans="1:14" ht="14.25" customHeight="1">
      <c r="A409" s="49" t="s">
        <v>25</v>
      </c>
      <c r="B409" s="49" t="s">
        <v>289</v>
      </c>
      <c r="C409" s="49" t="s">
        <v>290</v>
      </c>
      <c r="D409" s="50">
        <v>2</v>
      </c>
      <c r="E409" s="50">
        <v>2</v>
      </c>
      <c r="F409" s="50">
        <v>0</v>
      </c>
      <c r="G409" s="50">
        <v>1</v>
      </c>
      <c r="H409" s="50">
        <v>2</v>
      </c>
      <c r="I409" s="50" t="s">
        <v>596</v>
      </c>
      <c r="J409" s="50" t="s">
        <v>596</v>
      </c>
      <c r="K409" s="50">
        <v>36</v>
      </c>
      <c r="L409" s="50" t="s">
        <v>6</v>
      </c>
      <c r="M409" s="50"/>
      <c r="N409" s="49"/>
    </row>
    <row r="410" spans="1:14" ht="14.25" customHeight="1">
      <c r="A410" s="54" t="s">
        <v>25</v>
      </c>
      <c r="B410" s="54" t="s">
        <v>316</v>
      </c>
      <c r="C410" s="54" t="s">
        <v>317</v>
      </c>
      <c r="D410" s="55">
        <v>2</v>
      </c>
      <c r="E410" s="55">
        <v>2</v>
      </c>
      <c r="F410" s="55">
        <v>0</v>
      </c>
      <c r="G410" s="55">
        <v>1</v>
      </c>
      <c r="H410" s="55">
        <v>2</v>
      </c>
      <c r="I410" s="55" t="s">
        <v>597</v>
      </c>
      <c r="J410" s="55" t="s">
        <v>597</v>
      </c>
      <c r="K410" s="55">
        <v>37</v>
      </c>
      <c r="L410" s="55" t="s">
        <v>6</v>
      </c>
      <c r="M410" s="55"/>
      <c r="N410" s="54"/>
    </row>
    <row r="411" spans="1:14" ht="14.25" customHeight="1">
      <c r="A411" s="49" t="s">
        <v>25</v>
      </c>
      <c r="B411" s="53" t="s">
        <v>121</v>
      </c>
      <c r="C411" s="49" t="s">
        <v>122</v>
      </c>
      <c r="D411" s="50">
        <v>2</v>
      </c>
      <c r="E411" s="50">
        <v>2</v>
      </c>
      <c r="F411" s="50">
        <v>0</v>
      </c>
      <c r="G411" s="50">
        <v>1</v>
      </c>
      <c r="H411" s="50">
        <v>2</v>
      </c>
      <c r="I411" s="50" t="s">
        <v>587</v>
      </c>
      <c r="J411" s="50" t="s">
        <v>587</v>
      </c>
      <c r="K411" s="50">
        <v>38</v>
      </c>
      <c r="L411" s="50" t="s">
        <v>6</v>
      </c>
      <c r="M411" s="50"/>
      <c r="N411" s="49"/>
    </row>
    <row r="412" spans="1:14" ht="14.25" customHeight="1">
      <c r="A412" s="54" t="s">
        <v>25</v>
      </c>
      <c r="B412" s="56" t="s">
        <v>320</v>
      </c>
      <c r="C412" s="56" t="s">
        <v>319</v>
      </c>
      <c r="D412" s="55">
        <v>1</v>
      </c>
      <c r="E412" s="55">
        <v>1</v>
      </c>
      <c r="F412" s="55">
        <v>0</v>
      </c>
      <c r="G412" s="55">
        <v>1</v>
      </c>
      <c r="H412" s="55">
        <v>1</v>
      </c>
      <c r="I412" s="55" t="s">
        <v>587</v>
      </c>
      <c r="J412" s="55" t="s">
        <v>587</v>
      </c>
      <c r="K412" s="55">
        <v>38</v>
      </c>
      <c r="L412" s="55" t="s">
        <v>6</v>
      </c>
      <c r="M412" s="55"/>
      <c r="N412" s="54"/>
    </row>
    <row r="413" spans="1:14" ht="14.25" customHeight="1">
      <c r="A413" s="49" t="s">
        <v>26</v>
      </c>
      <c r="B413" s="49" t="s">
        <v>26</v>
      </c>
      <c r="C413" s="49" t="s">
        <v>458</v>
      </c>
      <c r="D413" s="50">
        <v>4</v>
      </c>
      <c r="E413" s="50">
        <v>4</v>
      </c>
      <c r="F413" s="50">
        <v>0</v>
      </c>
      <c r="G413" s="50">
        <v>8</v>
      </c>
      <c r="H413" s="50">
        <v>0.5</v>
      </c>
      <c r="I413" s="50" t="s">
        <v>588</v>
      </c>
      <c r="J413" s="50" t="s">
        <v>580</v>
      </c>
      <c r="K413" s="50">
        <v>1</v>
      </c>
      <c r="L413" s="50" t="s">
        <v>6</v>
      </c>
      <c r="M413" s="50"/>
      <c r="N413" s="49"/>
    </row>
    <row r="414" spans="1:14" ht="14.25" customHeight="1">
      <c r="A414" s="54" t="s">
        <v>26</v>
      </c>
      <c r="B414" s="54" t="s">
        <v>26</v>
      </c>
      <c r="C414" s="54" t="s">
        <v>296</v>
      </c>
      <c r="D414" s="55">
        <v>2</v>
      </c>
      <c r="E414" s="55">
        <v>2</v>
      </c>
      <c r="F414" s="55">
        <v>0</v>
      </c>
      <c r="G414" s="55">
        <v>4</v>
      </c>
      <c r="H414" s="55">
        <v>0.5</v>
      </c>
      <c r="I414" s="55" t="s">
        <v>644</v>
      </c>
      <c r="J414" s="55" t="s">
        <v>654</v>
      </c>
      <c r="K414" s="55">
        <v>9</v>
      </c>
      <c r="L414" s="55" t="s">
        <v>6</v>
      </c>
      <c r="M414" s="55"/>
      <c r="N414" s="54"/>
    </row>
    <row r="415" spans="1:14" ht="14.25" customHeight="1">
      <c r="A415" s="49" t="s">
        <v>26</v>
      </c>
      <c r="B415" s="49" t="s">
        <v>456</v>
      </c>
      <c r="C415" s="49" t="s">
        <v>457</v>
      </c>
      <c r="D415" s="50">
        <v>2</v>
      </c>
      <c r="E415" s="50">
        <v>2</v>
      </c>
      <c r="F415" s="50">
        <v>0</v>
      </c>
      <c r="G415" s="50">
        <v>4</v>
      </c>
      <c r="H415" s="50">
        <v>0.5</v>
      </c>
      <c r="I415" s="50" t="s">
        <v>655</v>
      </c>
      <c r="J415" s="50" t="s">
        <v>589</v>
      </c>
      <c r="K415" s="50">
        <v>13</v>
      </c>
      <c r="L415" s="50" t="s">
        <v>6</v>
      </c>
      <c r="M415" s="50"/>
      <c r="N415" s="49"/>
    </row>
    <row r="416" spans="1:14" ht="14.25" customHeight="1">
      <c r="A416" s="51" t="s">
        <v>27</v>
      </c>
      <c r="B416" s="52"/>
      <c r="C416" s="52" t="s">
        <v>697</v>
      </c>
      <c r="D416" s="51">
        <v>1592</v>
      </c>
      <c r="E416" s="52">
        <v>1147</v>
      </c>
      <c r="F416" s="52">
        <v>445</v>
      </c>
      <c r="G416" s="52"/>
      <c r="H416" s="52"/>
      <c r="I416" s="52"/>
      <c r="J416" s="52"/>
      <c r="K416" s="52"/>
      <c r="L416" s="52"/>
      <c r="M416" s="52"/>
      <c r="N416" s="52"/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zoomScaleNormal="100" workbookViewId="0"/>
  </sheetViews>
  <sheetFormatPr defaultColWidth="8.85546875" defaultRowHeight="14.25" customHeight="1"/>
  <cols>
    <col min="1" max="1" width="50" customWidth="1"/>
    <col min="2" max="2" width="11" customWidth="1"/>
    <col min="3" max="3" width="16" customWidth="1"/>
    <col min="4" max="4" width="6" customWidth="1"/>
    <col min="5" max="5" width="10" customWidth="1"/>
  </cols>
  <sheetData>
    <row r="1" spans="1:5" ht="18" customHeight="1">
      <c r="A1" s="90" t="s">
        <v>698</v>
      </c>
    </row>
    <row r="2" spans="1:5" ht="15" customHeight="1"/>
    <row r="3" spans="1:5" ht="28.5" customHeight="1">
      <c r="A3" s="48" t="s">
        <v>58</v>
      </c>
      <c r="B3" s="57" t="s">
        <v>699</v>
      </c>
      <c r="C3" s="48" t="s">
        <v>700</v>
      </c>
      <c r="D3" s="48" t="s">
        <v>701</v>
      </c>
      <c r="E3" s="48" t="s">
        <v>61</v>
      </c>
    </row>
    <row r="4" spans="1:5" ht="14.25" customHeight="1">
      <c r="A4" s="52" t="s">
        <v>196</v>
      </c>
      <c r="B4" s="52">
        <v>4</v>
      </c>
      <c r="C4" s="52">
        <v>4</v>
      </c>
      <c r="D4" s="52">
        <v>0</v>
      </c>
      <c r="E4" s="52" t="s">
        <v>702</v>
      </c>
    </row>
    <row r="5" spans="1:5" ht="14.25" customHeight="1">
      <c r="A5" s="52" t="s">
        <v>140</v>
      </c>
      <c r="B5" s="52">
        <v>45</v>
      </c>
      <c r="C5" s="52">
        <v>39</v>
      </c>
      <c r="D5" s="52">
        <v>-6</v>
      </c>
      <c r="E5" s="52" t="s">
        <v>703</v>
      </c>
    </row>
    <row r="6" spans="1:5" ht="14.25" customHeight="1">
      <c r="A6" s="58" t="s">
        <v>74</v>
      </c>
      <c r="B6" s="58">
        <v>584</v>
      </c>
      <c r="C6" s="58">
        <v>550</v>
      </c>
      <c r="D6" s="58">
        <v>-34</v>
      </c>
      <c r="E6" s="58" t="s">
        <v>704</v>
      </c>
    </row>
    <row r="7" spans="1:5" ht="14.25" customHeight="1">
      <c r="A7" s="52" t="s">
        <v>142</v>
      </c>
      <c r="B7" s="52">
        <v>37</v>
      </c>
      <c r="C7" s="52">
        <v>30</v>
      </c>
      <c r="D7" s="52">
        <v>-7</v>
      </c>
      <c r="E7" s="52" t="s">
        <v>703</v>
      </c>
    </row>
    <row r="8" spans="1:5" ht="14.25" customHeight="1">
      <c r="A8" s="58" t="s">
        <v>80</v>
      </c>
      <c r="B8" s="58">
        <v>320</v>
      </c>
      <c r="C8" s="58">
        <v>299</v>
      </c>
      <c r="D8" s="58">
        <v>-21</v>
      </c>
      <c r="E8" s="58" t="s">
        <v>704</v>
      </c>
    </row>
    <row r="9" spans="1:5" ht="14.25" customHeight="1">
      <c r="A9" s="52" t="s">
        <v>362</v>
      </c>
      <c r="B9" s="52">
        <v>2</v>
      </c>
      <c r="C9" s="52">
        <v>2</v>
      </c>
      <c r="D9" s="52">
        <v>0</v>
      </c>
      <c r="E9" s="52" t="s">
        <v>702</v>
      </c>
    </row>
    <row r="10" spans="1:5" ht="14.25" customHeight="1">
      <c r="A10" s="52" t="s">
        <v>90</v>
      </c>
      <c r="B10" s="52">
        <v>47</v>
      </c>
      <c r="C10" s="52">
        <v>47</v>
      </c>
      <c r="D10" s="52">
        <v>0</v>
      </c>
      <c r="E10" s="52" t="s">
        <v>702</v>
      </c>
    </row>
    <row r="11" spans="1:5" ht="14.25" customHeight="1">
      <c r="A11" s="52" t="s">
        <v>118</v>
      </c>
      <c r="B11" s="52">
        <v>62</v>
      </c>
      <c r="C11" s="52">
        <v>64</v>
      </c>
      <c r="D11" s="52">
        <v>2</v>
      </c>
      <c r="E11" s="52" t="s">
        <v>702</v>
      </c>
    </row>
    <row r="12" spans="1:5" ht="14.25" customHeight="1">
      <c r="A12" s="52" t="s">
        <v>314</v>
      </c>
      <c r="B12" s="52">
        <v>4</v>
      </c>
      <c r="C12" s="52">
        <v>4</v>
      </c>
      <c r="D12" s="52">
        <v>0</v>
      </c>
      <c r="E12" s="52" t="s">
        <v>702</v>
      </c>
    </row>
    <row r="13" spans="1:5" ht="14.25" customHeight="1">
      <c r="A13" s="52" t="s">
        <v>84</v>
      </c>
      <c r="B13" s="52">
        <v>10</v>
      </c>
      <c r="C13" s="52">
        <v>10</v>
      </c>
      <c r="D13" s="52">
        <v>0</v>
      </c>
      <c r="E13" s="52" t="s">
        <v>702</v>
      </c>
    </row>
    <row r="14" spans="1:5" ht="14.25" customHeight="1">
      <c r="A14" s="52" t="s">
        <v>176</v>
      </c>
      <c r="B14" s="52">
        <v>4</v>
      </c>
      <c r="C14" s="52">
        <v>0</v>
      </c>
      <c r="D14" s="52">
        <v>-4</v>
      </c>
      <c r="E14" s="52" t="s">
        <v>702</v>
      </c>
    </row>
    <row r="15" spans="1:5" ht="14.25" customHeight="1">
      <c r="A15" s="52" t="s">
        <v>313</v>
      </c>
      <c r="B15" s="52">
        <v>2</v>
      </c>
      <c r="C15" s="52">
        <v>2</v>
      </c>
      <c r="D15" s="52">
        <v>0</v>
      </c>
      <c r="E15" s="52" t="s">
        <v>702</v>
      </c>
    </row>
    <row r="16" spans="1:5" ht="14.25" customHeight="1">
      <c r="A16" s="52" t="s">
        <v>194</v>
      </c>
      <c r="B16" s="52">
        <v>2</v>
      </c>
      <c r="C16" s="52">
        <v>2</v>
      </c>
      <c r="D16" s="52">
        <v>0</v>
      </c>
      <c r="E16" s="52" t="s">
        <v>702</v>
      </c>
    </row>
    <row r="17" spans="1:5" ht="14.25" customHeight="1">
      <c r="A17" s="52" t="s">
        <v>312</v>
      </c>
      <c r="B17" s="52">
        <v>2</v>
      </c>
      <c r="C17" s="52">
        <v>2</v>
      </c>
      <c r="D17" s="52">
        <v>0</v>
      </c>
      <c r="E17" s="52" t="s">
        <v>702</v>
      </c>
    </row>
    <row r="18" spans="1:5" ht="14.25" customHeight="1">
      <c r="A18" s="52" t="s">
        <v>154</v>
      </c>
      <c r="B18" s="52">
        <v>4</v>
      </c>
      <c r="C18" s="52">
        <v>4</v>
      </c>
      <c r="D18" s="52">
        <v>0</v>
      </c>
      <c r="E18" s="52" t="s">
        <v>702</v>
      </c>
    </row>
    <row r="19" spans="1:5" ht="14.25" customHeight="1">
      <c r="A19" s="52" t="s">
        <v>193</v>
      </c>
      <c r="B19" s="52">
        <v>3</v>
      </c>
      <c r="C19" s="52">
        <v>0</v>
      </c>
      <c r="D19" s="52">
        <v>-3</v>
      </c>
      <c r="E19" s="52" t="s">
        <v>702</v>
      </c>
    </row>
    <row r="20" spans="1:5" ht="14.25" customHeight="1">
      <c r="A20" s="52" t="s">
        <v>191</v>
      </c>
      <c r="B20" s="52">
        <v>1</v>
      </c>
      <c r="C20" s="52">
        <v>0</v>
      </c>
      <c r="D20" s="52">
        <v>-1</v>
      </c>
      <c r="E20" s="52" t="s">
        <v>702</v>
      </c>
    </row>
    <row r="21" spans="1:5" ht="14.25" customHeight="1">
      <c r="A21" s="52" t="s">
        <v>83</v>
      </c>
      <c r="B21" s="52">
        <v>14</v>
      </c>
      <c r="C21" s="52">
        <v>14</v>
      </c>
      <c r="D21" s="52">
        <v>0</v>
      </c>
      <c r="E21" s="52" t="s">
        <v>702</v>
      </c>
    </row>
    <row r="22" spans="1:5" ht="14.25" customHeight="1">
      <c r="A22" s="59" t="s">
        <v>705</v>
      </c>
      <c r="B22" s="52">
        <v>0</v>
      </c>
      <c r="C22" s="52">
        <v>4</v>
      </c>
      <c r="D22" s="52">
        <v>4</v>
      </c>
      <c r="E22" s="52" t="s">
        <v>702</v>
      </c>
    </row>
    <row r="23" spans="1:5" ht="14.25" customHeight="1">
      <c r="A23" s="7" t="s">
        <v>706</v>
      </c>
      <c r="B23" s="7">
        <v>1147</v>
      </c>
      <c r="C23" s="7">
        <v>1077</v>
      </c>
      <c r="D23" s="7">
        <v>-70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51"/>
  <sheetViews>
    <sheetView zoomScaleNormal="100" workbookViewId="0"/>
  </sheetViews>
  <sheetFormatPr defaultColWidth="8.85546875" defaultRowHeight="14.25" customHeight="1"/>
  <cols>
    <col min="1" max="1" width="32" customWidth="1"/>
    <col min="2" max="2" width="50" customWidth="1"/>
    <col min="3" max="3" width="47" customWidth="1"/>
    <col min="4" max="4" width="27" customWidth="1"/>
    <col min="5" max="5" width="50" customWidth="1"/>
    <col min="6" max="6" width="10" customWidth="1"/>
  </cols>
  <sheetData>
    <row r="1" spans="1:6" ht="18" customHeight="1">
      <c r="A1" s="90" t="s">
        <v>707</v>
      </c>
    </row>
    <row r="2" spans="1:6" ht="15" customHeight="1"/>
    <row r="3" spans="1:6" ht="14.25" customHeight="1">
      <c r="A3" s="48" t="s">
        <v>12</v>
      </c>
      <c r="B3" s="48" t="s">
        <v>56</v>
      </c>
      <c r="C3" s="48" t="s">
        <v>57</v>
      </c>
      <c r="D3" s="48" t="s">
        <v>58</v>
      </c>
      <c r="E3" s="48" t="s">
        <v>708</v>
      </c>
      <c r="F3" s="48" t="s">
        <v>709</v>
      </c>
    </row>
    <row r="4" spans="1:6" ht="14.25" customHeight="1">
      <c r="A4" s="60" t="s">
        <v>25</v>
      </c>
      <c r="B4" s="60" t="s">
        <v>289</v>
      </c>
      <c r="C4" s="60" t="s">
        <v>290</v>
      </c>
      <c r="D4" s="60" t="s">
        <v>74</v>
      </c>
      <c r="E4" s="61" t="s">
        <v>710</v>
      </c>
      <c r="F4" s="60">
        <v>2</v>
      </c>
    </row>
    <row r="5" spans="1:6" ht="14.25" customHeight="1">
      <c r="A5" s="52" t="s">
        <v>25</v>
      </c>
      <c r="B5" s="52" t="s">
        <v>76</v>
      </c>
      <c r="C5" s="52" t="s">
        <v>77</v>
      </c>
      <c r="D5" s="52" t="s">
        <v>78</v>
      </c>
      <c r="E5" s="59" t="s">
        <v>711</v>
      </c>
      <c r="F5" s="52">
        <v>18</v>
      </c>
    </row>
    <row r="6" spans="1:6" ht="14.25" customHeight="1">
      <c r="A6" s="60" t="s">
        <v>25</v>
      </c>
      <c r="B6" s="60" t="s">
        <v>76</v>
      </c>
      <c r="C6" s="60" t="s">
        <v>82</v>
      </c>
      <c r="D6" s="60" t="s">
        <v>84</v>
      </c>
      <c r="E6" s="61" t="s">
        <v>712</v>
      </c>
      <c r="F6" s="60">
        <v>2</v>
      </c>
    </row>
    <row r="7" spans="1:6" ht="14.25" customHeight="1">
      <c r="A7" s="52" t="s">
        <v>25</v>
      </c>
      <c r="B7" s="52" t="s">
        <v>76</v>
      </c>
      <c r="C7" s="52" t="s">
        <v>82</v>
      </c>
      <c r="D7" s="52" t="s">
        <v>83</v>
      </c>
      <c r="E7" s="59" t="s">
        <v>713</v>
      </c>
      <c r="F7" s="52">
        <v>2</v>
      </c>
    </row>
    <row r="8" spans="1:6" ht="14.25" customHeight="1">
      <c r="A8" s="60" t="s">
        <v>25</v>
      </c>
      <c r="B8" s="60" t="s">
        <v>76</v>
      </c>
      <c r="C8" s="60" t="s">
        <v>295</v>
      </c>
      <c r="D8" s="60" t="s">
        <v>74</v>
      </c>
      <c r="E8" s="61" t="s">
        <v>710</v>
      </c>
      <c r="F8" s="60">
        <v>2</v>
      </c>
    </row>
    <row r="9" spans="1:6" ht="14.25" customHeight="1">
      <c r="A9" s="52" t="s">
        <v>25</v>
      </c>
      <c r="B9" s="52" t="s">
        <v>76</v>
      </c>
      <c r="C9" s="52" t="s">
        <v>292</v>
      </c>
      <c r="D9" s="52" t="s">
        <v>74</v>
      </c>
      <c r="E9" s="59" t="s">
        <v>710</v>
      </c>
      <c r="F9" s="52">
        <v>1</v>
      </c>
    </row>
    <row r="10" spans="1:6" ht="14.25" customHeight="1">
      <c r="A10" s="60" t="s">
        <v>25</v>
      </c>
      <c r="B10" s="60" t="s">
        <v>76</v>
      </c>
      <c r="C10" s="60" t="s">
        <v>292</v>
      </c>
      <c r="D10" s="60" t="s">
        <v>142</v>
      </c>
      <c r="E10" s="61" t="s">
        <v>714</v>
      </c>
      <c r="F10" s="60">
        <v>1</v>
      </c>
    </row>
    <row r="11" spans="1:6" ht="14.25" customHeight="1">
      <c r="A11" s="52" t="s">
        <v>25</v>
      </c>
      <c r="B11" s="52" t="s">
        <v>76</v>
      </c>
      <c r="C11" s="52" t="s">
        <v>293</v>
      </c>
      <c r="D11" s="52" t="s">
        <v>142</v>
      </c>
      <c r="E11" s="59" t="s">
        <v>714</v>
      </c>
      <c r="F11" s="52">
        <v>2</v>
      </c>
    </row>
    <row r="12" spans="1:6" ht="14.25" customHeight="1">
      <c r="A12" s="60" t="s">
        <v>25</v>
      </c>
      <c r="B12" s="60" t="s">
        <v>76</v>
      </c>
      <c r="C12" s="60" t="s">
        <v>89</v>
      </c>
      <c r="D12" s="60" t="s">
        <v>90</v>
      </c>
      <c r="E12" s="61" t="s">
        <v>715</v>
      </c>
      <c r="F12" s="60">
        <v>2</v>
      </c>
    </row>
    <row r="13" spans="1:6" ht="14.25" customHeight="1">
      <c r="A13" s="52" t="s">
        <v>25</v>
      </c>
      <c r="B13" s="52" t="s">
        <v>76</v>
      </c>
      <c r="C13" s="52" t="s">
        <v>294</v>
      </c>
      <c r="D13" s="52" t="s">
        <v>140</v>
      </c>
      <c r="E13" s="59" t="s">
        <v>716</v>
      </c>
      <c r="F13" s="52">
        <v>2</v>
      </c>
    </row>
    <row r="14" spans="1:6" ht="14.25" customHeight="1">
      <c r="A14" s="60" t="s">
        <v>25</v>
      </c>
      <c r="B14" s="60" t="s">
        <v>76</v>
      </c>
      <c r="C14" s="60" t="s">
        <v>294</v>
      </c>
      <c r="D14" s="60" t="s">
        <v>142</v>
      </c>
      <c r="E14" s="61" t="s">
        <v>714</v>
      </c>
      <c r="F14" s="60">
        <v>2</v>
      </c>
    </row>
    <row r="15" spans="1:6" ht="14.25" customHeight="1">
      <c r="A15" s="52" t="s">
        <v>25</v>
      </c>
      <c r="B15" s="52" t="s">
        <v>76</v>
      </c>
      <c r="C15" s="52" t="s">
        <v>291</v>
      </c>
      <c r="D15" s="52" t="s">
        <v>74</v>
      </c>
      <c r="E15" s="59" t="s">
        <v>710</v>
      </c>
      <c r="F15" s="52">
        <v>3</v>
      </c>
    </row>
    <row r="16" spans="1:6" ht="14.25" customHeight="1">
      <c r="A16" s="60" t="s">
        <v>25</v>
      </c>
      <c r="B16" s="60" t="s">
        <v>76</v>
      </c>
      <c r="C16" s="60" t="s">
        <v>296</v>
      </c>
      <c r="D16" s="60" t="s">
        <v>74</v>
      </c>
      <c r="E16" s="61" t="s">
        <v>710</v>
      </c>
      <c r="F16" s="60">
        <v>2</v>
      </c>
    </row>
    <row r="17" spans="1:6" ht="14.25" customHeight="1">
      <c r="A17" s="52" t="s">
        <v>25</v>
      </c>
      <c r="B17" s="52" t="s">
        <v>76</v>
      </c>
      <c r="C17" s="52" t="s">
        <v>296</v>
      </c>
      <c r="D17" s="52" t="s">
        <v>74</v>
      </c>
      <c r="E17" s="59" t="s">
        <v>710</v>
      </c>
      <c r="F17" s="52">
        <v>9</v>
      </c>
    </row>
    <row r="18" spans="1:6" ht="14.25" customHeight="1">
      <c r="A18" s="60" t="s">
        <v>25</v>
      </c>
      <c r="B18" s="60" t="s">
        <v>76</v>
      </c>
      <c r="C18" s="60" t="s">
        <v>296</v>
      </c>
      <c r="D18" s="60" t="s">
        <v>80</v>
      </c>
      <c r="E18" s="61" t="s">
        <v>717</v>
      </c>
      <c r="F18" s="60">
        <v>1</v>
      </c>
    </row>
    <row r="19" spans="1:6" ht="14.25" customHeight="1">
      <c r="A19" s="52" t="s">
        <v>25</v>
      </c>
      <c r="B19" s="52" t="s">
        <v>76</v>
      </c>
      <c r="C19" s="59" t="s">
        <v>298</v>
      </c>
      <c r="D19" s="52" t="s">
        <v>80</v>
      </c>
      <c r="E19" s="59" t="s">
        <v>717</v>
      </c>
      <c r="F19" s="52">
        <v>1</v>
      </c>
    </row>
    <row r="20" spans="1:6" ht="14.25" customHeight="1">
      <c r="A20" s="60" t="s">
        <v>25</v>
      </c>
      <c r="B20" s="60" t="s">
        <v>98</v>
      </c>
      <c r="C20" s="60" t="s">
        <v>77</v>
      </c>
      <c r="D20" s="60" t="s">
        <v>78</v>
      </c>
      <c r="E20" s="61" t="s">
        <v>711</v>
      </c>
      <c r="F20" s="60">
        <v>6</v>
      </c>
    </row>
    <row r="21" spans="1:6" ht="14.25" customHeight="1">
      <c r="A21" s="52" t="s">
        <v>25</v>
      </c>
      <c r="B21" s="52" t="s">
        <v>98</v>
      </c>
      <c r="C21" s="59" t="s">
        <v>299</v>
      </c>
      <c r="D21" s="52" t="s">
        <v>74</v>
      </c>
      <c r="E21" s="59" t="s">
        <v>710</v>
      </c>
      <c r="F21" s="52">
        <v>1</v>
      </c>
    </row>
    <row r="22" spans="1:6" ht="14.25" customHeight="1">
      <c r="A22" s="60" t="s">
        <v>25</v>
      </c>
      <c r="B22" s="60" t="s">
        <v>98</v>
      </c>
      <c r="C22" s="61" t="s">
        <v>301</v>
      </c>
      <c r="D22" s="60" t="s">
        <v>80</v>
      </c>
      <c r="E22" s="61" t="s">
        <v>717</v>
      </c>
      <c r="F22" s="60">
        <v>1</v>
      </c>
    </row>
    <row r="23" spans="1:6" ht="14.25" customHeight="1">
      <c r="A23" s="52" t="s">
        <v>25</v>
      </c>
      <c r="B23" s="52" t="s">
        <v>98</v>
      </c>
      <c r="C23" s="59" t="s">
        <v>302</v>
      </c>
      <c r="D23" s="52" t="s">
        <v>80</v>
      </c>
      <c r="E23" s="59" t="s">
        <v>717</v>
      </c>
      <c r="F23" s="52">
        <v>1</v>
      </c>
    </row>
    <row r="24" spans="1:6" ht="14.25" customHeight="1">
      <c r="A24" s="60" t="s">
        <v>25</v>
      </c>
      <c r="B24" s="60" t="s">
        <v>98</v>
      </c>
      <c r="C24" s="61" t="s">
        <v>304</v>
      </c>
      <c r="D24" s="60" t="s">
        <v>74</v>
      </c>
      <c r="E24" s="61" t="s">
        <v>710</v>
      </c>
      <c r="F24" s="60">
        <v>4</v>
      </c>
    </row>
    <row r="25" spans="1:6" ht="14.25" customHeight="1">
      <c r="A25" s="52" t="s">
        <v>25</v>
      </c>
      <c r="B25" s="52" t="s">
        <v>98</v>
      </c>
      <c r="C25" s="59" t="s">
        <v>304</v>
      </c>
      <c r="D25" s="52" t="s">
        <v>80</v>
      </c>
      <c r="E25" s="59" t="s">
        <v>717</v>
      </c>
      <c r="F25" s="52">
        <v>2</v>
      </c>
    </row>
    <row r="26" spans="1:6" ht="14.25" customHeight="1">
      <c r="A26" s="60" t="s">
        <v>25</v>
      </c>
      <c r="B26" s="60" t="s">
        <v>105</v>
      </c>
      <c r="C26" s="60" t="s">
        <v>77</v>
      </c>
      <c r="D26" s="60" t="s">
        <v>78</v>
      </c>
      <c r="E26" s="61" t="s">
        <v>711</v>
      </c>
      <c r="F26" s="60">
        <v>2</v>
      </c>
    </row>
    <row r="27" spans="1:6" ht="14.25" customHeight="1">
      <c r="A27" s="52" t="s">
        <v>25</v>
      </c>
      <c r="B27" s="52" t="s">
        <v>105</v>
      </c>
      <c r="C27" s="52" t="s">
        <v>306</v>
      </c>
      <c r="D27" s="52" t="s">
        <v>80</v>
      </c>
      <c r="E27" s="59" t="s">
        <v>717</v>
      </c>
      <c r="F27" s="52">
        <v>2</v>
      </c>
    </row>
    <row r="28" spans="1:6" ht="14.25" customHeight="1">
      <c r="A28" s="60" t="s">
        <v>25</v>
      </c>
      <c r="B28" s="60" t="s">
        <v>105</v>
      </c>
      <c r="C28" s="61" t="s">
        <v>307</v>
      </c>
      <c r="D28" s="60" t="s">
        <v>74</v>
      </c>
      <c r="E28" s="61" t="s">
        <v>710</v>
      </c>
      <c r="F28" s="60">
        <v>2</v>
      </c>
    </row>
    <row r="29" spans="1:6" ht="14.25" customHeight="1">
      <c r="A29" s="52" t="s">
        <v>25</v>
      </c>
      <c r="B29" s="52" t="s">
        <v>72</v>
      </c>
      <c r="C29" s="52" t="s">
        <v>77</v>
      </c>
      <c r="D29" s="52" t="s">
        <v>78</v>
      </c>
      <c r="E29" s="59" t="s">
        <v>711</v>
      </c>
      <c r="F29" s="52">
        <v>8</v>
      </c>
    </row>
    <row r="30" spans="1:6" ht="14.25" customHeight="1">
      <c r="A30" s="60" t="s">
        <v>25</v>
      </c>
      <c r="B30" s="60" t="s">
        <v>72</v>
      </c>
      <c r="C30" s="60" t="s">
        <v>73</v>
      </c>
      <c r="D30" s="60" t="s">
        <v>74</v>
      </c>
      <c r="E30" s="61" t="s">
        <v>710</v>
      </c>
      <c r="F30" s="60">
        <v>2</v>
      </c>
    </row>
    <row r="31" spans="1:6" ht="14.25" customHeight="1">
      <c r="A31" s="52" t="s">
        <v>25</v>
      </c>
      <c r="B31" s="52" t="s">
        <v>72</v>
      </c>
      <c r="C31" s="59" t="s">
        <v>695</v>
      </c>
      <c r="D31" s="52" t="s">
        <v>80</v>
      </c>
      <c r="E31" s="59" t="s">
        <v>717</v>
      </c>
      <c r="F31" s="52">
        <v>1</v>
      </c>
    </row>
    <row r="32" spans="1:6" ht="14.25" customHeight="1">
      <c r="A32" s="60" t="s">
        <v>25</v>
      </c>
      <c r="B32" s="60" t="s">
        <v>72</v>
      </c>
      <c r="C32" s="61" t="s">
        <v>85</v>
      </c>
      <c r="D32" s="60" t="s">
        <v>80</v>
      </c>
      <c r="E32" s="61" t="s">
        <v>717</v>
      </c>
      <c r="F32" s="60">
        <v>2</v>
      </c>
    </row>
    <row r="33" spans="1:6" ht="14.25" customHeight="1">
      <c r="A33" s="52" t="s">
        <v>25</v>
      </c>
      <c r="B33" s="52" t="s">
        <v>72</v>
      </c>
      <c r="C33" s="59" t="s">
        <v>86</v>
      </c>
      <c r="D33" s="52" t="s">
        <v>74</v>
      </c>
      <c r="E33" s="59" t="s">
        <v>710</v>
      </c>
      <c r="F33" s="52">
        <v>3</v>
      </c>
    </row>
    <row r="34" spans="1:6" ht="14.25" customHeight="1">
      <c r="A34" s="60" t="s">
        <v>25</v>
      </c>
      <c r="B34" s="60" t="s">
        <v>109</v>
      </c>
      <c r="C34" s="60" t="s">
        <v>77</v>
      </c>
      <c r="D34" s="60" t="s">
        <v>78</v>
      </c>
      <c r="E34" s="61" t="s">
        <v>711</v>
      </c>
      <c r="F34" s="60">
        <v>3</v>
      </c>
    </row>
    <row r="35" spans="1:6" ht="14.25" customHeight="1">
      <c r="A35" s="52" t="s">
        <v>25</v>
      </c>
      <c r="B35" s="52" t="s">
        <v>109</v>
      </c>
      <c r="C35" s="52" t="s">
        <v>309</v>
      </c>
      <c r="D35" s="52" t="s">
        <v>74</v>
      </c>
      <c r="E35" s="59" t="s">
        <v>710</v>
      </c>
      <c r="F35" s="52">
        <v>1</v>
      </c>
    </row>
    <row r="36" spans="1:6" ht="14.25" customHeight="1">
      <c r="A36" s="60" t="s">
        <v>25</v>
      </c>
      <c r="B36" s="60" t="s">
        <v>109</v>
      </c>
      <c r="C36" s="61" t="s">
        <v>310</v>
      </c>
      <c r="D36" s="60" t="s">
        <v>80</v>
      </c>
      <c r="E36" s="61" t="s">
        <v>717</v>
      </c>
      <c r="F36" s="60">
        <v>1</v>
      </c>
    </row>
    <row r="37" spans="1:6" ht="14.25" customHeight="1">
      <c r="A37" s="52" t="s">
        <v>25</v>
      </c>
      <c r="B37" s="52" t="s">
        <v>111</v>
      </c>
      <c r="C37" s="52" t="s">
        <v>77</v>
      </c>
      <c r="D37" s="52" t="s">
        <v>78</v>
      </c>
      <c r="E37" s="59" t="s">
        <v>711</v>
      </c>
      <c r="F37" s="52">
        <v>1</v>
      </c>
    </row>
    <row r="38" spans="1:6" ht="14.25" customHeight="1">
      <c r="A38" s="60" t="s">
        <v>25</v>
      </c>
      <c r="B38" s="60" t="s">
        <v>111</v>
      </c>
      <c r="C38" s="60" t="s">
        <v>122</v>
      </c>
      <c r="D38" s="60" t="s">
        <v>74</v>
      </c>
      <c r="E38" s="61" t="s">
        <v>710</v>
      </c>
      <c r="F38" s="60">
        <v>1</v>
      </c>
    </row>
    <row r="39" spans="1:6" ht="14.25" customHeight="1">
      <c r="A39" s="52" t="s">
        <v>25</v>
      </c>
      <c r="B39" s="52" t="s">
        <v>111</v>
      </c>
      <c r="C39" s="52" t="s">
        <v>122</v>
      </c>
      <c r="D39" s="52" t="s">
        <v>80</v>
      </c>
      <c r="E39" s="59" t="s">
        <v>717</v>
      </c>
      <c r="F39" s="52">
        <v>1</v>
      </c>
    </row>
    <row r="40" spans="1:6" ht="14.25" customHeight="1">
      <c r="A40" s="60" t="s">
        <v>25</v>
      </c>
      <c r="B40" s="60" t="s">
        <v>111</v>
      </c>
      <c r="C40" s="60" t="s">
        <v>315</v>
      </c>
      <c r="D40" s="60" t="s">
        <v>74</v>
      </c>
      <c r="E40" s="61" t="s">
        <v>710</v>
      </c>
      <c r="F40" s="60">
        <v>1</v>
      </c>
    </row>
    <row r="41" spans="1:6" ht="14.25" customHeight="1">
      <c r="A41" s="52" t="s">
        <v>25</v>
      </c>
      <c r="B41" s="52" t="s">
        <v>316</v>
      </c>
      <c r="C41" s="52" t="s">
        <v>317</v>
      </c>
      <c r="D41" s="52" t="s">
        <v>74</v>
      </c>
      <c r="E41" s="59" t="s">
        <v>710</v>
      </c>
      <c r="F41" s="52">
        <v>2</v>
      </c>
    </row>
    <row r="42" spans="1:6" ht="14.25" customHeight="1">
      <c r="A42" s="60" t="s">
        <v>25</v>
      </c>
      <c r="B42" s="60" t="s">
        <v>114</v>
      </c>
      <c r="C42" s="60" t="s">
        <v>77</v>
      </c>
      <c r="D42" s="60" t="s">
        <v>78</v>
      </c>
      <c r="E42" s="61" t="s">
        <v>711</v>
      </c>
      <c r="F42" s="60">
        <v>5</v>
      </c>
    </row>
    <row r="43" spans="1:6" ht="14.25" customHeight="1">
      <c r="A43" s="52" t="s">
        <v>25</v>
      </c>
      <c r="B43" s="52" t="s">
        <v>114</v>
      </c>
      <c r="C43" s="59" t="s">
        <v>696</v>
      </c>
      <c r="D43" s="52" t="s">
        <v>74</v>
      </c>
      <c r="E43" s="59" t="s">
        <v>710</v>
      </c>
      <c r="F43" s="52">
        <v>2</v>
      </c>
    </row>
    <row r="44" spans="1:6" ht="14.25" customHeight="1">
      <c r="A44" s="60" t="s">
        <v>25</v>
      </c>
      <c r="B44" s="61" t="s">
        <v>320</v>
      </c>
      <c r="C44" s="61" t="s">
        <v>319</v>
      </c>
      <c r="D44" s="60" t="s">
        <v>80</v>
      </c>
      <c r="E44" s="61" t="s">
        <v>717</v>
      </c>
      <c r="F44" s="60">
        <v>1</v>
      </c>
    </row>
    <row r="45" spans="1:6" ht="14.25" customHeight="1">
      <c r="A45" s="52" t="s">
        <v>25</v>
      </c>
      <c r="B45" s="59" t="s">
        <v>116</v>
      </c>
      <c r="C45" s="52" t="s">
        <v>117</v>
      </c>
      <c r="D45" s="52" t="s">
        <v>74</v>
      </c>
      <c r="E45" s="59" t="s">
        <v>710</v>
      </c>
      <c r="F45" s="52">
        <v>1</v>
      </c>
    </row>
    <row r="46" spans="1:6" ht="14.25" customHeight="1">
      <c r="A46" s="60" t="s">
        <v>25</v>
      </c>
      <c r="B46" s="61" t="s">
        <v>116</v>
      </c>
      <c r="C46" s="60" t="s">
        <v>117</v>
      </c>
      <c r="D46" s="60" t="s">
        <v>118</v>
      </c>
      <c r="E46" s="61" t="s">
        <v>718</v>
      </c>
      <c r="F46" s="60">
        <v>1</v>
      </c>
    </row>
    <row r="47" spans="1:6" ht="14.25" customHeight="1">
      <c r="A47" s="52" t="s">
        <v>25</v>
      </c>
      <c r="B47" s="59" t="s">
        <v>116</v>
      </c>
      <c r="C47" s="52" t="s">
        <v>322</v>
      </c>
      <c r="D47" s="52" t="s">
        <v>74</v>
      </c>
      <c r="E47" s="59" t="s">
        <v>710</v>
      </c>
      <c r="F47" s="52">
        <v>1</v>
      </c>
    </row>
    <row r="48" spans="1:6" ht="14.25" customHeight="1">
      <c r="A48" s="60" t="s">
        <v>25</v>
      </c>
      <c r="B48" s="61" t="s">
        <v>116</v>
      </c>
      <c r="C48" s="61" t="s">
        <v>323</v>
      </c>
      <c r="D48" s="60" t="s">
        <v>80</v>
      </c>
      <c r="E48" s="61" t="s">
        <v>717</v>
      </c>
      <c r="F48" s="60">
        <v>1</v>
      </c>
    </row>
    <row r="49" spans="1:6" ht="14.25" customHeight="1">
      <c r="A49" s="52" t="s">
        <v>25</v>
      </c>
      <c r="B49" s="59" t="s">
        <v>121</v>
      </c>
      <c r="C49" s="52" t="s">
        <v>122</v>
      </c>
      <c r="D49" s="52" t="s">
        <v>118</v>
      </c>
      <c r="E49" s="59" t="s">
        <v>718</v>
      </c>
      <c r="F49" s="52">
        <v>2</v>
      </c>
    </row>
    <row r="50" spans="1:6" ht="14.25" customHeight="1">
      <c r="A50" s="60" t="s">
        <v>21</v>
      </c>
      <c r="B50" s="60" t="s">
        <v>324</v>
      </c>
      <c r="C50" s="60" t="s">
        <v>325</v>
      </c>
      <c r="D50" s="60" t="s">
        <v>74</v>
      </c>
      <c r="E50" s="61" t="s">
        <v>710</v>
      </c>
      <c r="F50" s="60">
        <v>2</v>
      </c>
    </row>
    <row r="51" spans="1:6" ht="14.25" customHeight="1">
      <c r="A51" s="52" t="s">
        <v>21</v>
      </c>
      <c r="B51" s="52" t="s">
        <v>326</v>
      </c>
      <c r="C51" s="52" t="s">
        <v>327</v>
      </c>
      <c r="D51" s="52" t="s">
        <v>74</v>
      </c>
      <c r="E51" s="59" t="s">
        <v>710</v>
      </c>
      <c r="F51" s="52">
        <v>2</v>
      </c>
    </row>
    <row r="52" spans="1:6" ht="14.25" customHeight="1">
      <c r="A52" s="60" t="s">
        <v>21</v>
      </c>
      <c r="B52" s="60" t="s">
        <v>124</v>
      </c>
      <c r="C52" s="60" t="s">
        <v>694</v>
      </c>
      <c r="D52" s="60" t="s">
        <v>118</v>
      </c>
      <c r="E52" s="61" t="s">
        <v>718</v>
      </c>
      <c r="F52" s="60">
        <v>2</v>
      </c>
    </row>
    <row r="53" spans="1:6" ht="14.25" customHeight="1">
      <c r="A53" s="52" t="s">
        <v>21</v>
      </c>
      <c r="B53" s="52" t="s">
        <v>127</v>
      </c>
      <c r="C53" s="52" t="s">
        <v>77</v>
      </c>
      <c r="D53" s="52" t="s">
        <v>78</v>
      </c>
      <c r="E53" s="59" t="s">
        <v>711</v>
      </c>
      <c r="F53" s="52">
        <v>1</v>
      </c>
    </row>
    <row r="54" spans="1:6" ht="14.25" customHeight="1">
      <c r="A54" s="60" t="s">
        <v>21</v>
      </c>
      <c r="B54" s="60" t="s">
        <v>127</v>
      </c>
      <c r="C54" s="60" t="s">
        <v>328</v>
      </c>
      <c r="D54" s="60" t="s">
        <v>74</v>
      </c>
      <c r="E54" s="61" t="s">
        <v>710</v>
      </c>
      <c r="F54" s="60">
        <v>2</v>
      </c>
    </row>
    <row r="55" spans="1:6" ht="14.25" customHeight="1">
      <c r="A55" s="52" t="s">
        <v>21</v>
      </c>
      <c r="B55" s="52" t="s">
        <v>331</v>
      </c>
      <c r="C55" s="52" t="s">
        <v>332</v>
      </c>
      <c r="D55" s="52" t="s">
        <v>74</v>
      </c>
      <c r="E55" s="59" t="s">
        <v>710</v>
      </c>
      <c r="F55" s="52">
        <v>2</v>
      </c>
    </row>
    <row r="56" spans="1:6" ht="14.25" customHeight="1">
      <c r="A56" s="60" t="s">
        <v>21</v>
      </c>
      <c r="B56" s="60" t="s">
        <v>329</v>
      </c>
      <c r="C56" s="60" t="s">
        <v>330</v>
      </c>
      <c r="D56" s="60" t="s">
        <v>74</v>
      </c>
      <c r="E56" s="61" t="s">
        <v>710</v>
      </c>
      <c r="F56" s="60">
        <v>2</v>
      </c>
    </row>
    <row r="57" spans="1:6" ht="14.25" customHeight="1">
      <c r="A57" s="52" t="s">
        <v>21</v>
      </c>
      <c r="B57" s="59" t="s">
        <v>246</v>
      </c>
      <c r="C57" s="52" t="s">
        <v>247</v>
      </c>
      <c r="D57" s="52" t="s">
        <v>74</v>
      </c>
      <c r="E57" s="59" t="s">
        <v>710</v>
      </c>
      <c r="F57" s="52">
        <v>1</v>
      </c>
    </row>
    <row r="58" spans="1:6" ht="14.25" customHeight="1">
      <c r="A58" s="60" t="s">
        <v>21</v>
      </c>
      <c r="B58" s="61" t="s">
        <v>248</v>
      </c>
      <c r="C58" s="60" t="s">
        <v>249</v>
      </c>
      <c r="D58" s="60" t="s">
        <v>74</v>
      </c>
      <c r="E58" s="61" t="s">
        <v>710</v>
      </c>
      <c r="F58" s="60">
        <v>1</v>
      </c>
    </row>
    <row r="59" spans="1:6" ht="14.25" customHeight="1">
      <c r="A59" s="52" t="s">
        <v>21</v>
      </c>
      <c r="B59" s="59" t="s">
        <v>251</v>
      </c>
      <c r="C59" s="52" t="s">
        <v>252</v>
      </c>
      <c r="D59" s="52" t="s">
        <v>74</v>
      </c>
      <c r="E59" s="59" t="s">
        <v>710</v>
      </c>
      <c r="F59" s="52">
        <v>1</v>
      </c>
    </row>
    <row r="60" spans="1:6" ht="14.25" customHeight="1">
      <c r="A60" s="60" t="s">
        <v>21</v>
      </c>
      <c r="B60" s="61" t="s">
        <v>253</v>
      </c>
      <c r="C60" s="60" t="s">
        <v>254</v>
      </c>
      <c r="D60" s="60" t="s">
        <v>74</v>
      </c>
      <c r="E60" s="61" t="s">
        <v>710</v>
      </c>
      <c r="F60" s="60">
        <v>1</v>
      </c>
    </row>
    <row r="61" spans="1:6" ht="14.25" customHeight="1">
      <c r="A61" s="52" t="s">
        <v>21</v>
      </c>
      <c r="B61" s="59" t="s">
        <v>168</v>
      </c>
      <c r="C61" s="52" t="s">
        <v>169</v>
      </c>
      <c r="D61" s="52" t="s">
        <v>74</v>
      </c>
      <c r="E61" s="59" t="s">
        <v>710</v>
      </c>
      <c r="F61" s="52">
        <v>1</v>
      </c>
    </row>
    <row r="62" spans="1:6" ht="14.25" customHeight="1">
      <c r="A62" s="60" t="s">
        <v>21</v>
      </c>
      <c r="B62" s="61" t="s">
        <v>225</v>
      </c>
      <c r="C62" s="60" t="s">
        <v>258</v>
      </c>
      <c r="D62" s="60" t="s">
        <v>74</v>
      </c>
      <c r="E62" s="61" t="s">
        <v>710</v>
      </c>
      <c r="F62" s="60">
        <v>2</v>
      </c>
    </row>
    <row r="63" spans="1:6" ht="14.25" customHeight="1">
      <c r="A63" s="52" t="s">
        <v>21</v>
      </c>
      <c r="B63" s="59" t="s">
        <v>225</v>
      </c>
      <c r="C63" s="52" t="s">
        <v>258</v>
      </c>
      <c r="D63" s="52" t="s">
        <v>74</v>
      </c>
      <c r="E63" s="59" t="s">
        <v>710</v>
      </c>
      <c r="F63" s="52">
        <v>2</v>
      </c>
    </row>
    <row r="64" spans="1:6" ht="14.25" customHeight="1">
      <c r="A64" s="60" t="s">
        <v>21</v>
      </c>
      <c r="B64" s="61" t="s">
        <v>225</v>
      </c>
      <c r="C64" s="60" t="s">
        <v>333</v>
      </c>
      <c r="D64" s="60" t="s">
        <v>74</v>
      </c>
      <c r="E64" s="61" t="s">
        <v>710</v>
      </c>
      <c r="F64" s="60">
        <v>1</v>
      </c>
    </row>
    <row r="65" spans="1:6" ht="14.25" customHeight="1">
      <c r="A65" s="52" t="s">
        <v>21</v>
      </c>
      <c r="B65" s="59" t="s">
        <v>225</v>
      </c>
      <c r="C65" s="52" t="s">
        <v>226</v>
      </c>
      <c r="D65" s="52" t="s">
        <v>74</v>
      </c>
      <c r="E65" s="59" t="s">
        <v>710</v>
      </c>
      <c r="F65" s="52">
        <v>2</v>
      </c>
    </row>
    <row r="66" spans="1:6" ht="14.25" customHeight="1">
      <c r="A66" s="60" t="s">
        <v>21</v>
      </c>
      <c r="B66" s="61" t="s">
        <v>225</v>
      </c>
      <c r="C66" s="60" t="s">
        <v>260</v>
      </c>
      <c r="D66" s="60" t="s">
        <v>74</v>
      </c>
      <c r="E66" s="61" t="s">
        <v>710</v>
      </c>
      <c r="F66" s="60">
        <v>4</v>
      </c>
    </row>
    <row r="67" spans="1:6" ht="14.25" customHeight="1">
      <c r="A67" s="52" t="s">
        <v>21</v>
      </c>
      <c r="B67" s="59" t="s">
        <v>225</v>
      </c>
      <c r="C67" s="52" t="s">
        <v>259</v>
      </c>
      <c r="D67" s="52" t="s">
        <v>74</v>
      </c>
      <c r="E67" s="59" t="s">
        <v>710</v>
      </c>
      <c r="F67" s="52">
        <v>2</v>
      </c>
    </row>
    <row r="68" spans="1:6" ht="14.25" customHeight="1">
      <c r="A68" s="60" t="s">
        <v>21</v>
      </c>
      <c r="B68" s="61" t="s">
        <v>225</v>
      </c>
      <c r="C68" s="61" t="s">
        <v>227</v>
      </c>
      <c r="D68" s="60" t="s">
        <v>74</v>
      </c>
      <c r="E68" s="61" t="s">
        <v>710</v>
      </c>
      <c r="F68" s="60">
        <v>2</v>
      </c>
    </row>
    <row r="69" spans="1:6" ht="14.25" customHeight="1">
      <c r="A69" s="52" t="s">
        <v>21</v>
      </c>
      <c r="B69" s="59" t="s">
        <v>225</v>
      </c>
      <c r="C69" s="59" t="s">
        <v>228</v>
      </c>
      <c r="D69" s="52" t="s">
        <v>74</v>
      </c>
      <c r="E69" s="59" t="s">
        <v>710</v>
      </c>
      <c r="F69" s="52">
        <v>2</v>
      </c>
    </row>
    <row r="70" spans="1:6" ht="14.25" customHeight="1">
      <c r="A70" s="60" t="s">
        <v>21</v>
      </c>
      <c r="B70" s="61" t="s">
        <v>225</v>
      </c>
      <c r="C70" s="61" t="s">
        <v>229</v>
      </c>
      <c r="D70" s="60" t="s">
        <v>74</v>
      </c>
      <c r="E70" s="61" t="s">
        <v>710</v>
      </c>
      <c r="F70" s="60">
        <v>1</v>
      </c>
    </row>
    <row r="71" spans="1:6" ht="14.25" customHeight="1">
      <c r="A71" s="52" t="s">
        <v>21</v>
      </c>
      <c r="B71" s="59" t="s">
        <v>225</v>
      </c>
      <c r="C71" s="59" t="s">
        <v>230</v>
      </c>
      <c r="D71" s="52" t="s">
        <v>74</v>
      </c>
      <c r="E71" s="59" t="s">
        <v>710</v>
      </c>
      <c r="F71" s="52">
        <v>1</v>
      </c>
    </row>
    <row r="72" spans="1:6" ht="14.25" customHeight="1">
      <c r="A72" s="60" t="s">
        <v>21</v>
      </c>
      <c r="B72" s="61" t="s">
        <v>225</v>
      </c>
      <c r="C72" s="61" t="s">
        <v>231</v>
      </c>
      <c r="D72" s="60" t="s">
        <v>74</v>
      </c>
      <c r="E72" s="61" t="s">
        <v>710</v>
      </c>
      <c r="F72" s="60">
        <v>1</v>
      </c>
    </row>
    <row r="73" spans="1:6" ht="14.25" customHeight="1">
      <c r="A73" s="52" t="s">
        <v>21</v>
      </c>
      <c r="B73" s="59" t="s">
        <v>225</v>
      </c>
      <c r="C73" s="59" t="s">
        <v>255</v>
      </c>
      <c r="D73" s="52" t="s">
        <v>74</v>
      </c>
      <c r="E73" s="59" t="s">
        <v>710</v>
      </c>
      <c r="F73" s="52">
        <v>4</v>
      </c>
    </row>
    <row r="74" spans="1:6" ht="14.25" customHeight="1">
      <c r="A74" s="60" t="s">
        <v>21</v>
      </c>
      <c r="B74" s="61" t="s">
        <v>225</v>
      </c>
      <c r="C74" s="61" t="s">
        <v>255</v>
      </c>
      <c r="D74" s="60" t="s">
        <v>80</v>
      </c>
      <c r="E74" s="61" t="s">
        <v>717</v>
      </c>
      <c r="F74" s="60">
        <v>1</v>
      </c>
    </row>
    <row r="75" spans="1:6" ht="14.25" customHeight="1">
      <c r="A75" s="52" t="s">
        <v>21</v>
      </c>
      <c r="B75" s="59" t="s">
        <v>225</v>
      </c>
      <c r="C75" s="59" t="s">
        <v>261</v>
      </c>
      <c r="D75" s="52" t="s">
        <v>74</v>
      </c>
      <c r="E75" s="59" t="s">
        <v>710</v>
      </c>
      <c r="F75" s="52">
        <v>4</v>
      </c>
    </row>
    <row r="76" spans="1:6" ht="14.25" customHeight="1">
      <c r="A76" s="60" t="s">
        <v>21</v>
      </c>
      <c r="B76" s="61" t="s">
        <v>225</v>
      </c>
      <c r="C76" s="61" t="s">
        <v>256</v>
      </c>
      <c r="D76" s="60" t="s">
        <v>74</v>
      </c>
      <c r="E76" s="61" t="s">
        <v>710</v>
      </c>
      <c r="F76" s="60">
        <v>5</v>
      </c>
    </row>
    <row r="77" spans="1:6" ht="14.25" customHeight="1">
      <c r="A77" s="52" t="s">
        <v>21</v>
      </c>
      <c r="B77" s="59" t="s">
        <v>225</v>
      </c>
      <c r="C77" s="59" t="s">
        <v>693</v>
      </c>
      <c r="D77" s="52" t="s">
        <v>74</v>
      </c>
      <c r="E77" s="59" t="s">
        <v>710</v>
      </c>
      <c r="F77" s="52">
        <v>1</v>
      </c>
    </row>
    <row r="78" spans="1:6" ht="14.25" customHeight="1">
      <c r="A78" s="60" t="s">
        <v>21</v>
      </c>
      <c r="B78" s="61" t="s">
        <v>232</v>
      </c>
      <c r="C78" s="60" t="s">
        <v>233</v>
      </c>
      <c r="D78" s="60" t="s">
        <v>74</v>
      </c>
      <c r="E78" s="61" t="s">
        <v>710</v>
      </c>
      <c r="F78" s="60">
        <v>1</v>
      </c>
    </row>
    <row r="79" spans="1:6" ht="14.25" customHeight="1">
      <c r="A79" s="52" t="s">
        <v>21</v>
      </c>
      <c r="B79" s="59" t="s">
        <v>232</v>
      </c>
      <c r="C79" s="52" t="s">
        <v>234</v>
      </c>
      <c r="D79" s="52" t="s">
        <v>74</v>
      </c>
      <c r="E79" s="59" t="s">
        <v>710</v>
      </c>
      <c r="F79" s="52">
        <v>2</v>
      </c>
    </row>
    <row r="80" spans="1:6" ht="14.25" customHeight="1">
      <c r="A80" s="60" t="s">
        <v>21</v>
      </c>
      <c r="B80" s="61" t="s">
        <v>334</v>
      </c>
      <c r="C80" s="60" t="s">
        <v>335</v>
      </c>
      <c r="D80" s="60" t="s">
        <v>74</v>
      </c>
      <c r="E80" s="61" t="s">
        <v>710</v>
      </c>
      <c r="F80" s="60">
        <v>2</v>
      </c>
    </row>
    <row r="81" spans="1:6" ht="14.25" customHeight="1">
      <c r="A81" s="52" t="s">
        <v>21</v>
      </c>
      <c r="B81" s="59" t="s">
        <v>152</v>
      </c>
      <c r="C81" s="52" t="s">
        <v>171</v>
      </c>
      <c r="D81" s="52" t="s">
        <v>74</v>
      </c>
      <c r="E81" s="59" t="s">
        <v>710</v>
      </c>
      <c r="F81" s="52">
        <v>4</v>
      </c>
    </row>
    <row r="82" spans="1:6" ht="14.25" customHeight="1">
      <c r="A82" s="60" t="s">
        <v>21</v>
      </c>
      <c r="B82" s="61" t="s">
        <v>152</v>
      </c>
      <c r="C82" s="60" t="s">
        <v>171</v>
      </c>
      <c r="D82" s="60" t="s">
        <v>80</v>
      </c>
      <c r="E82" s="61" t="s">
        <v>717</v>
      </c>
      <c r="F82" s="60">
        <v>2</v>
      </c>
    </row>
    <row r="83" spans="1:6" ht="14.25" customHeight="1">
      <c r="A83" s="52" t="s">
        <v>21</v>
      </c>
      <c r="B83" s="59" t="s">
        <v>152</v>
      </c>
      <c r="C83" s="52" t="s">
        <v>172</v>
      </c>
      <c r="D83" s="52" t="s">
        <v>74</v>
      </c>
      <c r="E83" s="59" t="s">
        <v>710</v>
      </c>
      <c r="F83" s="52">
        <v>1</v>
      </c>
    </row>
    <row r="84" spans="1:6" ht="14.25" customHeight="1">
      <c r="A84" s="60" t="s">
        <v>21</v>
      </c>
      <c r="B84" s="61" t="s">
        <v>152</v>
      </c>
      <c r="C84" s="60" t="s">
        <v>172</v>
      </c>
      <c r="D84" s="60" t="s">
        <v>74</v>
      </c>
      <c r="E84" s="61" t="s">
        <v>710</v>
      </c>
      <c r="F84" s="60">
        <v>7</v>
      </c>
    </row>
    <row r="85" spans="1:6" ht="14.25" customHeight="1">
      <c r="A85" s="52" t="s">
        <v>21</v>
      </c>
      <c r="B85" s="59" t="s">
        <v>152</v>
      </c>
      <c r="C85" s="52" t="s">
        <v>172</v>
      </c>
      <c r="D85" s="52" t="s">
        <v>80</v>
      </c>
      <c r="E85" s="59" t="s">
        <v>717</v>
      </c>
      <c r="F85" s="52">
        <v>2</v>
      </c>
    </row>
    <row r="86" spans="1:6" ht="14.25" customHeight="1">
      <c r="A86" s="60" t="s">
        <v>21</v>
      </c>
      <c r="B86" s="61" t="s">
        <v>152</v>
      </c>
      <c r="C86" s="60" t="s">
        <v>172</v>
      </c>
      <c r="D86" s="60" t="s">
        <v>80</v>
      </c>
      <c r="E86" s="61" t="s">
        <v>717</v>
      </c>
      <c r="F86" s="60">
        <v>2</v>
      </c>
    </row>
    <row r="87" spans="1:6" ht="14.25" customHeight="1">
      <c r="A87" s="52" t="s">
        <v>21</v>
      </c>
      <c r="B87" s="59" t="s">
        <v>152</v>
      </c>
      <c r="C87" s="52" t="s">
        <v>77</v>
      </c>
      <c r="D87" s="52" t="s">
        <v>78</v>
      </c>
      <c r="E87" s="59" t="s">
        <v>711</v>
      </c>
      <c r="F87" s="52">
        <v>24</v>
      </c>
    </row>
    <row r="88" spans="1:6" ht="14.25" customHeight="1">
      <c r="A88" s="60" t="s">
        <v>21</v>
      </c>
      <c r="B88" s="61" t="s">
        <v>152</v>
      </c>
      <c r="C88" s="60" t="s">
        <v>173</v>
      </c>
      <c r="D88" s="60" t="s">
        <v>80</v>
      </c>
      <c r="E88" s="61" t="s">
        <v>717</v>
      </c>
      <c r="F88" s="60">
        <v>2</v>
      </c>
    </row>
    <row r="89" spans="1:6" ht="14.25" customHeight="1">
      <c r="A89" s="52" t="s">
        <v>21</v>
      </c>
      <c r="B89" s="59" t="s">
        <v>152</v>
      </c>
      <c r="C89" s="52" t="s">
        <v>177</v>
      </c>
      <c r="D89" s="52" t="s">
        <v>74</v>
      </c>
      <c r="E89" s="59" t="s">
        <v>710</v>
      </c>
      <c r="F89" s="52">
        <v>4</v>
      </c>
    </row>
    <row r="90" spans="1:6" ht="14.25" customHeight="1">
      <c r="A90" s="60" t="s">
        <v>21</v>
      </c>
      <c r="B90" s="61" t="s">
        <v>152</v>
      </c>
      <c r="C90" s="60" t="s">
        <v>178</v>
      </c>
      <c r="D90" s="60" t="s">
        <v>74</v>
      </c>
      <c r="E90" s="61" t="s">
        <v>710</v>
      </c>
      <c r="F90" s="60">
        <v>1</v>
      </c>
    </row>
    <row r="91" spans="1:6" ht="14.25" customHeight="1">
      <c r="A91" s="52" t="s">
        <v>21</v>
      </c>
      <c r="B91" s="59" t="s">
        <v>152</v>
      </c>
      <c r="C91" s="52" t="s">
        <v>153</v>
      </c>
      <c r="D91" s="52" t="s">
        <v>74</v>
      </c>
      <c r="E91" s="59" t="s">
        <v>710</v>
      </c>
      <c r="F91" s="52">
        <v>7</v>
      </c>
    </row>
    <row r="92" spans="1:6" ht="14.25" customHeight="1">
      <c r="A92" s="60" t="s">
        <v>21</v>
      </c>
      <c r="B92" s="61" t="s">
        <v>152</v>
      </c>
      <c r="C92" s="60" t="s">
        <v>153</v>
      </c>
      <c r="D92" s="60" t="s">
        <v>80</v>
      </c>
      <c r="E92" s="61" t="s">
        <v>717</v>
      </c>
      <c r="F92" s="60">
        <v>1</v>
      </c>
    </row>
    <row r="93" spans="1:6" ht="14.25" customHeight="1">
      <c r="A93" s="52" t="s">
        <v>21</v>
      </c>
      <c r="B93" s="59" t="s">
        <v>152</v>
      </c>
      <c r="C93" s="52" t="s">
        <v>153</v>
      </c>
      <c r="D93" s="52" t="s">
        <v>154</v>
      </c>
      <c r="E93" s="59" t="s">
        <v>719</v>
      </c>
      <c r="F93" s="52">
        <v>2</v>
      </c>
    </row>
    <row r="94" spans="1:6" ht="14.25" customHeight="1">
      <c r="A94" s="60" t="s">
        <v>21</v>
      </c>
      <c r="B94" s="61" t="s">
        <v>160</v>
      </c>
      <c r="C94" s="60" t="s">
        <v>221</v>
      </c>
      <c r="D94" s="60" t="s">
        <v>74</v>
      </c>
      <c r="E94" s="61" t="s">
        <v>710</v>
      </c>
      <c r="F94" s="60">
        <v>3</v>
      </c>
    </row>
    <row r="95" spans="1:6" ht="14.25" customHeight="1">
      <c r="A95" s="52" t="s">
        <v>21</v>
      </c>
      <c r="B95" s="59" t="s">
        <v>160</v>
      </c>
      <c r="C95" s="52" t="s">
        <v>221</v>
      </c>
      <c r="D95" s="52" t="s">
        <v>74</v>
      </c>
      <c r="E95" s="59" t="s">
        <v>710</v>
      </c>
      <c r="F95" s="52">
        <v>4</v>
      </c>
    </row>
    <row r="96" spans="1:6" ht="14.25" customHeight="1">
      <c r="A96" s="60" t="s">
        <v>21</v>
      </c>
      <c r="B96" s="61" t="s">
        <v>160</v>
      </c>
      <c r="C96" s="60" t="s">
        <v>221</v>
      </c>
      <c r="D96" s="60" t="s">
        <v>74</v>
      </c>
      <c r="E96" s="61" t="s">
        <v>710</v>
      </c>
      <c r="F96" s="60">
        <v>1</v>
      </c>
    </row>
    <row r="97" spans="1:6" ht="14.25" customHeight="1">
      <c r="A97" s="52" t="s">
        <v>21</v>
      </c>
      <c r="B97" s="59" t="s">
        <v>160</v>
      </c>
      <c r="C97" s="52" t="s">
        <v>161</v>
      </c>
      <c r="D97" s="52" t="s">
        <v>118</v>
      </c>
      <c r="E97" s="59" t="s">
        <v>718</v>
      </c>
      <c r="F97" s="52">
        <v>2</v>
      </c>
    </row>
    <row r="98" spans="1:6" ht="14.25" customHeight="1">
      <c r="A98" s="60" t="s">
        <v>21</v>
      </c>
      <c r="B98" s="61" t="s">
        <v>160</v>
      </c>
      <c r="C98" s="60" t="s">
        <v>222</v>
      </c>
      <c r="D98" s="60" t="s">
        <v>74</v>
      </c>
      <c r="E98" s="61" t="s">
        <v>710</v>
      </c>
      <c r="F98" s="60">
        <v>1</v>
      </c>
    </row>
    <row r="99" spans="1:6" ht="14.25" customHeight="1">
      <c r="A99" s="52" t="s">
        <v>21</v>
      </c>
      <c r="B99" s="59" t="s">
        <v>163</v>
      </c>
      <c r="C99" s="52" t="s">
        <v>221</v>
      </c>
      <c r="D99" s="52" t="s">
        <v>74</v>
      </c>
      <c r="E99" s="59" t="s">
        <v>710</v>
      </c>
      <c r="F99" s="52">
        <v>1</v>
      </c>
    </row>
    <row r="100" spans="1:6" ht="14.25" customHeight="1">
      <c r="A100" s="60" t="s">
        <v>21</v>
      </c>
      <c r="B100" s="61" t="s">
        <v>163</v>
      </c>
      <c r="C100" s="60" t="s">
        <v>164</v>
      </c>
      <c r="D100" s="60" t="s">
        <v>118</v>
      </c>
      <c r="E100" s="61" t="s">
        <v>718</v>
      </c>
      <c r="F100" s="60">
        <v>2</v>
      </c>
    </row>
    <row r="101" spans="1:6" ht="14.25" customHeight="1">
      <c r="A101" s="52" t="s">
        <v>21</v>
      </c>
      <c r="B101" s="59" t="s">
        <v>163</v>
      </c>
      <c r="C101" s="52" t="s">
        <v>223</v>
      </c>
      <c r="D101" s="52" t="s">
        <v>74</v>
      </c>
      <c r="E101" s="59" t="s">
        <v>710</v>
      </c>
      <c r="F101" s="52">
        <v>7</v>
      </c>
    </row>
    <row r="102" spans="1:6" ht="14.25" customHeight="1">
      <c r="A102" s="60" t="s">
        <v>21</v>
      </c>
      <c r="B102" s="61" t="s">
        <v>163</v>
      </c>
      <c r="C102" s="60" t="s">
        <v>224</v>
      </c>
      <c r="D102" s="60" t="s">
        <v>74</v>
      </c>
      <c r="E102" s="61" t="s">
        <v>710</v>
      </c>
      <c r="F102" s="60">
        <v>4</v>
      </c>
    </row>
    <row r="103" spans="1:6" ht="14.25" customHeight="1">
      <c r="A103" s="52" t="s">
        <v>21</v>
      </c>
      <c r="B103" s="59" t="s">
        <v>166</v>
      </c>
      <c r="C103" s="52" t="s">
        <v>167</v>
      </c>
      <c r="D103" s="52" t="s">
        <v>118</v>
      </c>
      <c r="E103" s="59" t="s">
        <v>718</v>
      </c>
      <c r="F103" s="52">
        <v>2</v>
      </c>
    </row>
    <row r="104" spans="1:6" ht="14.25" customHeight="1">
      <c r="A104" s="60" t="s">
        <v>21</v>
      </c>
      <c r="B104" s="61" t="s">
        <v>166</v>
      </c>
      <c r="C104" s="60" t="s">
        <v>213</v>
      </c>
      <c r="D104" s="60" t="s">
        <v>74</v>
      </c>
      <c r="E104" s="61" t="s">
        <v>710</v>
      </c>
      <c r="F104" s="60">
        <v>4</v>
      </c>
    </row>
    <row r="105" spans="1:6" ht="14.25" customHeight="1">
      <c r="A105" s="52" t="s">
        <v>21</v>
      </c>
      <c r="B105" s="59" t="s">
        <v>166</v>
      </c>
      <c r="C105" s="59" t="s">
        <v>214</v>
      </c>
      <c r="D105" s="52" t="s">
        <v>74</v>
      </c>
      <c r="E105" s="59" t="s">
        <v>710</v>
      </c>
      <c r="F105" s="52">
        <v>1</v>
      </c>
    </row>
    <row r="106" spans="1:6" ht="14.25" customHeight="1">
      <c r="A106" s="60" t="s">
        <v>21</v>
      </c>
      <c r="B106" s="61" t="s">
        <v>216</v>
      </c>
      <c r="C106" s="60" t="s">
        <v>217</v>
      </c>
      <c r="D106" s="60" t="s">
        <v>74</v>
      </c>
      <c r="E106" s="61" t="s">
        <v>710</v>
      </c>
      <c r="F106" s="60">
        <v>2</v>
      </c>
    </row>
    <row r="107" spans="1:6" ht="14.25" customHeight="1">
      <c r="A107" s="52" t="s">
        <v>21</v>
      </c>
      <c r="B107" s="59" t="s">
        <v>216</v>
      </c>
      <c r="C107" s="59" t="s">
        <v>218</v>
      </c>
      <c r="D107" s="52" t="s">
        <v>74</v>
      </c>
      <c r="E107" s="59" t="s">
        <v>710</v>
      </c>
      <c r="F107" s="52">
        <v>2</v>
      </c>
    </row>
    <row r="108" spans="1:6" ht="14.25" customHeight="1">
      <c r="A108" s="60" t="s">
        <v>21</v>
      </c>
      <c r="B108" s="61" t="s">
        <v>156</v>
      </c>
      <c r="C108" s="60" t="s">
        <v>157</v>
      </c>
      <c r="D108" s="60" t="s">
        <v>74</v>
      </c>
      <c r="E108" s="61" t="s">
        <v>710</v>
      </c>
      <c r="F108" s="60">
        <v>2</v>
      </c>
    </row>
    <row r="109" spans="1:6" ht="14.25" customHeight="1">
      <c r="A109" s="52" t="s">
        <v>21</v>
      </c>
      <c r="B109" s="59" t="s">
        <v>156</v>
      </c>
      <c r="C109" s="52" t="s">
        <v>157</v>
      </c>
      <c r="D109" s="52" t="s">
        <v>118</v>
      </c>
      <c r="E109" s="59" t="s">
        <v>718</v>
      </c>
      <c r="F109" s="52">
        <v>1</v>
      </c>
    </row>
    <row r="110" spans="1:6" ht="14.25" customHeight="1">
      <c r="A110" s="60" t="s">
        <v>21</v>
      </c>
      <c r="B110" s="61" t="s">
        <v>184</v>
      </c>
      <c r="C110" s="60" t="s">
        <v>185</v>
      </c>
      <c r="D110" s="60" t="s">
        <v>74</v>
      </c>
      <c r="E110" s="61" t="s">
        <v>710</v>
      </c>
      <c r="F110" s="60">
        <v>1</v>
      </c>
    </row>
    <row r="111" spans="1:6" ht="14.25" customHeight="1">
      <c r="A111" s="52" t="s">
        <v>21</v>
      </c>
      <c r="B111" s="59" t="s">
        <v>180</v>
      </c>
      <c r="C111" s="52" t="s">
        <v>181</v>
      </c>
      <c r="D111" s="52" t="s">
        <v>74</v>
      </c>
      <c r="E111" s="59" t="s">
        <v>710</v>
      </c>
      <c r="F111" s="52">
        <v>2</v>
      </c>
    </row>
    <row r="112" spans="1:6" ht="14.25" customHeight="1">
      <c r="A112" s="60" t="s">
        <v>21</v>
      </c>
      <c r="B112" s="61" t="s">
        <v>182</v>
      </c>
      <c r="C112" s="60" t="s">
        <v>183</v>
      </c>
      <c r="D112" s="60" t="s">
        <v>74</v>
      </c>
      <c r="E112" s="61" t="s">
        <v>710</v>
      </c>
      <c r="F112" s="60">
        <v>1</v>
      </c>
    </row>
    <row r="113" spans="1:6" ht="14.25" customHeight="1">
      <c r="A113" s="52" t="s">
        <v>21</v>
      </c>
      <c r="B113" s="59" t="s">
        <v>174</v>
      </c>
      <c r="C113" s="52" t="s">
        <v>694</v>
      </c>
      <c r="D113" s="52" t="s">
        <v>74</v>
      </c>
      <c r="E113" s="59" t="s">
        <v>710</v>
      </c>
      <c r="F113" s="52">
        <v>3</v>
      </c>
    </row>
    <row r="114" spans="1:6" ht="14.25" customHeight="1">
      <c r="A114" s="60" t="s">
        <v>21</v>
      </c>
      <c r="B114" s="61" t="s">
        <v>174</v>
      </c>
      <c r="C114" s="60" t="s">
        <v>694</v>
      </c>
      <c r="D114" s="60" t="s">
        <v>118</v>
      </c>
      <c r="E114" s="61" t="s">
        <v>718</v>
      </c>
      <c r="F114" s="60">
        <v>2</v>
      </c>
    </row>
    <row r="115" spans="1:6" ht="14.25" customHeight="1">
      <c r="A115" s="52" t="s">
        <v>21</v>
      </c>
      <c r="B115" s="59" t="s">
        <v>174</v>
      </c>
      <c r="C115" s="52" t="s">
        <v>694</v>
      </c>
      <c r="D115" s="52" t="s">
        <v>176</v>
      </c>
      <c r="E115" s="59" t="s">
        <v>720</v>
      </c>
      <c r="F115" s="52">
        <v>2</v>
      </c>
    </row>
    <row r="116" spans="1:6" ht="14.25" customHeight="1">
      <c r="A116" s="60" t="s">
        <v>21</v>
      </c>
      <c r="B116" s="61" t="s">
        <v>174</v>
      </c>
      <c r="C116" s="60" t="s">
        <v>694</v>
      </c>
      <c r="D116" s="60" t="s">
        <v>83</v>
      </c>
      <c r="E116" s="61" t="s">
        <v>713</v>
      </c>
      <c r="F116" s="60">
        <v>2</v>
      </c>
    </row>
    <row r="117" spans="1:6" ht="14.25" customHeight="1">
      <c r="A117" s="52" t="s">
        <v>21</v>
      </c>
      <c r="B117" s="59" t="s">
        <v>174</v>
      </c>
      <c r="C117" s="52" t="s">
        <v>219</v>
      </c>
      <c r="D117" s="52" t="s">
        <v>74</v>
      </c>
      <c r="E117" s="59" t="s">
        <v>710</v>
      </c>
      <c r="F117" s="52">
        <v>4</v>
      </c>
    </row>
    <row r="118" spans="1:6" ht="14.25" customHeight="1">
      <c r="A118" s="60" t="s">
        <v>21</v>
      </c>
      <c r="B118" s="61" t="s">
        <v>174</v>
      </c>
      <c r="C118" s="60" t="s">
        <v>219</v>
      </c>
      <c r="D118" s="60" t="s">
        <v>80</v>
      </c>
      <c r="E118" s="61" t="s">
        <v>717</v>
      </c>
      <c r="F118" s="60">
        <v>3</v>
      </c>
    </row>
    <row r="119" spans="1:6" ht="14.25" customHeight="1">
      <c r="A119" s="52" t="s">
        <v>21</v>
      </c>
      <c r="B119" s="59" t="s">
        <v>174</v>
      </c>
      <c r="C119" s="52" t="s">
        <v>220</v>
      </c>
      <c r="D119" s="52" t="s">
        <v>74</v>
      </c>
      <c r="E119" s="59" t="s">
        <v>710</v>
      </c>
      <c r="F119" s="52">
        <v>1</v>
      </c>
    </row>
    <row r="120" spans="1:6" ht="14.25" customHeight="1">
      <c r="A120" s="60" t="s">
        <v>21</v>
      </c>
      <c r="B120" s="61" t="s">
        <v>235</v>
      </c>
      <c r="C120" s="60" t="s">
        <v>236</v>
      </c>
      <c r="D120" s="60" t="s">
        <v>74</v>
      </c>
      <c r="E120" s="61" t="s">
        <v>710</v>
      </c>
      <c r="F120" s="60">
        <v>1</v>
      </c>
    </row>
    <row r="121" spans="1:6" ht="14.25" customHeight="1">
      <c r="A121" s="52" t="s">
        <v>21</v>
      </c>
      <c r="B121" s="59" t="s">
        <v>237</v>
      </c>
      <c r="C121" s="52" t="s">
        <v>238</v>
      </c>
      <c r="D121" s="52" t="s">
        <v>74</v>
      </c>
      <c r="E121" s="59" t="s">
        <v>710</v>
      </c>
      <c r="F121" s="52">
        <v>1</v>
      </c>
    </row>
    <row r="122" spans="1:6" ht="14.25" customHeight="1">
      <c r="A122" s="60" t="s">
        <v>21</v>
      </c>
      <c r="B122" s="61" t="s">
        <v>239</v>
      </c>
      <c r="C122" s="60" t="s">
        <v>240</v>
      </c>
      <c r="D122" s="60" t="s">
        <v>74</v>
      </c>
      <c r="E122" s="61" t="s">
        <v>710</v>
      </c>
      <c r="F122" s="60">
        <v>1</v>
      </c>
    </row>
    <row r="123" spans="1:6" ht="14.25" customHeight="1">
      <c r="A123" s="52" t="s">
        <v>21</v>
      </c>
      <c r="B123" s="59" t="s">
        <v>241</v>
      </c>
      <c r="C123" s="52" t="s">
        <v>242</v>
      </c>
      <c r="D123" s="52" t="s">
        <v>74</v>
      </c>
      <c r="E123" s="59" t="s">
        <v>710</v>
      </c>
      <c r="F123" s="52">
        <v>1</v>
      </c>
    </row>
    <row r="124" spans="1:6" ht="14.25" customHeight="1">
      <c r="A124" s="60" t="s">
        <v>21</v>
      </c>
      <c r="B124" s="61" t="s">
        <v>243</v>
      </c>
      <c r="C124" s="60" t="s">
        <v>244</v>
      </c>
      <c r="D124" s="60" t="s">
        <v>74</v>
      </c>
      <c r="E124" s="61" t="s">
        <v>710</v>
      </c>
      <c r="F124" s="60">
        <v>1</v>
      </c>
    </row>
    <row r="125" spans="1:6" ht="14.25" customHeight="1">
      <c r="A125" s="52" t="s">
        <v>21</v>
      </c>
      <c r="B125" s="59" t="s">
        <v>211</v>
      </c>
      <c r="C125" s="52" t="s">
        <v>212</v>
      </c>
      <c r="D125" s="52" t="s">
        <v>74</v>
      </c>
      <c r="E125" s="59" t="s">
        <v>710</v>
      </c>
      <c r="F125" s="52">
        <v>3</v>
      </c>
    </row>
    <row r="126" spans="1:6" ht="14.25" customHeight="1">
      <c r="A126" s="60" t="s">
        <v>21</v>
      </c>
      <c r="B126" s="61" t="s">
        <v>187</v>
      </c>
      <c r="C126" s="60" t="s">
        <v>153</v>
      </c>
      <c r="D126" s="60" t="s">
        <v>154</v>
      </c>
      <c r="E126" s="61" t="s">
        <v>719</v>
      </c>
      <c r="F126" s="60">
        <v>2</v>
      </c>
    </row>
    <row r="127" spans="1:6" ht="14.25" customHeight="1">
      <c r="A127" s="52" t="s">
        <v>20</v>
      </c>
      <c r="B127" s="52" t="s">
        <v>103</v>
      </c>
      <c r="C127" s="52" t="s">
        <v>77</v>
      </c>
      <c r="D127" s="52" t="s">
        <v>78</v>
      </c>
      <c r="E127" s="59" t="s">
        <v>711</v>
      </c>
      <c r="F127" s="52">
        <v>19</v>
      </c>
    </row>
    <row r="128" spans="1:6" ht="14.25" customHeight="1">
      <c r="A128" s="60" t="s">
        <v>20</v>
      </c>
      <c r="B128" s="60" t="s">
        <v>103</v>
      </c>
      <c r="C128" s="60" t="s">
        <v>288</v>
      </c>
      <c r="D128" s="60" t="s">
        <v>74</v>
      </c>
      <c r="E128" s="61" t="s">
        <v>710</v>
      </c>
      <c r="F128" s="60">
        <v>2</v>
      </c>
    </row>
    <row r="129" spans="1:6" ht="14.25" customHeight="1">
      <c r="A129" s="52" t="s">
        <v>20</v>
      </c>
      <c r="B129" s="52" t="s">
        <v>103</v>
      </c>
      <c r="C129" s="52" t="s">
        <v>288</v>
      </c>
      <c r="D129" s="52" t="s">
        <v>80</v>
      </c>
      <c r="E129" s="59" t="s">
        <v>717</v>
      </c>
      <c r="F129" s="52">
        <v>1</v>
      </c>
    </row>
    <row r="130" spans="1:6" ht="14.25" customHeight="1">
      <c r="A130" s="60" t="s">
        <v>20</v>
      </c>
      <c r="B130" s="60" t="s">
        <v>103</v>
      </c>
      <c r="C130" s="60" t="s">
        <v>336</v>
      </c>
      <c r="D130" s="60" t="s">
        <v>74</v>
      </c>
      <c r="E130" s="61" t="s">
        <v>710</v>
      </c>
      <c r="F130" s="60">
        <v>2</v>
      </c>
    </row>
    <row r="131" spans="1:6" ht="14.25" customHeight="1">
      <c r="A131" s="52" t="s">
        <v>20</v>
      </c>
      <c r="B131" s="52" t="s">
        <v>103</v>
      </c>
      <c r="C131" s="52" t="s">
        <v>337</v>
      </c>
      <c r="D131" s="52" t="s">
        <v>74</v>
      </c>
      <c r="E131" s="59" t="s">
        <v>710</v>
      </c>
      <c r="F131" s="52">
        <v>1</v>
      </c>
    </row>
    <row r="132" spans="1:6" ht="14.25" customHeight="1">
      <c r="A132" s="60" t="s">
        <v>20</v>
      </c>
      <c r="B132" s="60" t="s">
        <v>103</v>
      </c>
      <c r="C132" s="60" t="s">
        <v>337</v>
      </c>
      <c r="D132" s="60" t="s">
        <v>80</v>
      </c>
      <c r="E132" s="61" t="s">
        <v>717</v>
      </c>
      <c r="F132" s="60">
        <v>1</v>
      </c>
    </row>
    <row r="133" spans="1:6" ht="14.25" customHeight="1">
      <c r="A133" s="52" t="s">
        <v>20</v>
      </c>
      <c r="B133" s="52" t="s">
        <v>103</v>
      </c>
      <c r="C133" s="52" t="s">
        <v>153</v>
      </c>
      <c r="D133" s="52" t="s">
        <v>196</v>
      </c>
      <c r="E133" s="59" t="s">
        <v>721</v>
      </c>
      <c r="F133" s="52">
        <v>4</v>
      </c>
    </row>
    <row r="134" spans="1:6" ht="14.25" customHeight="1">
      <c r="A134" s="60" t="s">
        <v>20</v>
      </c>
      <c r="B134" s="60" t="s">
        <v>103</v>
      </c>
      <c r="C134" s="60" t="s">
        <v>153</v>
      </c>
      <c r="D134" s="60" t="s">
        <v>74</v>
      </c>
      <c r="E134" s="61" t="s">
        <v>710</v>
      </c>
      <c r="F134" s="60">
        <v>10</v>
      </c>
    </row>
    <row r="135" spans="1:6" ht="14.25" customHeight="1">
      <c r="A135" s="52" t="s">
        <v>20</v>
      </c>
      <c r="B135" s="52" t="s">
        <v>103</v>
      </c>
      <c r="C135" s="52" t="s">
        <v>153</v>
      </c>
      <c r="D135" s="52" t="s">
        <v>80</v>
      </c>
      <c r="E135" s="59" t="s">
        <v>717</v>
      </c>
      <c r="F135" s="52">
        <v>2</v>
      </c>
    </row>
    <row r="136" spans="1:6" ht="14.25" customHeight="1">
      <c r="A136" s="60" t="s">
        <v>20</v>
      </c>
      <c r="B136" s="60" t="s">
        <v>103</v>
      </c>
      <c r="C136" s="60" t="s">
        <v>153</v>
      </c>
      <c r="D136" s="60" t="s">
        <v>90</v>
      </c>
      <c r="E136" s="61" t="s">
        <v>715</v>
      </c>
      <c r="F136" s="60">
        <v>2</v>
      </c>
    </row>
    <row r="137" spans="1:6" ht="14.25" customHeight="1">
      <c r="A137" s="52" t="s">
        <v>20</v>
      </c>
      <c r="B137" s="52" t="s">
        <v>103</v>
      </c>
      <c r="C137" s="52" t="s">
        <v>153</v>
      </c>
      <c r="D137" s="52" t="s">
        <v>194</v>
      </c>
      <c r="E137" s="59" t="s">
        <v>722</v>
      </c>
      <c r="F137" s="52">
        <v>2</v>
      </c>
    </row>
    <row r="138" spans="1:6" ht="14.25" customHeight="1">
      <c r="A138" s="60" t="s">
        <v>20</v>
      </c>
      <c r="B138" s="60" t="s">
        <v>103</v>
      </c>
      <c r="C138" s="60" t="s">
        <v>153</v>
      </c>
      <c r="D138" s="60" t="s">
        <v>193</v>
      </c>
      <c r="E138" s="61" t="s">
        <v>723</v>
      </c>
      <c r="F138" s="60">
        <v>3</v>
      </c>
    </row>
    <row r="139" spans="1:6" ht="14.25" customHeight="1">
      <c r="A139" s="52" t="s">
        <v>20</v>
      </c>
      <c r="B139" s="52" t="s">
        <v>103</v>
      </c>
      <c r="C139" s="52" t="s">
        <v>153</v>
      </c>
      <c r="D139" s="52" t="s">
        <v>191</v>
      </c>
      <c r="E139" s="59" t="s">
        <v>724</v>
      </c>
      <c r="F139" s="52">
        <v>1</v>
      </c>
    </row>
    <row r="140" spans="1:6" ht="14.25" customHeight="1">
      <c r="A140" s="60" t="s">
        <v>20</v>
      </c>
      <c r="B140" s="60" t="s">
        <v>103</v>
      </c>
      <c r="C140" s="60" t="s">
        <v>106</v>
      </c>
      <c r="D140" s="60" t="s">
        <v>74</v>
      </c>
      <c r="E140" s="61" t="s">
        <v>710</v>
      </c>
      <c r="F140" s="60">
        <v>1</v>
      </c>
    </row>
    <row r="141" spans="1:6" ht="14.25" customHeight="1">
      <c r="A141" s="52" t="s">
        <v>20</v>
      </c>
      <c r="B141" s="52" t="s">
        <v>103</v>
      </c>
      <c r="C141" s="52" t="s">
        <v>106</v>
      </c>
      <c r="D141" s="52" t="s">
        <v>80</v>
      </c>
      <c r="E141" s="59" t="s">
        <v>717</v>
      </c>
      <c r="F141" s="52">
        <v>1</v>
      </c>
    </row>
    <row r="142" spans="1:6" ht="14.25" customHeight="1">
      <c r="A142" s="60" t="s">
        <v>20</v>
      </c>
      <c r="B142" s="60" t="s">
        <v>103</v>
      </c>
      <c r="C142" s="60" t="s">
        <v>338</v>
      </c>
      <c r="D142" s="60" t="s">
        <v>74</v>
      </c>
      <c r="E142" s="61" t="s">
        <v>710</v>
      </c>
      <c r="F142" s="60">
        <v>1</v>
      </c>
    </row>
    <row r="143" spans="1:6" ht="14.25" customHeight="1">
      <c r="A143" s="52" t="s">
        <v>20</v>
      </c>
      <c r="B143" s="52" t="s">
        <v>103</v>
      </c>
      <c r="C143" s="52" t="s">
        <v>338</v>
      </c>
      <c r="D143" s="52" t="s">
        <v>80</v>
      </c>
      <c r="E143" s="59" t="s">
        <v>717</v>
      </c>
      <c r="F143" s="52">
        <v>1</v>
      </c>
    </row>
    <row r="144" spans="1:6" ht="14.25" customHeight="1">
      <c r="A144" s="60" t="s">
        <v>20</v>
      </c>
      <c r="B144" s="60" t="s">
        <v>103</v>
      </c>
      <c r="C144" s="60" t="s">
        <v>339</v>
      </c>
      <c r="D144" s="60" t="s">
        <v>74</v>
      </c>
      <c r="E144" s="61" t="s">
        <v>710</v>
      </c>
      <c r="F144" s="60">
        <v>1</v>
      </c>
    </row>
    <row r="145" spans="1:6" ht="14.25" customHeight="1">
      <c r="A145" s="52" t="s">
        <v>20</v>
      </c>
      <c r="B145" s="52" t="s">
        <v>103</v>
      </c>
      <c r="C145" s="52" t="s">
        <v>339</v>
      </c>
      <c r="D145" s="52" t="s">
        <v>80</v>
      </c>
      <c r="E145" s="59" t="s">
        <v>717</v>
      </c>
      <c r="F145" s="52">
        <v>1</v>
      </c>
    </row>
    <row r="146" spans="1:6" ht="14.25" customHeight="1">
      <c r="A146" s="60" t="s">
        <v>20</v>
      </c>
      <c r="B146" s="60" t="s">
        <v>103</v>
      </c>
      <c r="C146" s="61" t="s">
        <v>104</v>
      </c>
      <c r="D146" s="60" t="s">
        <v>74</v>
      </c>
      <c r="E146" s="61" t="s">
        <v>710</v>
      </c>
      <c r="F146" s="60">
        <v>4</v>
      </c>
    </row>
    <row r="147" spans="1:6" ht="14.25" customHeight="1">
      <c r="A147" s="52" t="s">
        <v>20</v>
      </c>
      <c r="B147" s="52" t="s">
        <v>103</v>
      </c>
      <c r="C147" s="59" t="s">
        <v>104</v>
      </c>
      <c r="D147" s="52" t="s">
        <v>80</v>
      </c>
      <c r="E147" s="59" t="s">
        <v>717</v>
      </c>
      <c r="F147" s="52">
        <v>4</v>
      </c>
    </row>
    <row r="148" spans="1:6" ht="14.25" customHeight="1">
      <c r="A148" s="60" t="s">
        <v>20</v>
      </c>
      <c r="B148" s="60" t="s">
        <v>93</v>
      </c>
      <c r="C148" s="60" t="s">
        <v>143</v>
      </c>
      <c r="D148" s="60" t="s">
        <v>74</v>
      </c>
      <c r="E148" s="61" t="s">
        <v>710</v>
      </c>
      <c r="F148" s="60">
        <v>2</v>
      </c>
    </row>
    <row r="149" spans="1:6" ht="14.25" customHeight="1">
      <c r="A149" s="52" t="s">
        <v>20</v>
      </c>
      <c r="B149" s="52" t="s">
        <v>93</v>
      </c>
      <c r="C149" s="52" t="s">
        <v>143</v>
      </c>
      <c r="D149" s="52" t="s">
        <v>80</v>
      </c>
      <c r="E149" s="59" t="s">
        <v>717</v>
      </c>
      <c r="F149" s="52">
        <v>1</v>
      </c>
    </row>
    <row r="150" spans="1:6" ht="14.25" customHeight="1">
      <c r="A150" s="60" t="s">
        <v>20</v>
      </c>
      <c r="B150" s="60" t="s">
        <v>93</v>
      </c>
      <c r="C150" s="60" t="s">
        <v>143</v>
      </c>
      <c r="D150" s="60" t="s">
        <v>90</v>
      </c>
      <c r="E150" s="61" t="s">
        <v>715</v>
      </c>
      <c r="F150" s="60">
        <v>1</v>
      </c>
    </row>
    <row r="151" spans="1:6" ht="14.25" customHeight="1">
      <c r="A151" s="52" t="s">
        <v>20</v>
      </c>
      <c r="B151" s="52" t="s">
        <v>93</v>
      </c>
      <c r="C151" s="52" t="s">
        <v>144</v>
      </c>
      <c r="D151" s="52" t="s">
        <v>74</v>
      </c>
      <c r="E151" s="59" t="s">
        <v>710</v>
      </c>
      <c r="F151" s="52">
        <v>1</v>
      </c>
    </row>
    <row r="152" spans="1:6" ht="14.25" customHeight="1">
      <c r="A152" s="60" t="s">
        <v>20</v>
      </c>
      <c r="B152" s="60" t="s">
        <v>93</v>
      </c>
      <c r="C152" s="60" t="s">
        <v>144</v>
      </c>
      <c r="D152" s="60" t="s">
        <v>80</v>
      </c>
      <c r="E152" s="61" t="s">
        <v>717</v>
      </c>
      <c r="F152" s="60">
        <v>1</v>
      </c>
    </row>
    <row r="153" spans="1:6" ht="14.25" customHeight="1">
      <c r="A153" s="52" t="s">
        <v>20</v>
      </c>
      <c r="B153" s="52" t="s">
        <v>93</v>
      </c>
      <c r="C153" s="52" t="s">
        <v>144</v>
      </c>
      <c r="D153" s="52" t="s">
        <v>90</v>
      </c>
      <c r="E153" s="59" t="s">
        <v>715</v>
      </c>
      <c r="F153" s="52">
        <v>1</v>
      </c>
    </row>
    <row r="154" spans="1:6" ht="14.25" customHeight="1">
      <c r="A154" s="60" t="s">
        <v>20</v>
      </c>
      <c r="B154" s="60" t="s">
        <v>93</v>
      </c>
      <c r="C154" s="60" t="s">
        <v>204</v>
      </c>
      <c r="D154" s="60" t="s">
        <v>74</v>
      </c>
      <c r="E154" s="61" t="s">
        <v>710</v>
      </c>
      <c r="F154" s="60">
        <v>1</v>
      </c>
    </row>
    <row r="155" spans="1:6" ht="14.25" customHeight="1">
      <c r="A155" s="52" t="s">
        <v>20</v>
      </c>
      <c r="B155" s="52" t="s">
        <v>93</v>
      </c>
      <c r="C155" s="52" t="s">
        <v>205</v>
      </c>
      <c r="D155" s="52" t="s">
        <v>74</v>
      </c>
      <c r="E155" s="59" t="s">
        <v>710</v>
      </c>
      <c r="F155" s="52">
        <v>1</v>
      </c>
    </row>
    <row r="156" spans="1:6" ht="14.25" customHeight="1">
      <c r="A156" s="60" t="s">
        <v>20</v>
      </c>
      <c r="B156" s="60" t="s">
        <v>93</v>
      </c>
      <c r="C156" s="60" t="s">
        <v>205</v>
      </c>
      <c r="D156" s="60" t="s">
        <v>80</v>
      </c>
      <c r="E156" s="61" t="s">
        <v>717</v>
      </c>
      <c r="F156" s="60">
        <v>1</v>
      </c>
    </row>
    <row r="157" spans="1:6" ht="14.25" customHeight="1">
      <c r="A157" s="52" t="s">
        <v>20</v>
      </c>
      <c r="B157" s="52" t="s">
        <v>93</v>
      </c>
      <c r="C157" s="52" t="s">
        <v>186</v>
      </c>
      <c r="D157" s="52" t="s">
        <v>74</v>
      </c>
      <c r="E157" s="59" t="s">
        <v>710</v>
      </c>
      <c r="F157" s="52">
        <v>1</v>
      </c>
    </row>
    <row r="158" spans="1:6" ht="14.25" customHeight="1">
      <c r="A158" s="60" t="s">
        <v>20</v>
      </c>
      <c r="B158" s="60" t="s">
        <v>93</v>
      </c>
      <c r="C158" s="60" t="s">
        <v>186</v>
      </c>
      <c r="D158" s="60" t="s">
        <v>80</v>
      </c>
      <c r="E158" s="61" t="s">
        <v>717</v>
      </c>
      <c r="F158" s="60">
        <v>1</v>
      </c>
    </row>
    <row r="159" spans="1:6" ht="14.25" customHeight="1">
      <c r="A159" s="52" t="s">
        <v>20</v>
      </c>
      <c r="B159" s="52" t="s">
        <v>93</v>
      </c>
      <c r="C159" s="52" t="s">
        <v>186</v>
      </c>
      <c r="D159" s="52" t="s">
        <v>118</v>
      </c>
      <c r="E159" s="59" t="s">
        <v>718</v>
      </c>
      <c r="F159" s="52">
        <v>1</v>
      </c>
    </row>
    <row r="160" spans="1:6" ht="14.25" customHeight="1">
      <c r="A160" s="60" t="s">
        <v>20</v>
      </c>
      <c r="B160" s="60" t="s">
        <v>93</v>
      </c>
      <c r="C160" s="60" t="s">
        <v>188</v>
      </c>
      <c r="D160" s="60" t="s">
        <v>74</v>
      </c>
      <c r="E160" s="61" t="s">
        <v>710</v>
      </c>
      <c r="F160" s="60">
        <v>1</v>
      </c>
    </row>
    <row r="161" spans="1:6" ht="14.25" customHeight="1">
      <c r="A161" s="52" t="s">
        <v>20</v>
      </c>
      <c r="B161" s="52" t="s">
        <v>93</v>
      </c>
      <c r="C161" s="52" t="s">
        <v>188</v>
      </c>
      <c r="D161" s="52" t="s">
        <v>80</v>
      </c>
      <c r="E161" s="59" t="s">
        <v>717</v>
      </c>
      <c r="F161" s="52">
        <v>1</v>
      </c>
    </row>
    <row r="162" spans="1:6" ht="14.25" customHeight="1">
      <c r="A162" s="60" t="s">
        <v>20</v>
      </c>
      <c r="B162" s="60" t="s">
        <v>93</v>
      </c>
      <c r="C162" s="60" t="s">
        <v>188</v>
      </c>
      <c r="D162" s="60" t="s">
        <v>90</v>
      </c>
      <c r="E162" s="61" t="s">
        <v>715</v>
      </c>
      <c r="F162" s="60">
        <v>1</v>
      </c>
    </row>
    <row r="163" spans="1:6" ht="14.25" customHeight="1">
      <c r="A163" s="52" t="s">
        <v>20</v>
      </c>
      <c r="B163" s="52" t="s">
        <v>93</v>
      </c>
      <c r="C163" s="52" t="s">
        <v>195</v>
      </c>
      <c r="D163" s="52" t="s">
        <v>74</v>
      </c>
      <c r="E163" s="59" t="s">
        <v>710</v>
      </c>
      <c r="F163" s="52">
        <v>1</v>
      </c>
    </row>
    <row r="164" spans="1:6" ht="14.25" customHeight="1">
      <c r="A164" s="60" t="s">
        <v>20</v>
      </c>
      <c r="B164" s="60" t="s">
        <v>93</v>
      </c>
      <c r="C164" s="60" t="s">
        <v>197</v>
      </c>
      <c r="D164" s="60" t="s">
        <v>74</v>
      </c>
      <c r="E164" s="61" t="s">
        <v>710</v>
      </c>
      <c r="F164" s="60">
        <v>1</v>
      </c>
    </row>
    <row r="165" spans="1:6" ht="14.25" customHeight="1">
      <c r="A165" s="52" t="s">
        <v>20</v>
      </c>
      <c r="B165" s="52" t="s">
        <v>93</v>
      </c>
      <c r="C165" s="52" t="s">
        <v>189</v>
      </c>
      <c r="D165" s="52" t="s">
        <v>74</v>
      </c>
      <c r="E165" s="59" t="s">
        <v>710</v>
      </c>
      <c r="F165" s="52">
        <v>1</v>
      </c>
    </row>
    <row r="166" spans="1:6" ht="14.25" customHeight="1">
      <c r="A166" s="60" t="s">
        <v>20</v>
      </c>
      <c r="B166" s="60" t="s">
        <v>93</v>
      </c>
      <c r="C166" s="60" t="s">
        <v>189</v>
      </c>
      <c r="D166" s="60" t="s">
        <v>80</v>
      </c>
      <c r="E166" s="61" t="s">
        <v>717</v>
      </c>
      <c r="F166" s="60">
        <v>1</v>
      </c>
    </row>
    <row r="167" spans="1:6" ht="14.25" customHeight="1">
      <c r="A167" s="52" t="s">
        <v>20</v>
      </c>
      <c r="B167" s="52" t="s">
        <v>93</v>
      </c>
      <c r="C167" s="52" t="s">
        <v>189</v>
      </c>
      <c r="D167" s="52" t="s">
        <v>90</v>
      </c>
      <c r="E167" s="59" t="s">
        <v>715</v>
      </c>
      <c r="F167" s="52">
        <v>1</v>
      </c>
    </row>
    <row r="168" spans="1:6" ht="14.25" customHeight="1">
      <c r="A168" s="60" t="s">
        <v>20</v>
      </c>
      <c r="B168" s="60" t="s">
        <v>93</v>
      </c>
      <c r="C168" s="60" t="s">
        <v>190</v>
      </c>
      <c r="D168" s="60" t="s">
        <v>74</v>
      </c>
      <c r="E168" s="61" t="s">
        <v>710</v>
      </c>
      <c r="F168" s="60">
        <v>1</v>
      </c>
    </row>
    <row r="169" spans="1:6" ht="14.25" customHeight="1">
      <c r="A169" s="52" t="s">
        <v>20</v>
      </c>
      <c r="B169" s="52" t="s">
        <v>93</v>
      </c>
      <c r="C169" s="52" t="s">
        <v>190</v>
      </c>
      <c r="D169" s="52" t="s">
        <v>80</v>
      </c>
      <c r="E169" s="59" t="s">
        <v>717</v>
      </c>
      <c r="F169" s="52">
        <v>1</v>
      </c>
    </row>
    <row r="170" spans="1:6" ht="14.25" customHeight="1">
      <c r="A170" s="60" t="s">
        <v>20</v>
      </c>
      <c r="B170" s="60" t="s">
        <v>93</v>
      </c>
      <c r="C170" s="60" t="s">
        <v>94</v>
      </c>
      <c r="D170" s="60" t="s">
        <v>74</v>
      </c>
      <c r="E170" s="61" t="s">
        <v>710</v>
      </c>
      <c r="F170" s="60">
        <v>2</v>
      </c>
    </row>
    <row r="171" spans="1:6" ht="14.25" customHeight="1">
      <c r="A171" s="52" t="s">
        <v>20</v>
      </c>
      <c r="B171" s="52" t="s">
        <v>93</v>
      </c>
      <c r="C171" s="52" t="s">
        <v>94</v>
      </c>
      <c r="D171" s="52" t="s">
        <v>80</v>
      </c>
      <c r="E171" s="59" t="s">
        <v>717</v>
      </c>
      <c r="F171" s="52">
        <v>1</v>
      </c>
    </row>
    <row r="172" spans="1:6" ht="14.25" customHeight="1">
      <c r="A172" s="60" t="s">
        <v>20</v>
      </c>
      <c r="B172" s="60" t="s">
        <v>93</v>
      </c>
      <c r="C172" s="60" t="s">
        <v>198</v>
      </c>
      <c r="D172" s="60" t="s">
        <v>74</v>
      </c>
      <c r="E172" s="61" t="s">
        <v>710</v>
      </c>
      <c r="F172" s="60">
        <v>1</v>
      </c>
    </row>
    <row r="173" spans="1:6" ht="14.25" customHeight="1">
      <c r="A173" s="52" t="s">
        <v>20</v>
      </c>
      <c r="B173" s="52" t="s">
        <v>93</v>
      </c>
      <c r="C173" s="52" t="s">
        <v>198</v>
      </c>
      <c r="D173" s="52" t="s">
        <v>80</v>
      </c>
      <c r="E173" s="59" t="s">
        <v>717</v>
      </c>
      <c r="F173" s="52">
        <v>1</v>
      </c>
    </row>
    <row r="174" spans="1:6" ht="14.25" customHeight="1">
      <c r="A174" s="60" t="s">
        <v>20</v>
      </c>
      <c r="B174" s="60" t="s">
        <v>93</v>
      </c>
      <c r="C174" s="60" t="s">
        <v>199</v>
      </c>
      <c r="D174" s="60" t="s">
        <v>74</v>
      </c>
      <c r="E174" s="61" t="s">
        <v>710</v>
      </c>
      <c r="F174" s="60">
        <v>1</v>
      </c>
    </row>
    <row r="175" spans="1:6" ht="14.25" customHeight="1">
      <c r="A175" s="52" t="s">
        <v>20</v>
      </c>
      <c r="B175" s="52" t="s">
        <v>93</v>
      </c>
      <c r="C175" s="52" t="s">
        <v>199</v>
      </c>
      <c r="D175" s="52" t="s">
        <v>80</v>
      </c>
      <c r="E175" s="59" t="s">
        <v>717</v>
      </c>
      <c r="F175" s="52">
        <v>1</v>
      </c>
    </row>
    <row r="176" spans="1:6" ht="14.25" customHeight="1">
      <c r="A176" s="60" t="s">
        <v>20</v>
      </c>
      <c r="B176" s="60" t="s">
        <v>93</v>
      </c>
      <c r="C176" s="60" t="s">
        <v>200</v>
      </c>
      <c r="D176" s="60" t="s">
        <v>74</v>
      </c>
      <c r="E176" s="61" t="s">
        <v>710</v>
      </c>
      <c r="F176" s="60">
        <v>1</v>
      </c>
    </row>
    <row r="177" spans="1:6" ht="14.25" customHeight="1">
      <c r="A177" s="52" t="s">
        <v>20</v>
      </c>
      <c r="B177" s="52" t="s">
        <v>93</v>
      </c>
      <c r="C177" s="52" t="s">
        <v>200</v>
      </c>
      <c r="D177" s="52" t="s">
        <v>80</v>
      </c>
      <c r="E177" s="59" t="s">
        <v>717</v>
      </c>
      <c r="F177" s="52">
        <v>1</v>
      </c>
    </row>
    <row r="178" spans="1:6" ht="14.25" customHeight="1">
      <c r="A178" s="60" t="s">
        <v>20</v>
      </c>
      <c r="B178" s="60" t="s">
        <v>93</v>
      </c>
      <c r="C178" s="60" t="s">
        <v>201</v>
      </c>
      <c r="D178" s="60" t="s">
        <v>74</v>
      </c>
      <c r="E178" s="61" t="s">
        <v>710</v>
      </c>
      <c r="F178" s="60">
        <v>1</v>
      </c>
    </row>
    <row r="179" spans="1:6" ht="14.25" customHeight="1">
      <c r="A179" s="52" t="s">
        <v>20</v>
      </c>
      <c r="B179" s="52" t="s">
        <v>93</v>
      </c>
      <c r="C179" s="52" t="s">
        <v>201</v>
      </c>
      <c r="D179" s="52" t="s">
        <v>80</v>
      </c>
      <c r="E179" s="59" t="s">
        <v>717</v>
      </c>
      <c r="F179" s="52">
        <v>1</v>
      </c>
    </row>
    <row r="180" spans="1:6" ht="14.25" customHeight="1">
      <c r="A180" s="60" t="s">
        <v>20</v>
      </c>
      <c r="B180" s="60" t="s">
        <v>93</v>
      </c>
      <c r="C180" s="60" t="s">
        <v>202</v>
      </c>
      <c r="D180" s="60" t="s">
        <v>74</v>
      </c>
      <c r="E180" s="61" t="s">
        <v>710</v>
      </c>
      <c r="F180" s="60">
        <v>1</v>
      </c>
    </row>
    <row r="181" spans="1:6" ht="14.25" customHeight="1">
      <c r="A181" s="52" t="s">
        <v>20</v>
      </c>
      <c r="B181" s="52" t="s">
        <v>93</v>
      </c>
      <c r="C181" s="52" t="s">
        <v>202</v>
      </c>
      <c r="D181" s="52" t="s">
        <v>80</v>
      </c>
      <c r="E181" s="59" t="s">
        <v>717</v>
      </c>
      <c r="F181" s="52">
        <v>1</v>
      </c>
    </row>
    <row r="182" spans="1:6" ht="14.25" customHeight="1">
      <c r="A182" s="60" t="s">
        <v>20</v>
      </c>
      <c r="B182" s="60" t="s">
        <v>93</v>
      </c>
      <c r="C182" s="60" t="s">
        <v>203</v>
      </c>
      <c r="D182" s="60" t="s">
        <v>74</v>
      </c>
      <c r="E182" s="61" t="s">
        <v>710</v>
      </c>
      <c r="F182" s="60">
        <v>1</v>
      </c>
    </row>
    <row r="183" spans="1:6" ht="14.25" customHeight="1">
      <c r="A183" s="52" t="s">
        <v>20</v>
      </c>
      <c r="B183" s="52" t="s">
        <v>93</v>
      </c>
      <c r="C183" s="52" t="s">
        <v>203</v>
      </c>
      <c r="D183" s="52" t="s">
        <v>80</v>
      </c>
      <c r="E183" s="59" t="s">
        <v>717</v>
      </c>
      <c r="F183" s="52">
        <v>1</v>
      </c>
    </row>
    <row r="184" spans="1:6" ht="14.25" customHeight="1">
      <c r="A184" s="60" t="s">
        <v>20</v>
      </c>
      <c r="B184" s="60" t="s">
        <v>93</v>
      </c>
      <c r="C184" s="60" t="s">
        <v>340</v>
      </c>
      <c r="D184" s="60" t="s">
        <v>74</v>
      </c>
      <c r="E184" s="61" t="s">
        <v>710</v>
      </c>
      <c r="F184" s="60">
        <v>1</v>
      </c>
    </row>
    <row r="185" spans="1:6" ht="14.25" customHeight="1">
      <c r="A185" s="52" t="s">
        <v>20</v>
      </c>
      <c r="B185" s="52" t="s">
        <v>93</v>
      </c>
      <c r="C185" s="52" t="s">
        <v>145</v>
      </c>
      <c r="D185" s="52" t="s">
        <v>74</v>
      </c>
      <c r="E185" s="59" t="s">
        <v>710</v>
      </c>
      <c r="F185" s="52">
        <v>1</v>
      </c>
    </row>
    <row r="186" spans="1:6" ht="14.25" customHeight="1">
      <c r="A186" s="60" t="s">
        <v>20</v>
      </c>
      <c r="B186" s="60" t="s">
        <v>93</v>
      </c>
      <c r="C186" s="60" t="s">
        <v>145</v>
      </c>
      <c r="D186" s="60" t="s">
        <v>80</v>
      </c>
      <c r="E186" s="61" t="s">
        <v>717</v>
      </c>
      <c r="F186" s="60">
        <v>1</v>
      </c>
    </row>
    <row r="187" spans="1:6" ht="14.25" customHeight="1">
      <c r="A187" s="52" t="s">
        <v>20</v>
      </c>
      <c r="B187" s="52" t="s">
        <v>93</v>
      </c>
      <c r="C187" s="52" t="s">
        <v>147</v>
      </c>
      <c r="D187" s="52" t="s">
        <v>74</v>
      </c>
      <c r="E187" s="59" t="s">
        <v>710</v>
      </c>
      <c r="F187" s="52">
        <v>2</v>
      </c>
    </row>
    <row r="188" spans="1:6" ht="14.25" customHeight="1">
      <c r="A188" s="60" t="s">
        <v>20</v>
      </c>
      <c r="B188" s="60" t="s">
        <v>93</v>
      </c>
      <c r="C188" s="60" t="s">
        <v>147</v>
      </c>
      <c r="D188" s="60" t="s">
        <v>80</v>
      </c>
      <c r="E188" s="61" t="s">
        <v>717</v>
      </c>
      <c r="F188" s="60">
        <v>1</v>
      </c>
    </row>
    <row r="189" spans="1:6" ht="14.25" customHeight="1">
      <c r="A189" s="52" t="s">
        <v>20</v>
      </c>
      <c r="B189" s="52" t="s">
        <v>93</v>
      </c>
      <c r="C189" s="52" t="s">
        <v>147</v>
      </c>
      <c r="D189" s="52" t="s">
        <v>80</v>
      </c>
      <c r="E189" s="59" t="s">
        <v>717</v>
      </c>
      <c r="F189" s="52">
        <v>1</v>
      </c>
    </row>
    <row r="190" spans="1:6" ht="14.25" customHeight="1">
      <c r="A190" s="60" t="s">
        <v>20</v>
      </c>
      <c r="B190" s="60" t="s">
        <v>93</v>
      </c>
      <c r="C190" s="60" t="s">
        <v>119</v>
      </c>
      <c r="D190" s="60" t="s">
        <v>74</v>
      </c>
      <c r="E190" s="61" t="s">
        <v>710</v>
      </c>
      <c r="F190" s="60">
        <v>1</v>
      </c>
    </row>
    <row r="191" spans="1:6" ht="14.25" customHeight="1">
      <c r="A191" s="52" t="s">
        <v>20</v>
      </c>
      <c r="B191" s="52" t="s">
        <v>93</v>
      </c>
      <c r="C191" s="52" t="s">
        <v>119</v>
      </c>
      <c r="D191" s="52" t="s">
        <v>80</v>
      </c>
      <c r="E191" s="59" t="s">
        <v>717</v>
      </c>
      <c r="F191" s="52">
        <v>1</v>
      </c>
    </row>
    <row r="192" spans="1:6" ht="14.25" customHeight="1">
      <c r="A192" s="60" t="s">
        <v>20</v>
      </c>
      <c r="B192" s="60" t="s">
        <v>93</v>
      </c>
      <c r="C192" s="60" t="s">
        <v>119</v>
      </c>
      <c r="D192" s="60" t="s">
        <v>90</v>
      </c>
      <c r="E192" s="61" t="s">
        <v>715</v>
      </c>
      <c r="F192" s="60">
        <v>1</v>
      </c>
    </row>
    <row r="193" spans="1:6" ht="14.25" customHeight="1">
      <c r="A193" s="52" t="s">
        <v>20</v>
      </c>
      <c r="B193" s="52" t="s">
        <v>93</v>
      </c>
      <c r="C193" s="52" t="s">
        <v>148</v>
      </c>
      <c r="D193" s="52" t="s">
        <v>74</v>
      </c>
      <c r="E193" s="59" t="s">
        <v>710</v>
      </c>
      <c r="F193" s="52">
        <v>1</v>
      </c>
    </row>
    <row r="194" spans="1:6" ht="14.25" customHeight="1">
      <c r="A194" s="60" t="s">
        <v>20</v>
      </c>
      <c r="B194" s="60" t="s">
        <v>93</v>
      </c>
      <c r="C194" s="60" t="s">
        <v>148</v>
      </c>
      <c r="D194" s="60" t="s">
        <v>90</v>
      </c>
      <c r="E194" s="61" t="s">
        <v>715</v>
      </c>
      <c r="F194" s="60">
        <v>1</v>
      </c>
    </row>
    <row r="195" spans="1:6" ht="14.25" customHeight="1">
      <c r="A195" s="52" t="s">
        <v>20</v>
      </c>
      <c r="B195" s="52" t="s">
        <v>93</v>
      </c>
      <c r="C195" s="52" t="s">
        <v>149</v>
      </c>
      <c r="D195" s="52" t="s">
        <v>74</v>
      </c>
      <c r="E195" s="59" t="s">
        <v>710</v>
      </c>
      <c r="F195" s="52">
        <v>1</v>
      </c>
    </row>
    <row r="196" spans="1:6" ht="14.25" customHeight="1">
      <c r="A196" s="60" t="s">
        <v>20</v>
      </c>
      <c r="B196" s="60" t="s">
        <v>93</v>
      </c>
      <c r="C196" s="60" t="s">
        <v>149</v>
      </c>
      <c r="D196" s="60" t="s">
        <v>90</v>
      </c>
      <c r="E196" s="61" t="s">
        <v>715</v>
      </c>
      <c r="F196" s="60">
        <v>1</v>
      </c>
    </row>
    <row r="197" spans="1:6" ht="14.25" customHeight="1">
      <c r="A197" s="52" t="s">
        <v>20</v>
      </c>
      <c r="B197" s="52" t="s">
        <v>93</v>
      </c>
      <c r="C197" s="52" t="s">
        <v>341</v>
      </c>
      <c r="D197" s="52" t="s">
        <v>74</v>
      </c>
      <c r="E197" s="59" t="s">
        <v>710</v>
      </c>
      <c r="F197" s="52">
        <v>2</v>
      </c>
    </row>
    <row r="198" spans="1:6" ht="14.25" customHeight="1">
      <c r="A198" s="60" t="s">
        <v>20</v>
      </c>
      <c r="B198" s="60" t="s">
        <v>93</v>
      </c>
      <c r="C198" s="60" t="s">
        <v>341</v>
      </c>
      <c r="D198" s="60" t="s">
        <v>80</v>
      </c>
      <c r="E198" s="61" t="s">
        <v>717</v>
      </c>
      <c r="F198" s="60">
        <v>1</v>
      </c>
    </row>
    <row r="199" spans="1:6" ht="14.25" customHeight="1">
      <c r="A199" s="52" t="s">
        <v>20</v>
      </c>
      <c r="B199" s="52" t="s">
        <v>93</v>
      </c>
      <c r="C199" s="52" t="s">
        <v>342</v>
      </c>
      <c r="D199" s="52" t="s">
        <v>74</v>
      </c>
      <c r="E199" s="59" t="s">
        <v>710</v>
      </c>
      <c r="F199" s="52">
        <v>1</v>
      </c>
    </row>
    <row r="200" spans="1:6" ht="14.25" customHeight="1">
      <c r="A200" s="60" t="s">
        <v>20</v>
      </c>
      <c r="B200" s="60" t="s">
        <v>93</v>
      </c>
      <c r="C200" s="60" t="s">
        <v>342</v>
      </c>
      <c r="D200" s="60" t="s">
        <v>80</v>
      </c>
      <c r="E200" s="61" t="s">
        <v>717</v>
      </c>
      <c r="F200" s="60">
        <v>1</v>
      </c>
    </row>
    <row r="201" spans="1:6" ht="14.25" customHeight="1">
      <c r="A201" s="52" t="s">
        <v>20</v>
      </c>
      <c r="B201" s="52" t="s">
        <v>93</v>
      </c>
      <c r="C201" s="52" t="s">
        <v>245</v>
      </c>
      <c r="D201" s="52" t="s">
        <v>74</v>
      </c>
      <c r="E201" s="59" t="s">
        <v>710</v>
      </c>
      <c r="F201" s="52">
        <v>1</v>
      </c>
    </row>
    <row r="202" spans="1:6" ht="14.25" customHeight="1">
      <c r="A202" s="60" t="s">
        <v>20</v>
      </c>
      <c r="B202" s="60" t="s">
        <v>93</v>
      </c>
      <c r="C202" s="60" t="s">
        <v>245</v>
      </c>
      <c r="D202" s="60" t="s">
        <v>80</v>
      </c>
      <c r="E202" s="61" t="s">
        <v>717</v>
      </c>
      <c r="F202" s="60">
        <v>1</v>
      </c>
    </row>
    <row r="203" spans="1:6" ht="14.25" customHeight="1">
      <c r="A203" s="52" t="s">
        <v>20</v>
      </c>
      <c r="B203" s="52" t="s">
        <v>93</v>
      </c>
      <c r="C203" s="52" t="s">
        <v>245</v>
      </c>
      <c r="D203" s="52" t="s">
        <v>90</v>
      </c>
      <c r="E203" s="59" t="s">
        <v>715</v>
      </c>
      <c r="F203" s="52">
        <v>1</v>
      </c>
    </row>
    <row r="204" spans="1:6" ht="14.25" customHeight="1">
      <c r="A204" s="60" t="s">
        <v>20</v>
      </c>
      <c r="B204" s="60" t="s">
        <v>93</v>
      </c>
      <c r="C204" s="60" t="s">
        <v>250</v>
      </c>
      <c r="D204" s="60" t="s">
        <v>74</v>
      </c>
      <c r="E204" s="61" t="s">
        <v>710</v>
      </c>
      <c r="F204" s="60">
        <v>1</v>
      </c>
    </row>
    <row r="205" spans="1:6" ht="14.25" customHeight="1">
      <c r="A205" s="52" t="s">
        <v>20</v>
      </c>
      <c r="B205" s="52" t="s">
        <v>93</v>
      </c>
      <c r="C205" s="52" t="s">
        <v>250</v>
      </c>
      <c r="D205" s="52" t="s">
        <v>80</v>
      </c>
      <c r="E205" s="59" t="s">
        <v>717</v>
      </c>
      <c r="F205" s="52">
        <v>1</v>
      </c>
    </row>
    <row r="206" spans="1:6" ht="14.25" customHeight="1">
      <c r="A206" s="60" t="s">
        <v>20</v>
      </c>
      <c r="B206" s="60" t="s">
        <v>93</v>
      </c>
      <c r="C206" s="60" t="s">
        <v>250</v>
      </c>
      <c r="D206" s="60" t="s">
        <v>90</v>
      </c>
      <c r="E206" s="61" t="s">
        <v>715</v>
      </c>
      <c r="F206" s="60">
        <v>1</v>
      </c>
    </row>
    <row r="207" spans="1:6" ht="14.25" customHeight="1">
      <c r="A207" s="52" t="s">
        <v>20</v>
      </c>
      <c r="B207" s="52" t="s">
        <v>93</v>
      </c>
      <c r="C207" s="52" t="s">
        <v>120</v>
      </c>
      <c r="D207" s="52" t="s">
        <v>80</v>
      </c>
      <c r="E207" s="59" t="s">
        <v>717</v>
      </c>
      <c r="F207" s="52">
        <v>1</v>
      </c>
    </row>
    <row r="208" spans="1:6" ht="14.25" customHeight="1">
      <c r="A208" s="60" t="s">
        <v>20</v>
      </c>
      <c r="B208" s="60" t="s">
        <v>93</v>
      </c>
      <c r="C208" s="60" t="s">
        <v>123</v>
      </c>
      <c r="D208" s="60" t="s">
        <v>74</v>
      </c>
      <c r="E208" s="61" t="s">
        <v>710</v>
      </c>
      <c r="F208" s="60">
        <v>1</v>
      </c>
    </row>
    <row r="209" spans="1:6" ht="14.25" customHeight="1">
      <c r="A209" s="52" t="s">
        <v>20</v>
      </c>
      <c r="B209" s="52" t="s">
        <v>93</v>
      </c>
      <c r="C209" s="52" t="s">
        <v>123</v>
      </c>
      <c r="D209" s="52" t="s">
        <v>80</v>
      </c>
      <c r="E209" s="59" t="s">
        <v>717</v>
      </c>
      <c r="F209" s="52">
        <v>1</v>
      </c>
    </row>
    <row r="210" spans="1:6" ht="14.25" customHeight="1">
      <c r="A210" s="60" t="s">
        <v>20</v>
      </c>
      <c r="B210" s="60" t="s">
        <v>93</v>
      </c>
      <c r="C210" s="60" t="s">
        <v>128</v>
      </c>
      <c r="D210" s="60" t="s">
        <v>74</v>
      </c>
      <c r="E210" s="61" t="s">
        <v>710</v>
      </c>
      <c r="F210" s="60">
        <v>1</v>
      </c>
    </row>
    <row r="211" spans="1:6" ht="14.25" customHeight="1">
      <c r="A211" s="52" t="s">
        <v>20</v>
      </c>
      <c r="B211" s="52" t="s">
        <v>93</v>
      </c>
      <c r="C211" s="52" t="s">
        <v>129</v>
      </c>
      <c r="D211" s="52" t="s">
        <v>74</v>
      </c>
      <c r="E211" s="59" t="s">
        <v>710</v>
      </c>
      <c r="F211" s="52">
        <v>1</v>
      </c>
    </row>
    <row r="212" spans="1:6" ht="14.25" customHeight="1">
      <c r="A212" s="60" t="s">
        <v>20</v>
      </c>
      <c r="B212" s="60" t="s">
        <v>93</v>
      </c>
      <c r="C212" s="60" t="s">
        <v>130</v>
      </c>
      <c r="D212" s="60" t="s">
        <v>74</v>
      </c>
      <c r="E212" s="61" t="s">
        <v>710</v>
      </c>
      <c r="F212" s="60">
        <v>1</v>
      </c>
    </row>
    <row r="213" spans="1:6" ht="14.25" customHeight="1">
      <c r="A213" s="52" t="s">
        <v>20</v>
      </c>
      <c r="B213" s="52" t="s">
        <v>93</v>
      </c>
      <c r="C213" s="52" t="s">
        <v>130</v>
      </c>
      <c r="D213" s="52" t="s">
        <v>80</v>
      </c>
      <c r="E213" s="59" t="s">
        <v>717</v>
      </c>
      <c r="F213" s="52">
        <v>1</v>
      </c>
    </row>
    <row r="214" spans="1:6" ht="14.25" customHeight="1">
      <c r="A214" s="60" t="s">
        <v>20</v>
      </c>
      <c r="B214" s="60" t="s">
        <v>93</v>
      </c>
      <c r="C214" s="60" t="s">
        <v>131</v>
      </c>
      <c r="D214" s="60" t="s">
        <v>74</v>
      </c>
      <c r="E214" s="61" t="s">
        <v>710</v>
      </c>
      <c r="F214" s="60">
        <v>1</v>
      </c>
    </row>
    <row r="215" spans="1:6" ht="14.25" customHeight="1">
      <c r="A215" s="52" t="s">
        <v>20</v>
      </c>
      <c r="B215" s="52" t="s">
        <v>96</v>
      </c>
      <c r="C215" s="52" t="s">
        <v>263</v>
      </c>
      <c r="D215" s="52" t="s">
        <v>74</v>
      </c>
      <c r="E215" s="59" t="s">
        <v>710</v>
      </c>
      <c r="F215" s="52">
        <v>1</v>
      </c>
    </row>
    <row r="216" spans="1:6" ht="14.25" customHeight="1">
      <c r="A216" s="60" t="s">
        <v>20</v>
      </c>
      <c r="B216" s="60" t="s">
        <v>96</v>
      </c>
      <c r="C216" s="60" t="s">
        <v>263</v>
      </c>
      <c r="D216" s="60" t="s">
        <v>80</v>
      </c>
      <c r="E216" s="61" t="s">
        <v>717</v>
      </c>
      <c r="F216" s="60">
        <v>1</v>
      </c>
    </row>
    <row r="217" spans="1:6" ht="14.25" customHeight="1">
      <c r="A217" s="52" t="s">
        <v>20</v>
      </c>
      <c r="B217" s="52" t="s">
        <v>96</v>
      </c>
      <c r="C217" s="52" t="s">
        <v>263</v>
      </c>
      <c r="D217" s="52" t="s">
        <v>90</v>
      </c>
      <c r="E217" s="59" t="s">
        <v>715</v>
      </c>
      <c r="F217" s="52">
        <v>2</v>
      </c>
    </row>
    <row r="218" spans="1:6" ht="14.25" customHeight="1">
      <c r="A218" s="60" t="s">
        <v>20</v>
      </c>
      <c r="B218" s="60" t="s">
        <v>96</v>
      </c>
      <c r="C218" s="60" t="s">
        <v>135</v>
      </c>
      <c r="D218" s="60" t="s">
        <v>74</v>
      </c>
      <c r="E218" s="61" t="s">
        <v>710</v>
      </c>
      <c r="F218" s="60">
        <v>1</v>
      </c>
    </row>
    <row r="219" spans="1:6" ht="14.25" customHeight="1">
      <c r="A219" s="52" t="s">
        <v>20</v>
      </c>
      <c r="B219" s="52" t="s">
        <v>96</v>
      </c>
      <c r="C219" s="52" t="s">
        <v>135</v>
      </c>
      <c r="D219" s="52" t="s">
        <v>80</v>
      </c>
      <c r="E219" s="59" t="s">
        <v>717</v>
      </c>
      <c r="F219" s="52">
        <v>1</v>
      </c>
    </row>
    <row r="220" spans="1:6" ht="14.25" customHeight="1">
      <c r="A220" s="60" t="s">
        <v>20</v>
      </c>
      <c r="B220" s="60" t="s">
        <v>96</v>
      </c>
      <c r="C220" s="60" t="s">
        <v>135</v>
      </c>
      <c r="D220" s="60" t="s">
        <v>118</v>
      </c>
      <c r="E220" s="61" t="s">
        <v>718</v>
      </c>
      <c r="F220" s="60">
        <v>1</v>
      </c>
    </row>
    <row r="221" spans="1:6" ht="14.25" customHeight="1">
      <c r="A221" s="52" t="s">
        <v>20</v>
      </c>
      <c r="B221" s="52" t="s">
        <v>96</v>
      </c>
      <c r="C221" s="52" t="s">
        <v>136</v>
      </c>
      <c r="D221" s="52" t="s">
        <v>74</v>
      </c>
      <c r="E221" s="59" t="s">
        <v>710</v>
      </c>
      <c r="F221" s="52">
        <v>1</v>
      </c>
    </row>
    <row r="222" spans="1:6" ht="14.25" customHeight="1">
      <c r="A222" s="60" t="s">
        <v>20</v>
      </c>
      <c r="B222" s="60" t="s">
        <v>96</v>
      </c>
      <c r="C222" s="60" t="s">
        <v>136</v>
      </c>
      <c r="D222" s="60" t="s">
        <v>80</v>
      </c>
      <c r="E222" s="61" t="s">
        <v>717</v>
      </c>
      <c r="F222" s="60">
        <v>1</v>
      </c>
    </row>
    <row r="223" spans="1:6" ht="14.25" customHeight="1">
      <c r="A223" s="52" t="s">
        <v>20</v>
      </c>
      <c r="B223" s="52" t="s">
        <v>96</v>
      </c>
      <c r="C223" s="52" t="s">
        <v>136</v>
      </c>
      <c r="D223" s="52" t="s">
        <v>118</v>
      </c>
      <c r="E223" s="59" t="s">
        <v>718</v>
      </c>
      <c r="F223" s="52">
        <v>1</v>
      </c>
    </row>
    <row r="224" spans="1:6" ht="14.25" customHeight="1">
      <c r="A224" s="60" t="s">
        <v>20</v>
      </c>
      <c r="B224" s="60" t="s">
        <v>96</v>
      </c>
      <c r="C224" s="60" t="s">
        <v>275</v>
      </c>
      <c r="D224" s="60" t="s">
        <v>74</v>
      </c>
      <c r="E224" s="61" t="s">
        <v>710</v>
      </c>
      <c r="F224" s="60">
        <v>2</v>
      </c>
    </row>
    <row r="225" spans="1:6" ht="14.25" customHeight="1">
      <c r="A225" s="52" t="s">
        <v>20</v>
      </c>
      <c r="B225" s="52" t="s">
        <v>96</v>
      </c>
      <c r="C225" s="52" t="s">
        <v>275</v>
      </c>
      <c r="D225" s="52" t="s">
        <v>80</v>
      </c>
      <c r="E225" s="59" t="s">
        <v>717</v>
      </c>
      <c r="F225" s="52">
        <v>1</v>
      </c>
    </row>
    <row r="226" spans="1:6" ht="14.25" customHeight="1">
      <c r="A226" s="60" t="s">
        <v>20</v>
      </c>
      <c r="B226" s="60" t="s">
        <v>96</v>
      </c>
      <c r="C226" s="60" t="s">
        <v>97</v>
      </c>
      <c r="D226" s="60" t="s">
        <v>74</v>
      </c>
      <c r="E226" s="61" t="s">
        <v>710</v>
      </c>
      <c r="F226" s="60">
        <v>1</v>
      </c>
    </row>
    <row r="227" spans="1:6" ht="14.25" customHeight="1">
      <c r="A227" s="52" t="s">
        <v>20</v>
      </c>
      <c r="B227" s="52" t="s">
        <v>96</v>
      </c>
      <c r="C227" s="52" t="s">
        <v>97</v>
      </c>
      <c r="D227" s="52" t="s">
        <v>80</v>
      </c>
      <c r="E227" s="59" t="s">
        <v>717</v>
      </c>
      <c r="F227" s="52">
        <v>1</v>
      </c>
    </row>
    <row r="228" spans="1:6" ht="14.25" customHeight="1">
      <c r="A228" s="60" t="s">
        <v>20</v>
      </c>
      <c r="B228" s="60" t="s">
        <v>96</v>
      </c>
      <c r="C228" s="60" t="s">
        <v>150</v>
      </c>
      <c r="D228" s="60" t="s">
        <v>74</v>
      </c>
      <c r="E228" s="61" t="s">
        <v>710</v>
      </c>
      <c r="F228" s="60">
        <v>1</v>
      </c>
    </row>
    <row r="229" spans="1:6" ht="14.25" customHeight="1">
      <c r="A229" s="52" t="s">
        <v>20</v>
      </c>
      <c r="B229" s="52" t="s">
        <v>96</v>
      </c>
      <c r="C229" s="52" t="s">
        <v>150</v>
      </c>
      <c r="D229" s="52" t="s">
        <v>80</v>
      </c>
      <c r="E229" s="59" t="s">
        <v>717</v>
      </c>
      <c r="F229" s="52">
        <v>1</v>
      </c>
    </row>
    <row r="230" spans="1:6" ht="14.25" customHeight="1">
      <c r="A230" s="60" t="s">
        <v>20</v>
      </c>
      <c r="B230" s="60" t="s">
        <v>96</v>
      </c>
      <c r="C230" s="60" t="s">
        <v>151</v>
      </c>
      <c r="D230" s="60" t="s">
        <v>74</v>
      </c>
      <c r="E230" s="61" t="s">
        <v>710</v>
      </c>
      <c r="F230" s="60">
        <v>1</v>
      </c>
    </row>
    <row r="231" spans="1:6" ht="14.25" customHeight="1">
      <c r="A231" s="52" t="s">
        <v>20</v>
      </c>
      <c r="B231" s="52" t="s">
        <v>96</v>
      </c>
      <c r="C231" s="52" t="s">
        <v>151</v>
      </c>
      <c r="D231" s="52" t="s">
        <v>80</v>
      </c>
      <c r="E231" s="59" t="s">
        <v>717</v>
      </c>
      <c r="F231" s="52">
        <v>1</v>
      </c>
    </row>
    <row r="232" spans="1:6" ht="14.25" customHeight="1">
      <c r="A232" s="60" t="s">
        <v>20</v>
      </c>
      <c r="B232" s="60" t="s">
        <v>96</v>
      </c>
      <c r="C232" s="60" t="s">
        <v>107</v>
      </c>
      <c r="D232" s="60" t="s">
        <v>74</v>
      </c>
      <c r="E232" s="61" t="s">
        <v>710</v>
      </c>
      <c r="F232" s="60">
        <v>2</v>
      </c>
    </row>
    <row r="233" spans="1:6" ht="14.25" customHeight="1">
      <c r="A233" s="52" t="s">
        <v>20</v>
      </c>
      <c r="B233" s="52" t="s">
        <v>96</v>
      </c>
      <c r="C233" s="52" t="s">
        <v>107</v>
      </c>
      <c r="D233" s="52" t="s">
        <v>80</v>
      </c>
      <c r="E233" s="59" t="s">
        <v>717</v>
      </c>
      <c r="F233" s="52">
        <v>1</v>
      </c>
    </row>
    <row r="234" spans="1:6" ht="14.25" customHeight="1">
      <c r="A234" s="60" t="s">
        <v>20</v>
      </c>
      <c r="B234" s="60" t="s">
        <v>96</v>
      </c>
      <c r="C234" s="60" t="s">
        <v>107</v>
      </c>
      <c r="D234" s="60" t="s">
        <v>80</v>
      </c>
      <c r="E234" s="61" t="s">
        <v>717</v>
      </c>
      <c r="F234" s="60">
        <v>1</v>
      </c>
    </row>
    <row r="235" spans="1:6" ht="14.25" customHeight="1">
      <c r="A235" s="52" t="s">
        <v>20</v>
      </c>
      <c r="B235" s="52" t="s">
        <v>96</v>
      </c>
      <c r="C235" s="52" t="s">
        <v>107</v>
      </c>
      <c r="D235" s="52" t="s">
        <v>118</v>
      </c>
      <c r="E235" s="59" t="s">
        <v>718</v>
      </c>
      <c r="F235" s="52">
        <v>1</v>
      </c>
    </row>
    <row r="236" spans="1:6" ht="14.25" customHeight="1">
      <c r="A236" s="60" t="s">
        <v>20</v>
      </c>
      <c r="B236" s="60" t="s">
        <v>96</v>
      </c>
      <c r="C236" s="60" t="s">
        <v>108</v>
      </c>
      <c r="D236" s="60" t="s">
        <v>74</v>
      </c>
      <c r="E236" s="61" t="s">
        <v>710</v>
      </c>
      <c r="F236" s="60">
        <v>1</v>
      </c>
    </row>
    <row r="237" spans="1:6" ht="14.25" customHeight="1">
      <c r="A237" s="52" t="s">
        <v>20</v>
      </c>
      <c r="B237" s="52" t="s">
        <v>96</v>
      </c>
      <c r="C237" s="52" t="s">
        <v>108</v>
      </c>
      <c r="D237" s="52" t="s">
        <v>80</v>
      </c>
      <c r="E237" s="59" t="s">
        <v>717</v>
      </c>
      <c r="F237" s="52">
        <v>1</v>
      </c>
    </row>
    <row r="238" spans="1:6" ht="14.25" customHeight="1">
      <c r="A238" s="60" t="s">
        <v>20</v>
      </c>
      <c r="B238" s="60" t="s">
        <v>100</v>
      </c>
      <c r="C238" s="60" t="s">
        <v>155</v>
      </c>
      <c r="D238" s="60" t="s">
        <v>74</v>
      </c>
      <c r="E238" s="61" t="s">
        <v>710</v>
      </c>
      <c r="F238" s="60">
        <v>2</v>
      </c>
    </row>
    <row r="239" spans="1:6" ht="14.25" customHeight="1">
      <c r="A239" s="52" t="s">
        <v>20</v>
      </c>
      <c r="B239" s="52" t="s">
        <v>100</v>
      </c>
      <c r="C239" s="52" t="s">
        <v>155</v>
      </c>
      <c r="D239" s="52" t="s">
        <v>80</v>
      </c>
      <c r="E239" s="59" t="s">
        <v>717</v>
      </c>
      <c r="F239" s="52">
        <v>1</v>
      </c>
    </row>
    <row r="240" spans="1:6" ht="14.25" customHeight="1">
      <c r="A240" s="60" t="s">
        <v>20</v>
      </c>
      <c r="B240" s="60" t="s">
        <v>100</v>
      </c>
      <c r="C240" s="60" t="s">
        <v>155</v>
      </c>
      <c r="D240" s="60" t="s">
        <v>118</v>
      </c>
      <c r="E240" s="61" t="s">
        <v>718</v>
      </c>
      <c r="F240" s="60">
        <v>1</v>
      </c>
    </row>
    <row r="241" spans="1:6" ht="14.25" customHeight="1">
      <c r="A241" s="52" t="s">
        <v>20</v>
      </c>
      <c r="B241" s="52" t="s">
        <v>100</v>
      </c>
      <c r="C241" s="52" t="s">
        <v>159</v>
      </c>
      <c r="D241" s="52" t="s">
        <v>74</v>
      </c>
      <c r="E241" s="59" t="s">
        <v>710</v>
      </c>
      <c r="F241" s="52">
        <v>1</v>
      </c>
    </row>
    <row r="242" spans="1:6" ht="14.25" customHeight="1">
      <c r="A242" s="60" t="s">
        <v>20</v>
      </c>
      <c r="B242" s="60" t="s">
        <v>100</v>
      </c>
      <c r="C242" s="60" t="s">
        <v>159</v>
      </c>
      <c r="D242" s="60" t="s">
        <v>80</v>
      </c>
      <c r="E242" s="61" t="s">
        <v>717</v>
      </c>
      <c r="F242" s="60">
        <v>1</v>
      </c>
    </row>
    <row r="243" spans="1:6" ht="14.25" customHeight="1">
      <c r="A243" s="52" t="s">
        <v>20</v>
      </c>
      <c r="B243" s="52" t="s">
        <v>100</v>
      </c>
      <c r="C243" s="52" t="s">
        <v>159</v>
      </c>
      <c r="D243" s="52" t="s">
        <v>118</v>
      </c>
      <c r="E243" s="59" t="s">
        <v>718</v>
      </c>
      <c r="F243" s="52">
        <v>1</v>
      </c>
    </row>
    <row r="244" spans="1:6" ht="14.25" customHeight="1">
      <c r="A244" s="60" t="s">
        <v>20</v>
      </c>
      <c r="B244" s="60" t="s">
        <v>100</v>
      </c>
      <c r="C244" s="60" t="s">
        <v>137</v>
      </c>
      <c r="D244" s="60" t="s">
        <v>74</v>
      </c>
      <c r="E244" s="61" t="s">
        <v>710</v>
      </c>
      <c r="F244" s="60">
        <v>2</v>
      </c>
    </row>
    <row r="245" spans="1:6" ht="14.25" customHeight="1">
      <c r="A245" s="52" t="s">
        <v>20</v>
      </c>
      <c r="B245" s="52" t="s">
        <v>100</v>
      </c>
      <c r="C245" s="52" t="s">
        <v>137</v>
      </c>
      <c r="D245" s="52" t="s">
        <v>80</v>
      </c>
      <c r="E245" s="59" t="s">
        <v>717</v>
      </c>
      <c r="F245" s="52">
        <v>1</v>
      </c>
    </row>
    <row r="246" spans="1:6" ht="14.25" customHeight="1">
      <c r="A246" s="60" t="s">
        <v>20</v>
      </c>
      <c r="B246" s="60" t="s">
        <v>100</v>
      </c>
      <c r="C246" s="60" t="s">
        <v>137</v>
      </c>
      <c r="D246" s="60" t="s">
        <v>118</v>
      </c>
      <c r="E246" s="61" t="s">
        <v>718</v>
      </c>
      <c r="F246" s="60">
        <v>1</v>
      </c>
    </row>
    <row r="247" spans="1:6" ht="14.25" customHeight="1">
      <c r="A247" s="52" t="s">
        <v>20</v>
      </c>
      <c r="B247" s="52" t="s">
        <v>100</v>
      </c>
      <c r="C247" s="52" t="s">
        <v>162</v>
      </c>
      <c r="D247" s="52" t="s">
        <v>74</v>
      </c>
      <c r="E247" s="59" t="s">
        <v>710</v>
      </c>
      <c r="F247" s="52">
        <v>1</v>
      </c>
    </row>
    <row r="248" spans="1:6" ht="14.25" customHeight="1">
      <c r="A248" s="60" t="s">
        <v>20</v>
      </c>
      <c r="B248" s="60" t="s">
        <v>100</v>
      </c>
      <c r="C248" s="60" t="s">
        <v>162</v>
      </c>
      <c r="D248" s="60" t="s">
        <v>80</v>
      </c>
      <c r="E248" s="61" t="s">
        <v>717</v>
      </c>
      <c r="F248" s="60">
        <v>1</v>
      </c>
    </row>
    <row r="249" spans="1:6" ht="14.25" customHeight="1">
      <c r="A249" s="52" t="s">
        <v>20</v>
      </c>
      <c r="B249" s="52" t="s">
        <v>100</v>
      </c>
      <c r="C249" s="52" t="s">
        <v>162</v>
      </c>
      <c r="D249" s="52" t="s">
        <v>118</v>
      </c>
      <c r="E249" s="59" t="s">
        <v>718</v>
      </c>
      <c r="F249" s="52">
        <v>1</v>
      </c>
    </row>
    <row r="250" spans="1:6" ht="14.25" customHeight="1">
      <c r="A250" s="60" t="s">
        <v>20</v>
      </c>
      <c r="B250" s="60" t="s">
        <v>100</v>
      </c>
      <c r="C250" s="60" t="s">
        <v>165</v>
      </c>
      <c r="D250" s="60" t="s">
        <v>74</v>
      </c>
      <c r="E250" s="61" t="s">
        <v>710</v>
      </c>
      <c r="F250" s="60">
        <v>1</v>
      </c>
    </row>
    <row r="251" spans="1:6" ht="14.25" customHeight="1">
      <c r="A251" s="52" t="s">
        <v>20</v>
      </c>
      <c r="B251" s="52" t="s">
        <v>100</v>
      </c>
      <c r="C251" s="52" t="s">
        <v>165</v>
      </c>
      <c r="D251" s="52" t="s">
        <v>80</v>
      </c>
      <c r="E251" s="59" t="s">
        <v>717</v>
      </c>
      <c r="F251" s="52">
        <v>2</v>
      </c>
    </row>
    <row r="252" spans="1:6" ht="14.25" customHeight="1">
      <c r="A252" s="60" t="s">
        <v>20</v>
      </c>
      <c r="B252" s="60" t="s">
        <v>100</v>
      </c>
      <c r="C252" s="60" t="s">
        <v>165</v>
      </c>
      <c r="D252" s="60" t="s">
        <v>118</v>
      </c>
      <c r="E252" s="61" t="s">
        <v>718</v>
      </c>
      <c r="F252" s="60">
        <v>1</v>
      </c>
    </row>
    <row r="253" spans="1:6" ht="14.25" customHeight="1">
      <c r="A253" s="52" t="s">
        <v>20</v>
      </c>
      <c r="B253" s="52" t="s">
        <v>100</v>
      </c>
      <c r="C253" s="52" t="s">
        <v>276</v>
      </c>
      <c r="D253" s="52" t="s">
        <v>74</v>
      </c>
      <c r="E253" s="59" t="s">
        <v>710</v>
      </c>
      <c r="F253" s="52">
        <v>1</v>
      </c>
    </row>
    <row r="254" spans="1:6" ht="14.25" customHeight="1">
      <c r="A254" s="60" t="s">
        <v>20</v>
      </c>
      <c r="B254" s="60" t="s">
        <v>100</v>
      </c>
      <c r="C254" s="60" t="s">
        <v>276</v>
      </c>
      <c r="D254" s="60" t="s">
        <v>80</v>
      </c>
      <c r="E254" s="61" t="s">
        <v>717</v>
      </c>
      <c r="F254" s="60">
        <v>1</v>
      </c>
    </row>
    <row r="255" spans="1:6" ht="14.25" customHeight="1">
      <c r="A255" s="52" t="s">
        <v>20</v>
      </c>
      <c r="B255" s="52" t="s">
        <v>100</v>
      </c>
      <c r="C255" s="52" t="s">
        <v>101</v>
      </c>
      <c r="D255" s="52" t="s">
        <v>74</v>
      </c>
      <c r="E255" s="59" t="s">
        <v>710</v>
      </c>
      <c r="F255" s="52">
        <v>1</v>
      </c>
    </row>
    <row r="256" spans="1:6" ht="14.25" customHeight="1">
      <c r="A256" s="60" t="s">
        <v>20</v>
      </c>
      <c r="B256" s="60" t="s">
        <v>100</v>
      </c>
      <c r="C256" s="60" t="s">
        <v>101</v>
      </c>
      <c r="D256" s="60" t="s">
        <v>80</v>
      </c>
      <c r="E256" s="61" t="s">
        <v>717</v>
      </c>
      <c r="F256" s="60">
        <v>1</v>
      </c>
    </row>
    <row r="257" spans="1:6" ht="14.25" customHeight="1">
      <c r="A257" s="52" t="s">
        <v>20</v>
      </c>
      <c r="B257" s="52" t="s">
        <v>100</v>
      </c>
      <c r="C257" s="52" t="s">
        <v>132</v>
      </c>
      <c r="D257" s="52" t="s">
        <v>74</v>
      </c>
      <c r="E257" s="59" t="s">
        <v>710</v>
      </c>
      <c r="F257" s="52">
        <v>1</v>
      </c>
    </row>
    <row r="258" spans="1:6" ht="14.25" customHeight="1">
      <c r="A258" s="60" t="s">
        <v>20</v>
      </c>
      <c r="B258" s="60" t="s">
        <v>100</v>
      </c>
      <c r="C258" s="60" t="s">
        <v>132</v>
      </c>
      <c r="D258" s="60" t="s">
        <v>80</v>
      </c>
      <c r="E258" s="61" t="s">
        <v>717</v>
      </c>
      <c r="F258" s="60">
        <v>1</v>
      </c>
    </row>
    <row r="259" spans="1:6" ht="14.25" customHeight="1">
      <c r="A259" s="52" t="s">
        <v>20</v>
      </c>
      <c r="B259" s="52" t="s">
        <v>100</v>
      </c>
      <c r="C259" s="52" t="s">
        <v>133</v>
      </c>
      <c r="D259" s="52" t="s">
        <v>74</v>
      </c>
      <c r="E259" s="59" t="s">
        <v>710</v>
      </c>
      <c r="F259" s="52">
        <v>1</v>
      </c>
    </row>
    <row r="260" spans="1:6" ht="14.25" customHeight="1">
      <c r="A260" s="60" t="s">
        <v>20</v>
      </c>
      <c r="B260" s="60" t="s">
        <v>100</v>
      </c>
      <c r="C260" s="60" t="s">
        <v>133</v>
      </c>
      <c r="D260" s="60" t="s">
        <v>80</v>
      </c>
      <c r="E260" s="61" t="s">
        <v>717</v>
      </c>
      <c r="F260" s="60">
        <v>1</v>
      </c>
    </row>
    <row r="261" spans="1:6" ht="14.25" customHeight="1">
      <c r="A261" s="52" t="s">
        <v>20</v>
      </c>
      <c r="B261" s="52" t="s">
        <v>100</v>
      </c>
      <c r="C261" s="52" t="s">
        <v>110</v>
      </c>
      <c r="D261" s="52" t="s">
        <v>74</v>
      </c>
      <c r="E261" s="59" t="s">
        <v>710</v>
      </c>
      <c r="F261" s="52">
        <v>1</v>
      </c>
    </row>
    <row r="262" spans="1:6" ht="14.25" customHeight="1">
      <c r="A262" s="60" t="s">
        <v>20</v>
      </c>
      <c r="B262" s="60" t="s">
        <v>100</v>
      </c>
      <c r="C262" s="60" t="s">
        <v>110</v>
      </c>
      <c r="D262" s="60" t="s">
        <v>80</v>
      </c>
      <c r="E262" s="61" t="s">
        <v>717</v>
      </c>
      <c r="F262" s="60">
        <v>1</v>
      </c>
    </row>
    <row r="263" spans="1:6" ht="14.25" customHeight="1">
      <c r="A263" s="52" t="s">
        <v>20</v>
      </c>
      <c r="B263" s="52" t="s">
        <v>100</v>
      </c>
      <c r="C263" s="52" t="s">
        <v>112</v>
      </c>
      <c r="D263" s="52" t="s">
        <v>74</v>
      </c>
      <c r="E263" s="59" t="s">
        <v>710</v>
      </c>
      <c r="F263" s="52">
        <v>1</v>
      </c>
    </row>
    <row r="264" spans="1:6" ht="14.25" customHeight="1">
      <c r="A264" s="60" t="s">
        <v>20</v>
      </c>
      <c r="B264" s="60" t="s">
        <v>100</v>
      </c>
      <c r="C264" s="60" t="s">
        <v>112</v>
      </c>
      <c r="D264" s="60" t="s">
        <v>80</v>
      </c>
      <c r="E264" s="61" t="s">
        <v>717</v>
      </c>
      <c r="F264" s="60">
        <v>1</v>
      </c>
    </row>
    <row r="265" spans="1:6" ht="14.25" customHeight="1">
      <c r="A265" s="52" t="s">
        <v>20</v>
      </c>
      <c r="B265" s="52" t="s">
        <v>100</v>
      </c>
      <c r="C265" s="52" t="s">
        <v>113</v>
      </c>
      <c r="D265" s="52" t="s">
        <v>74</v>
      </c>
      <c r="E265" s="59" t="s">
        <v>710</v>
      </c>
      <c r="F265" s="52">
        <v>1</v>
      </c>
    </row>
    <row r="266" spans="1:6" ht="14.25" customHeight="1">
      <c r="A266" s="60" t="s">
        <v>20</v>
      </c>
      <c r="B266" s="60" t="s">
        <v>100</v>
      </c>
      <c r="C266" s="60" t="s">
        <v>113</v>
      </c>
      <c r="D266" s="60" t="s">
        <v>80</v>
      </c>
      <c r="E266" s="61" t="s">
        <v>717</v>
      </c>
      <c r="F266" s="60">
        <v>1</v>
      </c>
    </row>
    <row r="267" spans="1:6" ht="14.25" customHeight="1">
      <c r="A267" s="52" t="s">
        <v>20</v>
      </c>
      <c r="B267" s="52" t="s">
        <v>100</v>
      </c>
      <c r="C267" s="52" t="s">
        <v>113</v>
      </c>
      <c r="D267" s="52" t="s">
        <v>118</v>
      </c>
      <c r="E267" s="59" t="s">
        <v>718</v>
      </c>
      <c r="F267" s="52">
        <v>1</v>
      </c>
    </row>
    <row r="268" spans="1:6" ht="14.25" customHeight="1">
      <c r="A268" s="60" t="s">
        <v>20</v>
      </c>
      <c r="B268" s="60" t="s">
        <v>100</v>
      </c>
      <c r="C268" s="60" t="s">
        <v>115</v>
      </c>
      <c r="D268" s="60" t="s">
        <v>74</v>
      </c>
      <c r="E268" s="61" t="s">
        <v>710</v>
      </c>
      <c r="F268" s="60">
        <v>1</v>
      </c>
    </row>
    <row r="269" spans="1:6" ht="14.25" customHeight="1">
      <c r="A269" s="52" t="s">
        <v>20</v>
      </c>
      <c r="B269" s="52" t="s">
        <v>100</v>
      </c>
      <c r="C269" s="52" t="s">
        <v>115</v>
      </c>
      <c r="D269" s="52" t="s">
        <v>80</v>
      </c>
      <c r="E269" s="59" t="s">
        <v>717</v>
      </c>
      <c r="F269" s="52">
        <v>1</v>
      </c>
    </row>
    <row r="270" spans="1:6" ht="14.25" customHeight="1">
      <c r="A270" s="60" t="s">
        <v>20</v>
      </c>
      <c r="B270" s="60" t="s">
        <v>87</v>
      </c>
      <c r="C270" s="60" t="s">
        <v>297</v>
      </c>
      <c r="D270" s="60" t="s">
        <v>74</v>
      </c>
      <c r="E270" s="61" t="s">
        <v>710</v>
      </c>
      <c r="F270" s="60">
        <v>1</v>
      </c>
    </row>
    <row r="271" spans="1:6" ht="14.25" customHeight="1">
      <c r="A271" s="52" t="s">
        <v>20</v>
      </c>
      <c r="B271" s="52" t="s">
        <v>87</v>
      </c>
      <c r="C271" s="52" t="s">
        <v>297</v>
      </c>
      <c r="D271" s="52" t="s">
        <v>80</v>
      </c>
      <c r="E271" s="59" t="s">
        <v>717</v>
      </c>
      <c r="F271" s="52">
        <v>1</v>
      </c>
    </row>
    <row r="272" spans="1:6" ht="14.25" customHeight="1">
      <c r="A272" s="60" t="s">
        <v>20</v>
      </c>
      <c r="B272" s="60" t="s">
        <v>87</v>
      </c>
      <c r="C272" s="60" t="s">
        <v>297</v>
      </c>
      <c r="D272" s="60" t="s">
        <v>118</v>
      </c>
      <c r="E272" s="61" t="s">
        <v>718</v>
      </c>
      <c r="F272" s="60">
        <v>1</v>
      </c>
    </row>
    <row r="273" spans="1:6" ht="14.25" customHeight="1">
      <c r="A273" s="52" t="s">
        <v>20</v>
      </c>
      <c r="B273" s="52" t="s">
        <v>87</v>
      </c>
      <c r="C273" s="52" t="s">
        <v>300</v>
      </c>
      <c r="D273" s="52" t="s">
        <v>74</v>
      </c>
      <c r="E273" s="59" t="s">
        <v>710</v>
      </c>
      <c r="F273" s="52">
        <v>2</v>
      </c>
    </row>
    <row r="274" spans="1:6" ht="14.25" customHeight="1">
      <c r="A274" s="60" t="s">
        <v>20</v>
      </c>
      <c r="B274" s="60" t="s">
        <v>87</v>
      </c>
      <c r="C274" s="60" t="s">
        <v>300</v>
      </c>
      <c r="D274" s="60" t="s">
        <v>80</v>
      </c>
      <c r="E274" s="61" t="s">
        <v>717</v>
      </c>
      <c r="F274" s="60">
        <v>1</v>
      </c>
    </row>
    <row r="275" spans="1:6" ht="14.25" customHeight="1">
      <c r="A275" s="52" t="s">
        <v>20</v>
      </c>
      <c r="B275" s="52" t="s">
        <v>87</v>
      </c>
      <c r="C275" s="52" t="s">
        <v>300</v>
      </c>
      <c r="D275" s="52" t="s">
        <v>90</v>
      </c>
      <c r="E275" s="59" t="s">
        <v>715</v>
      </c>
      <c r="F275" s="52">
        <v>1</v>
      </c>
    </row>
    <row r="276" spans="1:6" ht="14.25" customHeight="1">
      <c r="A276" s="60" t="s">
        <v>20</v>
      </c>
      <c r="B276" s="60" t="s">
        <v>87</v>
      </c>
      <c r="C276" s="60" t="s">
        <v>303</v>
      </c>
      <c r="D276" s="60" t="s">
        <v>74</v>
      </c>
      <c r="E276" s="61" t="s">
        <v>710</v>
      </c>
      <c r="F276" s="60">
        <v>2</v>
      </c>
    </row>
    <row r="277" spans="1:6" ht="14.25" customHeight="1">
      <c r="A277" s="52" t="s">
        <v>20</v>
      </c>
      <c r="B277" s="52" t="s">
        <v>87</v>
      </c>
      <c r="C277" s="52" t="s">
        <v>303</v>
      </c>
      <c r="D277" s="52" t="s">
        <v>80</v>
      </c>
      <c r="E277" s="59" t="s">
        <v>717</v>
      </c>
      <c r="F277" s="52">
        <v>1</v>
      </c>
    </row>
    <row r="278" spans="1:6" ht="14.25" customHeight="1">
      <c r="A278" s="60" t="s">
        <v>20</v>
      </c>
      <c r="B278" s="60" t="s">
        <v>87</v>
      </c>
      <c r="C278" s="60" t="s">
        <v>303</v>
      </c>
      <c r="D278" s="60" t="s">
        <v>90</v>
      </c>
      <c r="E278" s="61" t="s">
        <v>715</v>
      </c>
      <c r="F278" s="60">
        <v>1</v>
      </c>
    </row>
    <row r="279" spans="1:6" ht="14.25" customHeight="1">
      <c r="A279" s="52" t="s">
        <v>20</v>
      </c>
      <c r="B279" s="52" t="s">
        <v>87</v>
      </c>
      <c r="C279" s="52" t="s">
        <v>305</v>
      </c>
      <c r="D279" s="52" t="s">
        <v>74</v>
      </c>
      <c r="E279" s="59" t="s">
        <v>710</v>
      </c>
      <c r="F279" s="52">
        <v>2</v>
      </c>
    </row>
    <row r="280" spans="1:6" ht="14.25" customHeight="1">
      <c r="A280" s="60" t="s">
        <v>20</v>
      </c>
      <c r="B280" s="60" t="s">
        <v>87</v>
      </c>
      <c r="C280" s="60" t="s">
        <v>305</v>
      </c>
      <c r="D280" s="60" t="s">
        <v>80</v>
      </c>
      <c r="E280" s="61" t="s">
        <v>717</v>
      </c>
      <c r="F280" s="60">
        <v>1</v>
      </c>
    </row>
    <row r="281" spans="1:6" ht="14.25" customHeight="1">
      <c r="A281" s="52" t="s">
        <v>20</v>
      </c>
      <c r="B281" s="52" t="s">
        <v>87</v>
      </c>
      <c r="C281" s="52" t="s">
        <v>305</v>
      </c>
      <c r="D281" s="52" t="s">
        <v>90</v>
      </c>
      <c r="E281" s="59" t="s">
        <v>715</v>
      </c>
      <c r="F281" s="52">
        <v>1</v>
      </c>
    </row>
    <row r="282" spans="1:6" ht="14.25" customHeight="1">
      <c r="A282" s="60" t="s">
        <v>20</v>
      </c>
      <c r="B282" s="60" t="s">
        <v>87</v>
      </c>
      <c r="C282" s="60" t="s">
        <v>308</v>
      </c>
      <c r="D282" s="60" t="s">
        <v>74</v>
      </c>
      <c r="E282" s="61" t="s">
        <v>710</v>
      </c>
      <c r="F282" s="60">
        <v>1</v>
      </c>
    </row>
    <row r="283" spans="1:6" ht="14.25" customHeight="1">
      <c r="A283" s="52" t="s">
        <v>20</v>
      </c>
      <c r="B283" s="52" t="s">
        <v>87</v>
      </c>
      <c r="C283" s="52" t="s">
        <v>308</v>
      </c>
      <c r="D283" s="52" t="s">
        <v>80</v>
      </c>
      <c r="E283" s="59" t="s">
        <v>717</v>
      </c>
      <c r="F283" s="52">
        <v>1</v>
      </c>
    </row>
    <row r="284" spans="1:6" ht="14.25" customHeight="1">
      <c r="A284" s="60" t="s">
        <v>20</v>
      </c>
      <c r="B284" s="60" t="s">
        <v>87</v>
      </c>
      <c r="C284" s="60" t="s">
        <v>308</v>
      </c>
      <c r="D284" s="60" t="s">
        <v>90</v>
      </c>
      <c r="E284" s="61" t="s">
        <v>715</v>
      </c>
      <c r="F284" s="60">
        <v>1</v>
      </c>
    </row>
    <row r="285" spans="1:6" ht="14.25" customHeight="1">
      <c r="A285" s="52" t="s">
        <v>20</v>
      </c>
      <c r="B285" s="52" t="s">
        <v>87</v>
      </c>
      <c r="C285" s="52" t="s">
        <v>311</v>
      </c>
      <c r="D285" s="52" t="s">
        <v>74</v>
      </c>
      <c r="E285" s="59" t="s">
        <v>710</v>
      </c>
      <c r="F285" s="52">
        <v>2</v>
      </c>
    </row>
    <row r="286" spans="1:6" ht="14.25" customHeight="1">
      <c r="A286" s="60" t="s">
        <v>20</v>
      </c>
      <c r="B286" s="60" t="s">
        <v>87</v>
      </c>
      <c r="C286" s="60" t="s">
        <v>311</v>
      </c>
      <c r="D286" s="60" t="s">
        <v>80</v>
      </c>
      <c r="E286" s="61" t="s">
        <v>717</v>
      </c>
      <c r="F286" s="60">
        <v>1</v>
      </c>
    </row>
    <row r="287" spans="1:6" ht="14.25" customHeight="1">
      <c r="A287" s="52" t="s">
        <v>20</v>
      </c>
      <c r="B287" s="52" t="s">
        <v>87</v>
      </c>
      <c r="C287" s="52" t="s">
        <v>311</v>
      </c>
      <c r="D287" s="52" t="s">
        <v>118</v>
      </c>
      <c r="E287" s="59" t="s">
        <v>718</v>
      </c>
      <c r="F287" s="52">
        <v>1</v>
      </c>
    </row>
    <row r="288" spans="1:6" ht="14.25" customHeight="1">
      <c r="A288" s="60" t="s">
        <v>20</v>
      </c>
      <c r="B288" s="60" t="s">
        <v>87</v>
      </c>
      <c r="C288" s="60" t="s">
        <v>20</v>
      </c>
      <c r="D288" s="60" t="s">
        <v>74</v>
      </c>
      <c r="E288" s="61" t="s">
        <v>710</v>
      </c>
      <c r="F288" s="60">
        <v>7</v>
      </c>
    </row>
    <row r="289" spans="1:6" ht="14.25" customHeight="1">
      <c r="A289" s="52" t="s">
        <v>20</v>
      </c>
      <c r="B289" s="52" t="s">
        <v>87</v>
      </c>
      <c r="C289" s="52" t="s">
        <v>20</v>
      </c>
      <c r="D289" s="52" t="s">
        <v>80</v>
      </c>
      <c r="E289" s="59" t="s">
        <v>717</v>
      </c>
      <c r="F289" s="52">
        <v>1</v>
      </c>
    </row>
    <row r="290" spans="1:6" ht="14.25" customHeight="1">
      <c r="A290" s="60" t="s">
        <v>20</v>
      </c>
      <c r="B290" s="60" t="s">
        <v>87</v>
      </c>
      <c r="C290" s="60" t="s">
        <v>20</v>
      </c>
      <c r="D290" s="60" t="s">
        <v>90</v>
      </c>
      <c r="E290" s="61" t="s">
        <v>715</v>
      </c>
      <c r="F290" s="60">
        <v>3</v>
      </c>
    </row>
    <row r="291" spans="1:6" ht="14.25" customHeight="1">
      <c r="A291" s="52" t="s">
        <v>20</v>
      </c>
      <c r="B291" s="52" t="s">
        <v>87</v>
      </c>
      <c r="C291" s="52" t="s">
        <v>20</v>
      </c>
      <c r="D291" s="52" t="s">
        <v>118</v>
      </c>
      <c r="E291" s="59" t="s">
        <v>718</v>
      </c>
      <c r="F291" s="52">
        <v>1</v>
      </c>
    </row>
    <row r="292" spans="1:6" ht="14.25" customHeight="1">
      <c r="A292" s="60" t="s">
        <v>20</v>
      </c>
      <c r="B292" s="60" t="s">
        <v>87</v>
      </c>
      <c r="C292" s="60" t="s">
        <v>20</v>
      </c>
      <c r="D292" s="60" t="s">
        <v>314</v>
      </c>
      <c r="E292" s="61" t="s">
        <v>725</v>
      </c>
      <c r="F292" s="60">
        <v>2</v>
      </c>
    </row>
    <row r="293" spans="1:6" ht="14.25" customHeight="1">
      <c r="A293" s="52" t="s">
        <v>20</v>
      </c>
      <c r="B293" s="52" t="s">
        <v>87</v>
      </c>
      <c r="C293" s="52" t="s">
        <v>20</v>
      </c>
      <c r="D293" s="52" t="s">
        <v>84</v>
      </c>
      <c r="E293" s="59" t="s">
        <v>712</v>
      </c>
      <c r="F293" s="52">
        <v>2</v>
      </c>
    </row>
    <row r="294" spans="1:6" ht="14.25" customHeight="1">
      <c r="A294" s="60" t="s">
        <v>20</v>
      </c>
      <c r="B294" s="60" t="s">
        <v>87</v>
      </c>
      <c r="C294" s="60" t="s">
        <v>20</v>
      </c>
      <c r="D294" s="60" t="s">
        <v>313</v>
      </c>
      <c r="E294" s="61" t="s">
        <v>726</v>
      </c>
      <c r="F294" s="60">
        <v>1</v>
      </c>
    </row>
    <row r="295" spans="1:6" ht="14.25" customHeight="1">
      <c r="A295" s="52" t="s">
        <v>20</v>
      </c>
      <c r="B295" s="52" t="s">
        <v>87</v>
      </c>
      <c r="C295" s="52" t="s">
        <v>20</v>
      </c>
      <c r="D295" s="52" t="s">
        <v>312</v>
      </c>
      <c r="E295" s="59" t="s">
        <v>727</v>
      </c>
      <c r="F295" s="52">
        <v>2</v>
      </c>
    </row>
    <row r="296" spans="1:6" ht="14.25" customHeight="1">
      <c r="A296" s="60" t="s">
        <v>20</v>
      </c>
      <c r="B296" s="60" t="s">
        <v>87</v>
      </c>
      <c r="C296" s="60" t="s">
        <v>20</v>
      </c>
      <c r="D296" s="60" t="s">
        <v>83</v>
      </c>
      <c r="E296" s="61" t="s">
        <v>713</v>
      </c>
      <c r="F296" s="60">
        <v>2</v>
      </c>
    </row>
    <row r="297" spans="1:6" ht="14.25" customHeight="1">
      <c r="A297" s="52" t="s">
        <v>20</v>
      </c>
      <c r="B297" s="52" t="s">
        <v>87</v>
      </c>
      <c r="C297" s="52" t="s">
        <v>318</v>
      </c>
      <c r="D297" s="52" t="s">
        <v>74</v>
      </c>
      <c r="E297" s="59" t="s">
        <v>710</v>
      </c>
      <c r="F297" s="52">
        <v>1</v>
      </c>
    </row>
    <row r="298" spans="1:6" ht="14.25" customHeight="1">
      <c r="A298" s="60" t="s">
        <v>20</v>
      </c>
      <c r="B298" s="60" t="s">
        <v>87</v>
      </c>
      <c r="C298" s="60" t="s">
        <v>318</v>
      </c>
      <c r="D298" s="60" t="s">
        <v>80</v>
      </c>
      <c r="E298" s="61" t="s">
        <v>717</v>
      </c>
      <c r="F298" s="60">
        <v>1</v>
      </c>
    </row>
    <row r="299" spans="1:6" ht="14.25" customHeight="1">
      <c r="A299" s="52" t="s">
        <v>20</v>
      </c>
      <c r="B299" s="52" t="s">
        <v>87</v>
      </c>
      <c r="C299" s="52" t="s">
        <v>318</v>
      </c>
      <c r="D299" s="52" t="s">
        <v>118</v>
      </c>
      <c r="E299" s="59" t="s">
        <v>718</v>
      </c>
      <c r="F299" s="52">
        <v>1</v>
      </c>
    </row>
    <row r="300" spans="1:6" ht="14.25" customHeight="1">
      <c r="A300" s="60" t="s">
        <v>20</v>
      </c>
      <c r="B300" s="60" t="s">
        <v>87</v>
      </c>
      <c r="C300" s="60" t="s">
        <v>321</v>
      </c>
      <c r="D300" s="60" t="s">
        <v>74</v>
      </c>
      <c r="E300" s="61" t="s">
        <v>710</v>
      </c>
      <c r="F300" s="60">
        <v>1</v>
      </c>
    </row>
    <row r="301" spans="1:6" ht="14.25" customHeight="1">
      <c r="A301" s="52" t="s">
        <v>20</v>
      </c>
      <c r="B301" s="52" t="s">
        <v>87</v>
      </c>
      <c r="C301" s="52" t="s">
        <v>321</v>
      </c>
      <c r="D301" s="52" t="s">
        <v>80</v>
      </c>
      <c r="E301" s="59" t="s">
        <v>717</v>
      </c>
      <c r="F301" s="52">
        <v>1</v>
      </c>
    </row>
    <row r="302" spans="1:6" ht="14.25" customHeight="1">
      <c r="A302" s="60" t="s">
        <v>20</v>
      </c>
      <c r="B302" s="60" t="s">
        <v>87</v>
      </c>
      <c r="C302" s="60" t="s">
        <v>321</v>
      </c>
      <c r="D302" s="60" t="s">
        <v>118</v>
      </c>
      <c r="E302" s="61" t="s">
        <v>718</v>
      </c>
      <c r="F302" s="60">
        <v>1</v>
      </c>
    </row>
    <row r="303" spans="1:6" ht="14.25" customHeight="1">
      <c r="A303" s="52" t="s">
        <v>20</v>
      </c>
      <c r="B303" s="52" t="s">
        <v>87</v>
      </c>
      <c r="C303" s="52" t="s">
        <v>23</v>
      </c>
      <c r="D303" s="52" t="s">
        <v>74</v>
      </c>
      <c r="E303" s="59" t="s">
        <v>710</v>
      </c>
      <c r="F303" s="52">
        <v>6</v>
      </c>
    </row>
    <row r="304" spans="1:6" ht="14.25" customHeight="1">
      <c r="A304" s="60" t="s">
        <v>20</v>
      </c>
      <c r="B304" s="60" t="s">
        <v>87</v>
      </c>
      <c r="C304" s="60" t="s">
        <v>23</v>
      </c>
      <c r="D304" s="60" t="s">
        <v>80</v>
      </c>
      <c r="E304" s="61" t="s">
        <v>717</v>
      </c>
      <c r="F304" s="60">
        <v>1</v>
      </c>
    </row>
    <row r="305" spans="1:6" ht="14.25" customHeight="1">
      <c r="A305" s="52" t="s">
        <v>20</v>
      </c>
      <c r="B305" s="52" t="s">
        <v>87</v>
      </c>
      <c r="C305" s="52" t="s">
        <v>23</v>
      </c>
      <c r="D305" s="52" t="s">
        <v>90</v>
      </c>
      <c r="E305" s="59" t="s">
        <v>715</v>
      </c>
      <c r="F305" s="52">
        <v>2</v>
      </c>
    </row>
    <row r="306" spans="1:6" ht="14.25" customHeight="1">
      <c r="A306" s="60" t="s">
        <v>20</v>
      </c>
      <c r="B306" s="60" t="s">
        <v>87</v>
      </c>
      <c r="C306" s="60" t="s">
        <v>23</v>
      </c>
      <c r="D306" s="60" t="s">
        <v>118</v>
      </c>
      <c r="E306" s="61" t="s">
        <v>718</v>
      </c>
      <c r="F306" s="60">
        <v>1</v>
      </c>
    </row>
    <row r="307" spans="1:6" ht="14.25" customHeight="1">
      <c r="A307" s="52" t="s">
        <v>20</v>
      </c>
      <c r="B307" s="52" t="s">
        <v>87</v>
      </c>
      <c r="C307" s="52" t="s">
        <v>23</v>
      </c>
      <c r="D307" s="52" t="s">
        <v>314</v>
      </c>
      <c r="E307" s="59" t="s">
        <v>725</v>
      </c>
      <c r="F307" s="52">
        <v>2</v>
      </c>
    </row>
    <row r="308" spans="1:6" ht="14.25" customHeight="1">
      <c r="A308" s="60" t="s">
        <v>20</v>
      </c>
      <c r="B308" s="60" t="s">
        <v>87</v>
      </c>
      <c r="C308" s="60" t="s">
        <v>23</v>
      </c>
      <c r="D308" s="60" t="s">
        <v>84</v>
      </c>
      <c r="E308" s="61" t="s">
        <v>712</v>
      </c>
      <c r="F308" s="60">
        <v>2</v>
      </c>
    </row>
    <row r="309" spans="1:6" ht="14.25" customHeight="1">
      <c r="A309" s="52" t="s">
        <v>20</v>
      </c>
      <c r="B309" s="52" t="s">
        <v>87</v>
      </c>
      <c r="C309" s="52" t="s">
        <v>23</v>
      </c>
      <c r="D309" s="52" t="s">
        <v>313</v>
      </c>
      <c r="E309" s="59" t="s">
        <v>726</v>
      </c>
      <c r="F309" s="52">
        <v>1</v>
      </c>
    </row>
    <row r="310" spans="1:6" ht="14.25" customHeight="1">
      <c r="A310" s="60" t="s">
        <v>20</v>
      </c>
      <c r="B310" s="60" t="s">
        <v>87</v>
      </c>
      <c r="C310" s="60" t="s">
        <v>23</v>
      </c>
      <c r="D310" s="60" t="s">
        <v>83</v>
      </c>
      <c r="E310" s="61" t="s">
        <v>713</v>
      </c>
      <c r="F310" s="60">
        <v>2</v>
      </c>
    </row>
    <row r="311" spans="1:6" ht="14.25" customHeight="1">
      <c r="A311" s="52" t="s">
        <v>20</v>
      </c>
      <c r="B311" s="52" t="s">
        <v>87</v>
      </c>
      <c r="C311" s="52" t="s">
        <v>277</v>
      </c>
      <c r="D311" s="52" t="s">
        <v>74</v>
      </c>
      <c r="E311" s="59" t="s">
        <v>710</v>
      </c>
      <c r="F311" s="52">
        <v>2</v>
      </c>
    </row>
    <row r="312" spans="1:6" ht="14.25" customHeight="1">
      <c r="A312" s="60" t="s">
        <v>20</v>
      </c>
      <c r="B312" s="60" t="s">
        <v>87</v>
      </c>
      <c r="C312" s="60" t="s">
        <v>277</v>
      </c>
      <c r="D312" s="60" t="s">
        <v>80</v>
      </c>
      <c r="E312" s="61" t="s">
        <v>717</v>
      </c>
      <c r="F312" s="60">
        <v>1</v>
      </c>
    </row>
    <row r="313" spans="1:6" ht="14.25" customHeight="1">
      <c r="A313" s="52" t="s">
        <v>20</v>
      </c>
      <c r="B313" s="52" t="s">
        <v>87</v>
      </c>
      <c r="C313" s="52" t="s">
        <v>348</v>
      </c>
      <c r="D313" s="52" t="s">
        <v>74</v>
      </c>
      <c r="E313" s="59" t="s">
        <v>710</v>
      </c>
      <c r="F313" s="52">
        <v>1</v>
      </c>
    </row>
    <row r="314" spans="1:6" ht="14.25" customHeight="1">
      <c r="A314" s="60" t="s">
        <v>20</v>
      </c>
      <c r="B314" s="60" t="s">
        <v>87</v>
      </c>
      <c r="C314" s="60" t="s">
        <v>348</v>
      </c>
      <c r="D314" s="60" t="s">
        <v>80</v>
      </c>
      <c r="E314" s="61" t="s">
        <v>717</v>
      </c>
      <c r="F314" s="60">
        <v>1</v>
      </c>
    </row>
    <row r="315" spans="1:6" ht="14.25" customHeight="1">
      <c r="A315" s="52" t="s">
        <v>20</v>
      </c>
      <c r="B315" s="52" t="s">
        <v>87</v>
      </c>
      <c r="C315" s="52" t="s">
        <v>350</v>
      </c>
      <c r="D315" s="52" t="s">
        <v>74</v>
      </c>
      <c r="E315" s="59" t="s">
        <v>710</v>
      </c>
      <c r="F315" s="52">
        <v>1</v>
      </c>
    </row>
    <row r="316" spans="1:6" ht="14.25" customHeight="1">
      <c r="A316" s="60" t="s">
        <v>20</v>
      </c>
      <c r="B316" s="60" t="s">
        <v>87</v>
      </c>
      <c r="C316" s="60" t="s">
        <v>350</v>
      </c>
      <c r="D316" s="60" t="s">
        <v>80</v>
      </c>
      <c r="E316" s="61" t="s">
        <v>717</v>
      </c>
      <c r="F316" s="60">
        <v>1</v>
      </c>
    </row>
    <row r="317" spans="1:6" ht="14.25" customHeight="1">
      <c r="A317" s="52" t="s">
        <v>20</v>
      </c>
      <c r="B317" s="52" t="s">
        <v>87</v>
      </c>
      <c r="C317" s="52" t="s">
        <v>353</v>
      </c>
      <c r="D317" s="52" t="s">
        <v>74</v>
      </c>
      <c r="E317" s="59" t="s">
        <v>710</v>
      </c>
      <c r="F317" s="52">
        <v>1</v>
      </c>
    </row>
    <row r="318" spans="1:6" ht="14.25" customHeight="1">
      <c r="A318" s="60" t="s">
        <v>20</v>
      </c>
      <c r="B318" s="60" t="s">
        <v>87</v>
      </c>
      <c r="C318" s="60" t="s">
        <v>353</v>
      </c>
      <c r="D318" s="60" t="s">
        <v>80</v>
      </c>
      <c r="E318" s="61" t="s">
        <v>717</v>
      </c>
      <c r="F318" s="60">
        <v>1</v>
      </c>
    </row>
    <row r="319" spans="1:6" ht="14.25" customHeight="1">
      <c r="A319" s="52" t="s">
        <v>20</v>
      </c>
      <c r="B319" s="52" t="s">
        <v>87</v>
      </c>
      <c r="C319" s="52" t="s">
        <v>354</v>
      </c>
      <c r="D319" s="52" t="s">
        <v>74</v>
      </c>
      <c r="E319" s="59" t="s">
        <v>710</v>
      </c>
      <c r="F319" s="52">
        <v>1</v>
      </c>
    </row>
    <row r="320" spans="1:6" ht="14.25" customHeight="1">
      <c r="A320" s="60" t="s">
        <v>20</v>
      </c>
      <c r="B320" s="60" t="s">
        <v>87</v>
      </c>
      <c r="C320" s="60" t="s">
        <v>354</v>
      </c>
      <c r="D320" s="60" t="s">
        <v>80</v>
      </c>
      <c r="E320" s="61" t="s">
        <v>717</v>
      </c>
      <c r="F320" s="60">
        <v>1</v>
      </c>
    </row>
    <row r="321" spans="1:6" ht="14.25" customHeight="1">
      <c r="A321" s="52" t="s">
        <v>20</v>
      </c>
      <c r="B321" s="52" t="s">
        <v>87</v>
      </c>
      <c r="C321" s="52" t="s">
        <v>357</v>
      </c>
      <c r="D321" s="52" t="s">
        <v>74</v>
      </c>
      <c r="E321" s="59" t="s">
        <v>710</v>
      </c>
      <c r="F321" s="52">
        <v>1</v>
      </c>
    </row>
    <row r="322" spans="1:6" ht="14.25" customHeight="1">
      <c r="A322" s="60" t="s">
        <v>20</v>
      </c>
      <c r="B322" s="60" t="s">
        <v>87</v>
      </c>
      <c r="C322" s="60" t="s">
        <v>357</v>
      </c>
      <c r="D322" s="60" t="s">
        <v>80</v>
      </c>
      <c r="E322" s="61" t="s">
        <v>717</v>
      </c>
      <c r="F322" s="60">
        <v>1</v>
      </c>
    </row>
    <row r="323" spans="1:6" ht="14.25" customHeight="1">
      <c r="A323" s="52" t="s">
        <v>20</v>
      </c>
      <c r="B323" s="52" t="s">
        <v>87</v>
      </c>
      <c r="C323" s="52" t="s">
        <v>358</v>
      </c>
      <c r="D323" s="52" t="s">
        <v>74</v>
      </c>
      <c r="E323" s="59" t="s">
        <v>710</v>
      </c>
      <c r="F323" s="52">
        <v>1</v>
      </c>
    </row>
    <row r="324" spans="1:6" ht="14.25" customHeight="1">
      <c r="A324" s="60" t="s">
        <v>20</v>
      </c>
      <c r="B324" s="60" t="s">
        <v>87</v>
      </c>
      <c r="C324" s="60" t="s">
        <v>358</v>
      </c>
      <c r="D324" s="60" t="s">
        <v>80</v>
      </c>
      <c r="E324" s="61" t="s">
        <v>717</v>
      </c>
      <c r="F324" s="60">
        <v>1</v>
      </c>
    </row>
    <row r="325" spans="1:6" ht="14.25" customHeight="1">
      <c r="A325" s="52" t="s">
        <v>20</v>
      </c>
      <c r="B325" s="52" t="s">
        <v>87</v>
      </c>
      <c r="C325" s="52" t="s">
        <v>359</v>
      </c>
      <c r="D325" s="52" t="s">
        <v>74</v>
      </c>
      <c r="E325" s="59" t="s">
        <v>710</v>
      </c>
      <c r="F325" s="52">
        <v>1</v>
      </c>
    </row>
    <row r="326" spans="1:6" ht="14.25" customHeight="1">
      <c r="A326" s="60" t="s">
        <v>20</v>
      </c>
      <c r="B326" s="60" t="s">
        <v>87</v>
      </c>
      <c r="C326" s="60" t="s">
        <v>359</v>
      </c>
      <c r="D326" s="60" t="s">
        <v>80</v>
      </c>
      <c r="E326" s="61" t="s">
        <v>717</v>
      </c>
      <c r="F326" s="60">
        <v>1</v>
      </c>
    </row>
    <row r="327" spans="1:6" ht="14.25" customHeight="1">
      <c r="A327" s="52" t="s">
        <v>20</v>
      </c>
      <c r="B327" s="52" t="s">
        <v>87</v>
      </c>
      <c r="C327" s="52" t="s">
        <v>360</v>
      </c>
      <c r="D327" s="52" t="s">
        <v>74</v>
      </c>
      <c r="E327" s="59" t="s">
        <v>710</v>
      </c>
      <c r="F327" s="52">
        <v>1</v>
      </c>
    </row>
    <row r="328" spans="1:6" ht="14.25" customHeight="1">
      <c r="A328" s="60" t="s">
        <v>20</v>
      </c>
      <c r="B328" s="60" t="s">
        <v>87</v>
      </c>
      <c r="C328" s="60" t="s">
        <v>360</v>
      </c>
      <c r="D328" s="60" t="s">
        <v>80</v>
      </c>
      <c r="E328" s="61" t="s">
        <v>717</v>
      </c>
      <c r="F328" s="60">
        <v>1</v>
      </c>
    </row>
    <row r="329" spans="1:6" ht="14.25" customHeight="1">
      <c r="A329" s="52" t="s">
        <v>20</v>
      </c>
      <c r="B329" s="52" t="s">
        <v>87</v>
      </c>
      <c r="C329" s="52" t="s">
        <v>363</v>
      </c>
      <c r="D329" s="52" t="s">
        <v>74</v>
      </c>
      <c r="E329" s="59" t="s">
        <v>710</v>
      </c>
      <c r="F329" s="52">
        <v>2</v>
      </c>
    </row>
    <row r="330" spans="1:6" ht="14.25" customHeight="1">
      <c r="A330" s="60" t="s">
        <v>20</v>
      </c>
      <c r="B330" s="60" t="s">
        <v>87</v>
      </c>
      <c r="C330" s="60" t="s">
        <v>363</v>
      </c>
      <c r="D330" s="60" t="s">
        <v>80</v>
      </c>
      <c r="E330" s="61" t="s">
        <v>717</v>
      </c>
      <c r="F330" s="60">
        <v>1</v>
      </c>
    </row>
    <row r="331" spans="1:6" ht="14.25" customHeight="1">
      <c r="A331" s="52" t="s">
        <v>20</v>
      </c>
      <c r="B331" s="52" t="s">
        <v>87</v>
      </c>
      <c r="C331" s="52" t="s">
        <v>134</v>
      </c>
      <c r="D331" s="52" t="s">
        <v>74</v>
      </c>
      <c r="E331" s="59" t="s">
        <v>710</v>
      </c>
      <c r="F331" s="52">
        <v>2</v>
      </c>
    </row>
    <row r="332" spans="1:6" ht="14.25" customHeight="1">
      <c r="A332" s="60" t="s">
        <v>20</v>
      </c>
      <c r="B332" s="60" t="s">
        <v>87</v>
      </c>
      <c r="C332" s="60" t="s">
        <v>134</v>
      </c>
      <c r="D332" s="60" t="s">
        <v>80</v>
      </c>
      <c r="E332" s="61" t="s">
        <v>717</v>
      </c>
      <c r="F332" s="60">
        <v>1</v>
      </c>
    </row>
    <row r="333" spans="1:6" ht="14.25" customHeight="1">
      <c r="A333" s="52" t="s">
        <v>20</v>
      </c>
      <c r="B333" s="52" t="s">
        <v>87</v>
      </c>
      <c r="C333" s="52" t="s">
        <v>134</v>
      </c>
      <c r="D333" s="52" t="s">
        <v>90</v>
      </c>
      <c r="E333" s="59" t="s">
        <v>715</v>
      </c>
      <c r="F333" s="52">
        <v>1</v>
      </c>
    </row>
    <row r="334" spans="1:6" ht="14.25" customHeight="1">
      <c r="A334" s="60" t="s">
        <v>20</v>
      </c>
      <c r="B334" s="60" t="s">
        <v>87</v>
      </c>
      <c r="C334" s="60" t="s">
        <v>343</v>
      </c>
      <c r="D334" s="60" t="s">
        <v>74</v>
      </c>
      <c r="E334" s="61" t="s">
        <v>710</v>
      </c>
      <c r="F334" s="60">
        <v>2</v>
      </c>
    </row>
    <row r="335" spans="1:6" ht="14.25" customHeight="1">
      <c r="A335" s="52" t="s">
        <v>20</v>
      </c>
      <c r="B335" s="52" t="s">
        <v>87</v>
      </c>
      <c r="C335" s="52" t="s">
        <v>343</v>
      </c>
      <c r="D335" s="52" t="s">
        <v>80</v>
      </c>
      <c r="E335" s="59" t="s">
        <v>717</v>
      </c>
      <c r="F335" s="52">
        <v>1</v>
      </c>
    </row>
    <row r="336" spans="1:6" ht="14.25" customHeight="1">
      <c r="A336" s="60" t="s">
        <v>20</v>
      </c>
      <c r="B336" s="60" t="s">
        <v>87</v>
      </c>
      <c r="C336" s="60" t="s">
        <v>343</v>
      </c>
      <c r="D336" s="60" t="s">
        <v>80</v>
      </c>
      <c r="E336" s="61" t="s">
        <v>717</v>
      </c>
      <c r="F336" s="60">
        <v>1</v>
      </c>
    </row>
    <row r="337" spans="1:6" ht="14.25" customHeight="1">
      <c r="A337" s="52" t="s">
        <v>20</v>
      </c>
      <c r="B337" s="52" t="s">
        <v>87</v>
      </c>
      <c r="C337" s="52" t="s">
        <v>343</v>
      </c>
      <c r="D337" s="52" t="s">
        <v>90</v>
      </c>
      <c r="E337" s="59" t="s">
        <v>715</v>
      </c>
      <c r="F337" s="52">
        <v>1</v>
      </c>
    </row>
    <row r="338" spans="1:6" ht="14.25" customHeight="1">
      <c r="A338" s="60" t="s">
        <v>20</v>
      </c>
      <c r="B338" s="60" t="s">
        <v>87</v>
      </c>
      <c r="C338" s="60" t="s">
        <v>88</v>
      </c>
      <c r="D338" s="60" t="s">
        <v>74</v>
      </c>
      <c r="E338" s="61" t="s">
        <v>710</v>
      </c>
      <c r="F338" s="60">
        <v>1</v>
      </c>
    </row>
    <row r="339" spans="1:6" ht="14.25" customHeight="1">
      <c r="A339" s="52" t="s">
        <v>20</v>
      </c>
      <c r="B339" s="52" t="s">
        <v>87</v>
      </c>
      <c r="C339" s="52" t="s">
        <v>88</v>
      </c>
      <c r="D339" s="52" t="s">
        <v>80</v>
      </c>
      <c r="E339" s="59" t="s">
        <v>717</v>
      </c>
      <c r="F339" s="52">
        <v>1</v>
      </c>
    </row>
    <row r="340" spans="1:6" ht="14.25" customHeight="1">
      <c r="A340" s="60" t="s">
        <v>20</v>
      </c>
      <c r="B340" s="60" t="s">
        <v>87</v>
      </c>
      <c r="C340" s="60" t="s">
        <v>364</v>
      </c>
      <c r="D340" s="60" t="s">
        <v>74</v>
      </c>
      <c r="E340" s="61" t="s">
        <v>710</v>
      </c>
      <c r="F340" s="60">
        <v>1</v>
      </c>
    </row>
    <row r="341" spans="1:6" ht="14.25" customHeight="1">
      <c r="A341" s="52" t="s">
        <v>20</v>
      </c>
      <c r="B341" s="52" t="s">
        <v>87</v>
      </c>
      <c r="C341" s="52" t="s">
        <v>364</v>
      </c>
      <c r="D341" s="52" t="s">
        <v>80</v>
      </c>
      <c r="E341" s="59" t="s">
        <v>717</v>
      </c>
      <c r="F341" s="52">
        <v>1</v>
      </c>
    </row>
    <row r="342" spans="1:6" ht="14.25" customHeight="1">
      <c r="A342" s="60" t="s">
        <v>20</v>
      </c>
      <c r="B342" s="60" t="s">
        <v>87</v>
      </c>
      <c r="C342" s="60" t="s">
        <v>91</v>
      </c>
      <c r="D342" s="60" t="s">
        <v>74</v>
      </c>
      <c r="E342" s="61" t="s">
        <v>710</v>
      </c>
      <c r="F342" s="60">
        <v>1</v>
      </c>
    </row>
    <row r="343" spans="1:6" ht="14.25" customHeight="1">
      <c r="A343" s="52" t="s">
        <v>20</v>
      </c>
      <c r="B343" s="52" t="s">
        <v>87</v>
      </c>
      <c r="C343" s="52" t="s">
        <v>365</v>
      </c>
      <c r="D343" s="52" t="s">
        <v>74</v>
      </c>
      <c r="E343" s="59" t="s">
        <v>710</v>
      </c>
      <c r="F343" s="52">
        <v>1</v>
      </c>
    </row>
    <row r="344" spans="1:6" ht="14.25" customHeight="1">
      <c r="A344" s="60" t="s">
        <v>20</v>
      </c>
      <c r="B344" s="60" t="s">
        <v>87</v>
      </c>
      <c r="C344" s="60" t="s">
        <v>92</v>
      </c>
      <c r="D344" s="60" t="s">
        <v>74</v>
      </c>
      <c r="E344" s="61" t="s">
        <v>710</v>
      </c>
      <c r="F344" s="60">
        <v>1</v>
      </c>
    </row>
    <row r="345" spans="1:6" ht="14.25" customHeight="1">
      <c r="A345" s="52" t="s">
        <v>20</v>
      </c>
      <c r="B345" s="52" t="s">
        <v>87</v>
      </c>
      <c r="C345" s="52" t="s">
        <v>366</v>
      </c>
      <c r="D345" s="52" t="s">
        <v>74</v>
      </c>
      <c r="E345" s="59" t="s">
        <v>710</v>
      </c>
      <c r="F345" s="52">
        <v>1</v>
      </c>
    </row>
    <row r="346" spans="1:6" ht="14.25" customHeight="1">
      <c r="A346" s="60" t="s">
        <v>20</v>
      </c>
      <c r="B346" s="60" t="s">
        <v>87</v>
      </c>
      <c r="C346" s="60" t="s">
        <v>368</v>
      </c>
      <c r="D346" s="60" t="s">
        <v>74</v>
      </c>
      <c r="E346" s="61" t="s">
        <v>710</v>
      </c>
      <c r="F346" s="60">
        <v>1</v>
      </c>
    </row>
    <row r="347" spans="1:6" ht="14.25" customHeight="1">
      <c r="A347" s="52" t="s">
        <v>20</v>
      </c>
      <c r="B347" s="52" t="s">
        <v>369</v>
      </c>
      <c r="C347" s="52" t="s">
        <v>369</v>
      </c>
      <c r="D347" s="52" t="s">
        <v>74</v>
      </c>
      <c r="E347" s="59" t="s">
        <v>710</v>
      </c>
      <c r="F347" s="52">
        <v>1</v>
      </c>
    </row>
    <row r="348" spans="1:6" ht="14.25" customHeight="1">
      <c r="A348" s="60" t="s">
        <v>20</v>
      </c>
      <c r="B348" s="60" t="s">
        <v>369</v>
      </c>
      <c r="C348" s="60" t="s">
        <v>369</v>
      </c>
      <c r="D348" s="60" t="s">
        <v>80</v>
      </c>
      <c r="E348" s="61" t="s">
        <v>717</v>
      </c>
      <c r="F348" s="60">
        <v>1</v>
      </c>
    </row>
    <row r="349" spans="1:6" ht="14.25" customHeight="1">
      <c r="A349" s="52" t="s">
        <v>20</v>
      </c>
      <c r="B349" s="52" t="s">
        <v>370</v>
      </c>
      <c r="C349" s="52" t="s">
        <v>370</v>
      </c>
      <c r="D349" s="52" t="s">
        <v>74</v>
      </c>
      <c r="E349" s="59" t="s">
        <v>710</v>
      </c>
      <c r="F349" s="52">
        <v>1</v>
      </c>
    </row>
    <row r="350" spans="1:6" ht="14.25" customHeight="1">
      <c r="A350" s="60" t="s">
        <v>20</v>
      </c>
      <c r="B350" s="60" t="s">
        <v>370</v>
      </c>
      <c r="C350" s="60" t="s">
        <v>370</v>
      </c>
      <c r="D350" s="60" t="s">
        <v>80</v>
      </c>
      <c r="E350" s="61" t="s">
        <v>717</v>
      </c>
      <c r="F350" s="60">
        <v>1</v>
      </c>
    </row>
    <row r="351" spans="1:6" ht="14.25" customHeight="1">
      <c r="A351" s="52" t="s">
        <v>20</v>
      </c>
      <c r="B351" s="52" t="s">
        <v>371</v>
      </c>
      <c r="C351" s="52" t="s">
        <v>371</v>
      </c>
      <c r="D351" s="52" t="s">
        <v>74</v>
      </c>
      <c r="E351" s="59" t="s">
        <v>710</v>
      </c>
      <c r="F351" s="52">
        <v>1</v>
      </c>
    </row>
    <row r="352" spans="1:6" ht="14.25" customHeight="1">
      <c r="A352" s="60" t="s">
        <v>20</v>
      </c>
      <c r="B352" s="60" t="s">
        <v>371</v>
      </c>
      <c r="C352" s="60" t="s">
        <v>371</v>
      </c>
      <c r="D352" s="60" t="s">
        <v>80</v>
      </c>
      <c r="E352" s="61" t="s">
        <v>717</v>
      </c>
      <c r="F352" s="60">
        <v>1</v>
      </c>
    </row>
    <row r="353" spans="1:6" ht="14.25" customHeight="1">
      <c r="A353" s="52" t="s">
        <v>20</v>
      </c>
      <c r="B353" s="52" t="s">
        <v>372</v>
      </c>
      <c r="C353" s="59" t="s">
        <v>373</v>
      </c>
      <c r="D353" s="52" t="s">
        <v>74</v>
      </c>
      <c r="E353" s="59" t="s">
        <v>710</v>
      </c>
      <c r="F353" s="52">
        <v>1</v>
      </c>
    </row>
    <row r="354" spans="1:6" ht="14.25" customHeight="1">
      <c r="A354" s="60" t="s">
        <v>20</v>
      </c>
      <c r="B354" s="61" t="s">
        <v>344</v>
      </c>
      <c r="C354" s="60" t="s">
        <v>77</v>
      </c>
      <c r="D354" s="60" t="s">
        <v>78</v>
      </c>
      <c r="E354" s="61" t="s">
        <v>711</v>
      </c>
      <c r="F354" s="60">
        <v>6</v>
      </c>
    </row>
    <row r="355" spans="1:6" ht="14.25" customHeight="1">
      <c r="A355" s="52" t="s">
        <v>20</v>
      </c>
      <c r="B355" s="59" t="s">
        <v>344</v>
      </c>
      <c r="C355" s="59" t="s">
        <v>345</v>
      </c>
      <c r="D355" s="52" t="s">
        <v>140</v>
      </c>
      <c r="E355" s="59" t="s">
        <v>716</v>
      </c>
      <c r="F355" s="52">
        <v>1</v>
      </c>
    </row>
    <row r="356" spans="1:6" ht="14.25" customHeight="1">
      <c r="A356" s="60" t="s">
        <v>20</v>
      </c>
      <c r="B356" s="61" t="s">
        <v>344</v>
      </c>
      <c r="C356" s="61" t="s">
        <v>345</v>
      </c>
      <c r="D356" s="60" t="s">
        <v>142</v>
      </c>
      <c r="E356" s="61" t="s">
        <v>714</v>
      </c>
      <c r="F356" s="60">
        <v>1</v>
      </c>
    </row>
    <row r="357" spans="1:6" ht="14.25" customHeight="1">
      <c r="A357" s="52" t="s">
        <v>20</v>
      </c>
      <c r="B357" s="59" t="s">
        <v>344</v>
      </c>
      <c r="C357" s="59" t="s">
        <v>345</v>
      </c>
      <c r="D357" s="52" t="s">
        <v>90</v>
      </c>
      <c r="E357" s="59" t="s">
        <v>715</v>
      </c>
      <c r="F357" s="52">
        <v>1</v>
      </c>
    </row>
    <row r="358" spans="1:6" ht="14.25" customHeight="1">
      <c r="A358" s="60" t="s">
        <v>20</v>
      </c>
      <c r="B358" s="61" t="s">
        <v>344</v>
      </c>
      <c r="C358" s="61" t="s">
        <v>345</v>
      </c>
      <c r="D358" s="60" t="s">
        <v>118</v>
      </c>
      <c r="E358" s="61" t="s">
        <v>718</v>
      </c>
      <c r="F358" s="60">
        <v>1</v>
      </c>
    </row>
    <row r="359" spans="1:6" ht="14.25" customHeight="1">
      <c r="A359" s="52" t="s">
        <v>20</v>
      </c>
      <c r="B359" s="59" t="s">
        <v>346</v>
      </c>
      <c r="C359" s="52" t="s">
        <v>77</v>
      </c>
      <c r="D359" s="52" t="s">
        <v>78</v>
      </c>
      <c r="E359" s="59" t="s">
        <v>711</v>
      </c>
      <c r="F359" s="52">
        <v>9</v>
      </c>
    </row>
    <row r="360" spans="1:6" ht="14.25" customHeight="1">
      <c r="A360" s="60" t="s">
        <v>20</v>
      </c>
      <c r="B360" s="61" t="s">
        <v>346</v>
      </c>
      <c r="C360" s="61" t="s">
        <v>345</v>
      </c>
      <c r="D360" s="60" t="s">
        <v>140</v>
      </c>
      <c r="E360" s="61" t="s">
        <v>716</v>
      </c>
      <c r="F360" s="60">
        <v>2</v>
      </c>
    </row>
    <row r="361" spans="1:6" ht="14.25" customHeight="1">
      <c r="A361" s="52" t="s">
        <v>20</v>
      </c>
      <c r="B361" s="59" t="s">
        <v>346</v>
      </c>
      <c r="C361" s="59" t="s">
        <v>345</v>
      </c>
      <c r="D361" s="52" t="s">
        <v>142</v>
      </c>
      <c r="E361" s="59" t="s">
        <v>714</v>
      </c>
      <c r="F361" s="52">
        <v>2</v>
      </c>
    </row>
    <row r="362" spans="1:6" ht="14.25" customHeight="1">
      <c r="A362" s="60" t="s">
        <v>20</v>
      </c>
      <c r="B362" s="61" t="s">
        <v>347</v>
      </c>
      <c r="C362" s="60" t="s">
        <v>77</v>
      </c>
      <c r="D362" s="60" t="s">
        <v>78</v>
      </c>
      <c r="E362" s="61" t="s">
        <v>711</v>
      </c>
      <c r="F362" s="60">
        <v>9</v>
      </c>
    </row>
    <row r="363" spans="1:6" ht="14.25" customHeight="1">
      <c r="A363" s="52" t="s">
        <v>20</v>
      </c>
      <c r="B363" s="59" t="s">
        <v>347</v>
      </c>
      <c r="C363" s="52" t="s">
        <v>375</v>
      </c>
      <c r="D363" s="52" t="s">
        <v>140</v>
      </c>
      <c r="E363" s="59" t="s">
        <v>716</v>
      </c>
      <c r="F363" s="52">
        <v>1</v>
      </c>
    </row>
    <row r="364" spans="1:6" ht="14.25" customHeight="1">
      <c r="A364" s="60" t="s">
        <v>20</v>
      </c>
      <c r="B364" s="61" t="s">
        <v>347</v>
      </c>
      <c r="C364" s="60" t="s">
        <v>375</v>
      </c>
      <c r="D364" s="60" t="s">
        <v>80</v>
      </c>
      <c r="E364" s="61" t="s">
        <v>717</v>
      </c>
      <c r="F364" s="60">
        <v>2</v>
      </c>
    </row>
    <row r="365" spans="1:6" ht="14.25" customHeight="1">
      <c r="A365" s="52" t="s">
        <v>20</v>
      </c>
      <c r="B365" s="59" t="s">
        <v>349</v>
      </c>
      <c r="C365" s="52" t="s">
        <v>77</v>
      </c>
      <c r="D365" s="52" t="s">
        <v>78</v>
      </c>
      <c r="E365" s="59" t="s">
        <v>711</v>
      </c>
      <c r="F365" s="52">
        <v>3</v>
      </c>
    </row>
    <row r="366" spans="1:6" ht="14.25" customHeight="1">
      <c r="A366" s="60" t="s">
        <v>20</v>
      </c>
      <c r="B366" s="61" t="s">
        <v>349</v>
      </c>
      <c r="C366" s="61" t="s">
        <v>376</v>
      </c>
      <c r="D366" s="60" t="s">
        <v>140</v>
      </c>
      <c r="E366" s="61" t="s">
        <v>716</v>
      </c>
      <c r="F366" s="60">
        <v>1</v>
      </c>
    </row>
    <row r="367" spans="1:6" ht="14.25" customHeight="1">
      <c r="A367" s="52" t="s">
        <v>20</v>
      </c>
      <c r="B367" s="59" t="s">
        <v>349</v>
      </c>
      <c r="C367" s="59" t="s">
        <v>376</v>
      </c>
      <c r="D367" s="52" t="s">
        <v>80</v>
      </c>
      <c r="E367" s="59" t="s">
        <v>717</v>
      </c>
      <c r="F367" s="52">
        <v>2</v>
      </c>
    </row>
    <row r="368" spans="1:6" ht="14.25" customHeight="1">
      <c r="A368" s="60" t="s">
        <v>20</v>
      </c>
      <c r="B368" s="61" t="s">
        <v>351</v>
      </c>
      <c r="C368" s="60" t="s">
        <v>77</v>
      </c>
      <c r="D368" s="60" t="s">
        <v>78</v>
      </c>
      <c r="E368" s="61" t="s">
        <v>711</v>
      </c>
      <c r="F368" s="60">
        <v>10</v>
      </c>
    </row>
    <row r="369" spans="1:6" ht="14.25" customHeight="1">
      <c r="A369" s="52" t="s">
        <v>20</v>
      </c>
      <c r="B369" s="59" t="s">
        <v>352</v>
      </c>
      <c r="C369" s="52" t="s">
        <v>77</v>
      </c>
      <c r="D369" s="52" t="s">
        <v>78</v>
      </c>
      <c r="E369" s="59" t="s">
        <v>711</v>
      </c>
      <c r="F369" s="52">
        <v>4</v>
      </c>
    </row>
    <row r="370" spans="1:6" ht="14.25" customHeight="1">
      <c r="A370" s="60" t="s">
        <v>20</v>
      </c>
      <c r="B370" s="61" t="s">
        <v>352</v>
      </c>
      <c r="C370" s="60" t="s">
        <v>377</v>
      </c>
      <c r="D370" s="60" t="s">
        <v>74</v>
      </c>
      <c r="E370" s="61" t="s">
        <v>710</v>
      </c>
      <c r="F370" s="60">
        <v>6</v>
      </c>
    </row>
    <row r="371" spans="1:6" ht="14.25" customHeight="1">
      <c r="A371" s="52" t="s">
        <v>20</v>
      </c>
      <c r="B371" s="59" t="s">
        <v>352</v>
      </c>
      <c r="C371" s="52" t="s">
        <v>377</v>
      </c>
      <c r="D371" s="52" t="s">
        <v>80</v>
      </c>
      <c r="E371" s="59" t="s">
        <v>717</v>
      </c>
      <c r="F371" s="52">
        <v>4</v>
      </c>
    </row>
    <row r="372" spans="1:6" ht="14.25" customHeight="1">
      <c r="A372" s="60" t="s">
        <v>20</v>
      </c>
      <c r="B372" s="61" t="s">
        <v>378</v>
      </c>
      <c r="C372" s="61" t="s">
        <v>379</v>
      </c>
      <c r="D372" s="60" t="s">
        <v>140</v>
      </c>
      <c r="E372" s="61" t="s">
        <v>716</v>
      </c>
      <c r="F372" s="60">
        <v>1</v>
      </c>
    </row>
    <row r="373" spans="1:6" ht="14.25" customHeight="1">
      <c r="A373" s="52" t="s">
        <v>20</v>
      </c>
      <c r="B373" s="59" t="s">
        <v>355</v>
      </c>
      <c r="C373" s="52" t="s">
        <v>77</v>
      </c>
      <c r="D373" s="52" t="s">
        <v>78</v>
      </c>
      <c r="E373" s="59" t="s">
        <v>711</v>
      </c>
      <c r="F373" s="52">
        <v>11</v>
      </c>
    </row>
    <row r="374" spans="1:6" ht="14.25" customHeight="1">
      <c r="A374" s="60" t="s">
        <v>20</v>
      </c>
      <c r="B374" s="61" t="s">
        <v>355</v>
      </c>
      <c r="C374" s="60" t="s">
        <v>356</v>
      </c>
      <c r="D374" s="60" t="s">
        <v>118</v>
      </c>
      <c r="E374" s="61" t="s">
        <v>718</v>
      </c>
      <c r="F374" s="60">
        <v>1</v>
      </c>
    </row>
    <row r="375" spans="1:6" ht="14.25" customHeight="1">
      <c r="A375" s="52" t="s">
        <v>20</v>
      </c>
      <c r="B375" s="59" t="s">
        <v>355</v>
      </c>
      <c r="C375" s="52" t="s">
        <v>381</v>
      </c>
      <c r="D375" s="52" t="s">
        <v>80</v>
      </c>
      <c r="E375" s="59" t="s">
        <v>717</v>
      </c>
      <c r="F375" s="52">
        <v>1</v>
      </c>
    </row>
    <row r="376" spans="1:6" ht="14.25" customHeight="1">
      <c r="A376" s="60" t="s">
        <v>20</v>
      </c>
      <c r="B376" s="61" t="s">
        <v>355</v>
      </c>
      <c r="C376" s="61" t="s">
        <v>382</v>
      </c>
      <c r="D376" s="60" t="s">
        <v>74</v>
      </c>
      <c r="E376" s="61" t="s">
        <v>710</v>
      </c>
      <c r="F376" s="60">
        <v>1</v>
      </c>
    </row>
    <row r="377" spans="1:6" ht="14.25" customHeight="1">
      <c r="A377" s="52" t="s">
        <v>20</v>
      </c>
      <c r="B377" s="59" t="s">
        <v>355</v>
      </c>
      <c r="C377" s="59" t="s">
        <v>382</v>
      </c>
      <c r="D377" s="52" t="s">
        <v>80</v>
      </c>
      <c r="E377" s="59" t="s">
        <v>717</v>
      </c>
      <c r="F377" s="52">
        <v>1</v>
      </c>
    </row>
    <row r="378" spans="1:6" ht="14.25" customHeight="1">
      <c r="A378" s="60" t="s">
        <v>20</v>
      </c>
      <c r="B378" s="61" t="s">
        <v>355</v>
      </c>
      <c r="C378" s="61" t="s">
        <v>384</v>
      </c>
      <c r="D378" s="60" t="s">
        <v>74</v>
      </c>
      <c r="E378" s="61" t="s">
        <v>710</v>
      </c>
      <c r="F378" s="60">
        <v>1</v>
      </c>
    </row>
    <row r="379" spans="1:6" ht="14.25" customHeight="1">
      <c r="A379" s="52" t="s">
        <v>20</v>
      </c>
      <c r="B379" s="59" t="s">
        <v>355</v>
      </c>
      <c r="C379" s="59" t="s">
        <v>383</v>
      </c>
      <c r="D379" s="52" t="s">
        <v>74</v>
      </c>
      <c r="E379" s="59" t="s">
        <v>710</v>
      </c>
      <c r="F379" s="52">
        <v>1</v>
      </c>
    </row>
    <row r="380" spans="1:6" ht="14.25" customHeight="1">
      <c r="A380" s="60" t="s">
        <v>20</v>
      </c>
      <c r="B380" s="61" t="s">
        <v>355</v>
      </c>
      <c r="C380" s="61" t="s">
        <v>383</v>
      </c>
      <c r="D380" s="60" t="s">
        <v>80</v>
      </c>
      <c r="E380" s="61" t="s">
        <v>717</v>
      </c>
      <c r="F380" s="60">
        <v>1</v>
      </c>
    </row>
    <row r="381" spans="1:6" ht="14.25" customHeight="1">
      <c r="A381" s="52" t="s">
        <v>20</v>
      </c>
      <c r="B381" s="59" t="s">
        <v>138</v>
      </c>
      <c r="C381" s="52" t="s">
        <v>77</v>
      </c>
      <c r="D381" s="52" t="s">
        <v>78</v>
      </c>
      <c r="E381" s="59" t="s">
        <v>711</v>
      </c>
      <c r="F381" s="52">
        <v>219</v>
      </c>
    </row>
    <row r="382" spans="1:6" ht="14.25" customHeight="1">
      <c r="A382" s="60" t="s">
        <v>20</v>
      </c>
      <c r="B382" s="61" t="s">
        <v>138</v>
      </c>
      <c r="C382" s="60" t="s">
        <v>262</v>
      </c>
      <c r="D382" s="60" t="s">
        <v>142</v>
      </c>
      <c r="E382" s="61" t="s">
        <v>714</v>
      </c>
      <c r="F382" s="60">
        <v>4</v>
      </c>
    </row>
    <row r="383" spans="1:6" ht="14.25" customHeight="1">
      <c r="A383" s="52" t="s">
        <v>20</v>
      </c>
      <c r="B383" s="59" t="s">
        <v>138</v>
      </c>
      <c r="C383" s="52" t="s">
        <v>385</v>
      </c>
      <c r="D383" s="52" t="s">
        <v>74</v>
      </c>
      <c r="E383" s="59" t="s">
        <v>710</v>
      </c>
      <c r="F383" s="52">
        <v>2</v>
      </c>
    </row>
    <row r="384" spans="1:6" ht="14.25" customHeight="1">
      <c r="A384" s="60" t="s">
        <v>20</v>
      </c>
      <c r="B384" s="61" t="s">
        <v>138</v>
      </c>
      <c r="C384" s="60" t="s">
        <v>361</v>
      </c>
      <c r="D384" s="60" t="s">
        <v>362</v>
      </c>
      <c r="E384" s="61" t="s">
        <v>728</v>
      </c>
      <c r="F384" s="60">
        <v>2</v>
      </c>
    </row>
    <row r="385" spans="1:6" ht="14.25" customHeight="1">
      <c r="A385" s="52" t="s">
        <v>20</v>
      </c>
      <c r="B385" s="59" t="s">
        <v>138</v>
      </c>
      <c r="C385" s="52" t="s">
        <v>386</v>
      </c>
      <c r="D385" s="52" t="s">
        <v>140</v>
      </c>
      <c r="E385" s="59" t="s">
        <v>716</v>
      </c>
      <c r="F385" s="52">
        <v>5</v>
      </c>
    </row>
    <row r="386" spans="1:6" ht="14.25" customHeight="1">
      <c r="A386" s="60" t="s">
        <v>20</v>
      </c>
      <c r="B386" s="61" t="s">
        <v>138</v>
      </c>
      <c r="C386" s="60" t="s">
        <v>386</v>
      </c>
      <c r="D386" s="60" t="s">
        <v>80</v>
      </c>
      <c r="E386" s="61" t="s">
        <v>717</v>
      </c>
      <c r="F386" s="60">
        <v>1</v>
      </c>
    </row>
    <row r="387" spans="1:6" ht="14.25" customHeight="1">
      <c r="A387" s="52" t="s">
        <v>20</v>
      </c>
      <c r="B387" s="59" t="s">
        <v>138</v>
      </c>
      <c r="C387" s="52" t="s">
        <v>266</v>
      </c>
      <c r="D387" s="52" t="s">
        <v>142</v>
      </c>
      <c r="E387" s="59" t="s">
        <v>714</v>
      </c>
      <c r="F387" s="52">
        <v>4</v>
      </c>
    </row>
    <row r="388" spans="1:6" ht="14.25" customHeight="1">
      <c r="A388" s="60" t="s">
        <v>20</v>
      </c>
      <c r="B388" s="61" t="s">
        <v>138</v>
      </c>
      <c r="C388" s="60" t="s">
        <v>208</v>
      </c>
      <c r="D388" s="60" t="s">
        <v>140</v>
      </c>
      <c r="E388" s="61" t="s">
        <v>716</v>
      </c>
      <c r="F388" s="60">
        <v>3</v>
      </c>
    </row>
    <row r="389" spans="1:6" ht="14.25" customHeight="1">
      <c r="A389" s="52" t="s">
        <v>20</v>
      </c>
      <c r="B389" s="59" t="s">
        <v>138</v>
      </c>
      <c r="C389" s="52" t="s">
        <v>208</v>
      </c>
      <c r="D389" s="52" t="s">
        <v>80</v>
      </c>
      <c r="E389" s="59" t="s">
        <v>717</v>
      </c>
      <c r="F389" s="52">
        <v>7</v>
      </c>
    </row>
    <row r="390" spans="1:6" ht="14.25" customHeight="1">
      <c r="A390" s="60" t="s">
        <v>20</v>
      </c>
      <c r="B390" s="61" t="s">
        <v>138</v>
      </c>
      <c r="C390" s="60" t="s">
        <v>267</v>
      </c>
      <c r="D390" s="60" t="s">
        <v>140</v>
      </c>
      <c r="E390" s="61" t="s">
        <v>716</v>
      </c>
      <c r="F390" s="60">
        <v>5</v>
      </c>
    </row>
    <row r="391" spans="1:6" ht="14.25" customHeight="1">
      <c r="A391" s="52" t="s">
        <v>20</v>
      </c>
      <c r="B391" s="59" t="s">
        <v>138</v>
      </c>
      <c r="C391" s="52" t="s">
        <v>267</v>
      </c>
      <c r="D391" s="52" t="s">
        <v>74</v>
      </c>
      <c r="E391" s="59" t="s">
        <v>710</v>
      </c>
      <c r="F391" s="52">
        <v>2</v>
      </c>
    </row>
    <row r="392" spans="1:6" ht="14.25" customHeight="1">
      <c r="A392" s="60" t="s">
        <v>20</v>
      </c>
      <c r="B392" s="61" t="s">
        <v>138</v>
      </c>
      <c r="C392" s="60" t="s">
        <v>267</v>
      </c>
      <c r="D392" s="60" t="s">
        <v>80</v>
      </c>
      <c r="E392" s="61" t="s">
        <v>717</v>
      </c>
      <c r="F392" s="60">
        <v>1</v>
      </c>
    </row>
    <row r="393" spans="1:6" ht="14.25" customHeight="1">
      <c r="A393" s="52" t="s">
        <v>20</v>
      </c>
      <c r="B393" s="59" t="s">
        <v>138</v>
      </c>
      <c r="C393" s="52" t="s">
        <v>286</v>
      </c>
      <c r="D393" s="52" t="s">
        <v>142</v>
      </c>
      <c r="E393" s="59" t="s">
        <v>714</v>
      </c>
      <c r="F393" s="52">
        <v>4</v>
      </c>
    </row>
    <row r="394" spans="1:6" ht="14.25" customHeight="1">
      <c r="A394" s="60" t="s">
        <v>20</v>
      </c>
      <c r="B394" s="61" t="s">
        <v>138</v>
      </c>
      <c r="C394" s="60" t="s">
        <v>268</v>
      </c>
      <c r="D394" s="60" t="s">
        <v>140</v>
      </c>
      <c r="E394" s="61" t="s">
        <v>716</v>
      </c>
      <c r="F394" s="60">
        <v>1</v>
      </c>
    </row>
    <row r="395" spans="1:6" ht="14.25" customHeight="1">
      <c r="A395" s="52" t="s">
        <v>20</v>
      </c>
      <c r="B395" s="59" t="s">
        <v>138</v>
      </c>
      <c r="C395" s="52" t="s">
        <v>268</v>
      </c>
      <c r="D395" s="52" t="s">
        <v>80</v>
      </c>
      <c r="E395" s="59" t="s">
        <v>717</v>
      </c>
      <c r="F395" s="52">
        <v>2</v>
      </c>
    </row>
    <row r="396" spans="1:6" ht="14.25" customHeight="1">
      <c r="A396" s="60" t="s">
        <v>20</v>
      </c>
      <c r="B396" s="61" t="s">
        <v>138</v>
      </c>
      <c r="C396" s="60" t="s">
        <v>206</v>
      </c>
      <c r="D396" s="60" t="s">
        <v>140</v>
      </c>
      <c r="E396" s="61" t="s">
        <v>716</v>
      </c>
      <c r="F396" s="60">
        <v>4</v>
      </c>
    </row>
    <row r="397" spans="1:6" ht="14.25" customHeight="1">
      <c r="A397" s="52" t="s">
        <v>20</v>
      </c>
      <c r="B397" s="59" t="s">
        <v>138</v>
      </c>
      <c r="C397" s="52" t="s">
        <v>206</v>
      </c>
      <c r="D397" s="52" t="s">
        <v>80</v>
      </c>
      <c r="E397" s="59" t="s">
        <v>717</v>
      </c>
      <c r="F397" s="52">
        <v>1</v>
      </c>
    </row>
    <row r="398" spans="1:6" ht="14.25" customHeight="1">
      <c r="A398" s="60" t="s">
        <v>20</v>
      </c>
      <c r="B398" s="61" t="s">
        <v>138</v>
      </c>
      <c r="C398" s="60" t="s">
        <v>287</v>
      </c>
      <c r="D398" s="60" t="s">
        <v>142</v>
      </c>
      <c r="E398" s="61" t="s">
        <v>714</v>
      </c>
      <c r="F398" s="60">
        <v>2</v>
      </c>
    </row>
    <row r="399" spans="1:6" ht="14.25" customHeight="1">
      <c r="A399" s="52" t="s">
        <v>20</v>
      </c>
      <c r="B399" s="59" t="s">
        <v>138</v>
      </c>
      <c r="C399" s="52" t="s">
        <v>278</v>
      </c>
      <c r="D399" s="52" t="s">
        <v>140</v>
      </c>
      <c r="E399" s="59" t="s">
        <v>716</v>
      </c>
      <c r="F399" s="52">
        <v>2</v>
      </c>
    </row>
    <row r="400" spans="1:6" ht="14.25" customHeight="1">
      <c r="A400" s="60" t="s">
        <v>20</v>
      </c>
      <c r="B400" s="61" t="s">
        <v>138</v>
      </c>
      <c r="C400" s="60" t="s">
        <v>278</v>
      </c>
      <c r="D400" s="60" t="s">
        <v>80</v>
      </c>
      <c r="E400" s="61" t="s">
        <v>717</v>
      </c>
      <c r="F400" s="60">
        <v>4</v>
      </c>
    </row>
    <row r="401" spans="1:6" ht="14.25" customHeight="1">
      <c r="A401" s="52" t="s">
        <v>20</v>
      </c>
      <c r="B401" s="59" t="s">
        <v>138</v>
      </c>
      <c r="C401" s="52" t="s">
        <v>207</v>
      </c>
      <c r="D401" s="52" t="s">
        <v>140</v>
      </c>
      <c r="E401" s="59" t="s">
        <v>716</v>
      </c>
      <c r="F401" s="52">
        <v>2</v>
      </c>
    </row>
    <row r="402" spans="1:6" ht="14.25" customHeight="1">
      <c r="A402" s="60" t="s">
        <v>20</v>
      </c>
      <c r="B402" s="61" t="s">
        <v>138</v>
      </c>
      <c r="C402" s="60" t="s">
        <v>207</v>
      </c>
      <c r="D402" s="60" t="s">
        <v>80</v>
      </c>
      <c r="E402" s="61" t="s">
        <v>717</v>
      </c>
      <c r="F402" s="60">
        <v>1</v>
      </c>
    </row>
    <row r="403" spans="1:6" ht="14.25" customHeight="1">
      <c r="A403" s="52" t="s">
        <v>20</v>
      </c>
      <c r="B403" s="59" t="s">
        <v>138</v>
      </c>
      <c r="C403" s="52" t="s">
        <v>139</v>
      </c>
      <c r="D403" s="52" t="s">
        <v>140</v>
      </c>
      <c r="E403" s="59" t="s">
        <v>716</v>
      </c>
      <c r="F403" s="52">
        <v>4</v>
      </c>
    </row>
    <row r="404" spans="1:6" ht="14.25" customHeight="1">
      <c r="A404" s="60" t="s">
        <v>20</v>
      </c>
      <c r="B404" s="61" t="s">
        <v>138</v>
      </c>
      <c r="C404" s="60" t="s">
        <v>139</v>
      </c>
      <c r="D404" s="60" t="s">
        <v>80</v>
      </c>
      <c r="E404" s="61" t="s">
        <v>717</v>
      </c>
      <c r="F404" s="60">
        <v>3</v>
      </c>
    </row>
    <row r="405" spans="1:6" ht="14.25" customHeight="1">
      <c r="A405" s="52" t="s">
        <v>20</v>
      </c>
      <c r="B405" s="59" t="s">
        <v>138</v>
      </c>
      <c r="C405" s="52" t="s">
        <v>141</v>
      </c>
      <c r="D405" s="52" t="s">
        <v>142</v>
      </c>
      <c r="E405" s="59" t="s">
        <v>714</v>
      </c>
      <c r="F405" s="52">
        <v>3</v>
      </c>
    </row>
    <row r="406" spans="1:6" ht="14.25" customHeight="1">
      <c r="A406" s="60" t="s">
        <v>20</v>
      </c>
      <c r="B406" s="61" t="s">
        <v>138</v>
      </c>
      <c r="C406" s="60" t="s">
        <v>265</v>
      </c>
      <c r="D406" s="60" t="s">
        <v>142</v>
      </c>
      <c r="E406" s="61" t="s">
        <v>714</v>
      </c>
      <c r="F406" s="60">
        <v>2</v>
      </c>
    </row>
    <row r="407" spans="1:6" ht="14.25" customHeight="1">
      <c r="A407" s="52" t="s">
        <v>20</v>
      </c>
      <c r="B407" s="59" t="s">
        <v>138</v>
      </c>
      <c r="C407" s="52" t="s">
        <v>269</v>
      </c>
      <c r="D407" s="52" t="s">
        <v>80</v>
      </c>
      <c r="E407" s="59" t="s">
        <v>717</v>
      </c>
      <c r="F407" s="52">
        <v>1</v>
      </c>
    </row>
    <row r="408" spans="1:6" ht="14.25" customHeight="1">
      <c r="A408" s="60" t="s">
        <v>20</v>
      </c>
      <c r="B408" s="61" t="s">
        <v>138</v>
      </c>
      <c r="C408" s="60" t="s">
        <v>270</v>
      </c>
      <c r="D408" s="60" t="s">
        <v>140</v>
      </c>
      <c r="E408" s="61" t="s">
        <v>716</v>
      </c>
      <c r="F408" s="60">
        <v>2</v>
      </c>
    </row>
    <row r="409" spans="1:6" ht="14.25" customHeight="1">
      <c r="A409" s="52" t="s">
        <v>20</v>
      </c>
      <c r="B409" s="59" t="s">
        <v>138</v>
      </c>
      <c r="C409" s="52" t="s">
        <v>270</v>
      </c>
      <c r="D409" s="52" t="s">
        <v>142</v>
      </c>
      <c r="E409" s="59" t="s">
        <v>714</v>
      </c>
      <c r="F409" s="52">
        <v>2</v>
      </c>
    </row>
    <row r="410" spans="1:6" ht="14.25" customHeight="1">
      <c r="A410" s="60" t="s">
        <v>20</v>
      </c>
      <c r="B410" s="61" t="s">
        <v>138</v>
      </c>
      <c r="C410" s="60" t="s">
        <v>209</v>
      </c>
      <c r="D410" s="60" t="s">
        <v>74</v>
      </c>
      <c r="E410" s="61" t="s">
        <v>710</v>
      </c>
      <c r="F410" s="60">
        <v>2</v>
      </c>
    </row>
    <row r="411" spans="1:6" ht="14.25" customHeight="1">
      <c r="A411" s="52" t="s">
        <v>20</v>
      </c>
      <c r="B411" s="59" t="s">
        <v>138</v>
      </c>
      <c r="C411" s="52" t="s">
        <v>209</v>
      </c>
      <c r="D411" s="52" t="s">
        <v>80</v>
      </c>
      <c r="E411" s="59" t="s">
        <v>717</v>
      </c>
      <c r="F411" s="52">
        <v>2</v>
      </c>
    </row>
    <row r="412" spans="1:6" ht="14.25" customHeight="1">
      <c r="A412" s="60" t="s">
        <v>20</v>
      </c>
      <c r="B412" s="61" t="s">
        <v>138</v>
      </c>
      <c r="C412" s="60" t="s">
        <v>271</v>
      </c>
      <c r="D412" s="60" t="s">
        <v>74</v>
      </c>
      <c r="E412" s="61" t="s">
        <v>710</v>
      </c>
      <c r="F412" s="60">
        <v>1</v>
      </c>
    </row>
    <row r="413" spans="1:6" ht="14.25" customHeight="1">
      <c r="A413" s="52" t="s">
        <v>20</v>
      </c>
      <c r="B413" s="59" t="s">
        <v>138</v>
      </c>
      <c r="C413" s="52" t="s">
        <v>375</v>
      </c>
      <c r="D413" s="52" t="s">
        <v>74</v>
      </c>
      <c r="E413" s="59" t="s">
        <v>710</v>
      </c>
      <c r="F413" s="52">
        <v>1</v>
      </c>
    </row>
    <row r="414" spans="1:6" ht="14.25" customHeight="1">
      <c r="A414" s="60" t="s">
        <v>20</v>
      </c>
      <c r="B414" s="61" t="s">
        <v>138</v>
      </c>
      <c r="C414" s="60" t="s">
        <v>375</v>
      </c>
      <c r="D414" s="60" t="s">
        <v>80</v>
      </c>
      <c r="E414" s="61" t="s">
        <v>717</v>
      </c>
      <c r="F414" s="60">
        <v>1</v>
      </c>
    </row>
    <row r="415" spans="1:6" ht="14.25" customHeight="1">
      <c r="A415" s="52" t="s">
        <v>20</v>
      </c>
      <c r="B415" s="59" t="s">
        <v>138</v>
      </c>
      <c r="C415" s="59" t="s">
        <v>210</v>
      </c>
      <c r="D415" s="52" t="s">
        <v>74</v>
      </c>
      <c r="E415" s="59" t="s">
        <v>710</v>
      </c>
      <c r="F415" s="52">
        <v>1</v>
      </c>
    </row>
    <row r="416" spans="1:6" ht="14.25" customHeight="1">
      <c r="A416" s="60" t="s">
        <v>20</v>
      </c>
      <c r="B416" s="61" t="s">
        <v>138</v>
      </c>
      <c r="C416" s="61" t="s">
        <v>210</v>
      </c>
      <c r="D416" s="60" t="s">
        <v>80</v>
      </c>
      <c r="E416" s="61" t="s">
        <v>717</v>
      </c>
      <c r="F416" s="60">
        <v>1</v>
      </c>
    </row>
    <row r="417" spans="1:6" ht="14.25" customHeight="1">
      <c r="A417" s="52" t="s">
        <v>20</v>
      </c>
      <c r="B417" s="59" t="s">
        <v>138</v>
      </c>
      <c r="C417" s="59" t="s">
        <v>273</v>
      </c>
      <c r="D417" s="52" t="s">
        <v>74</v>
      </c>
      <c r="E417" s="59" t="s">
        <v>710</v>
      </c>
      <c r="F417" s="52">
        <v>1</v>
      </c>
    </row>
    <row r="418" spans="1:6" ht="14.25" customHeight="1">
      <c r="A418" s="60" t="s">
        <v>20</v>
      </c>
      <c r="B418" s="61" t="s">
        <v>138</v>
      </c>
      <c r="C418" s="61" t="s">
        <v>273</v>
      </c>
      <c r="D418" s="60" t="s">
        <v>80</v>
      </c>
      <c r="E418" s="61" t="s">
        <v>717</v>
      </c>
      <c r="F418" s="60">
        <v>1</v>
      </c>
    </row>
    <row r="419" spans="1:6" ht="14.25" customHeight="1">
      <c r="A419" s="52" t="s">
        <v>20</v>
      </c>
      <c r="B419" s="59" t="s">
        <v>138</v>
      </c>
      <c r="C419" s="59" t="s">
        <v>281</v>
      </c>
      <c r="D419" s="52" t="s">
        <v>74</v>
      </c>
      <c r="E419" s="59" t="s">
        <v>710</v>
      </c>
      <c r="F419" s="52">
        <v>1</v>
      </c>
    </row>
    <row r="420" spans="1:6" ht="14.25" customHeight="1">
      <c r="A420" s="60" t="s">
        <v>20</v>
      </c>
      <c r="B420" s="61" t="s">
        <v>138</v>
      </c>
      <c r="C420" s="61" t="s">
        <v>281</v>
      </c>
      <c r="D420" s="60" t="s">
        <v>80</v>
      </c>
      <c r="E420" s="61" t="s">
        <v>717</v>
      </c>
      <c r="F420" s="60">
        <v>1</v>
      </c>
    </row>
    <row r="421" spans="1:6" ht="14.25" customHeight="1">
      <c r="A421" s="52" t="s">
        <v>20</v>
      </c>
      <c r="B421" s="59" t="s">
        <v>138</v>
      </c>
      <c r="C421" s="59" t="s">
        <v>284</v>
      </c>
      <c r="D421" s="52" t="s">
        <v>74</v>
      </c>
      <c r="E421" s="59" t="s">
        <v>710</v>
      </c>
      <c r="F421" s="52">
        <v>2</v>
      </c>
    </row>
    <row r="422" spans="1:6" ht="14.25" customHeight="1">
      <c r="A422" s="60" t="s">
        <v>20</v>
      </c>
      <c r="B422" s="61" t="s">
        <v>138</v>
      </c>
      <c r="C422" s="61" t="s">
        <v>284</v>
      </c>
      <c r="D422" s="60" t="s">
        <v>80</v>
      </c>
      <c r="E422" s="61" t="s">
        <v>717</v>
      </c>
      <c r="F422" s="60">
        <v>1</v>
      </c>
    </row>
    <row r="423" spans="1:6" ht="14.25" customHeight="1">
      <c r="A423" s="52" t="s">
        <v>20</v>
      </c>
      <c r="B423" s="59" t="s">
        <v>138</v>
      </c>
      <c r="C423" s="59" t="s">
        <v>388</v>
      </c>
      <c r="D423" s="52" t="s">
        <v>74</v>
      </c>
      <c r="E423" s="59" t="s">
        <v>710</v>
      </c>
      <c r="F423" s="52">
        <v>5</v>
      </c>
    </row>
    <row r="424" spans="1:6" ht="14.25" customHeight="1">
      <c r="A424" s="60" t="s">
        <v>20</v>
      </c>
      <c r="B424" s="61" t="s">
        <v>138</v>
      </c>
      <c r="C424" s="61" t="s">
        <v>388</v>
      </c>
      <c r="D424" s="60" t="s">
        <v>142</v>
      </c>
      <c r="E424" s="61" t="s">
        <v>714</v>
      </c>
      <c r="F424" s="60">
        <v>1</v>
      </c>
    </row>
    <row r="425" spans="1:6" ht="14.25" customHeight="1">
      <c r="A425" s="52" t="s">
        <v>20</v>
      </c>
      <c r="B425" s="59" t="s">
        <v>138</v>
      </c>
      <c r="C425" s="59" t="s">
        <v>388</v>
      </c>
      <c r="D425" s="52" t="s">
        <v>80</v>
      </c>
      <c r="E425" s="59" t="s">
        <v>717</v>
      </c>
      <c r="F425" s="52">
        <v>1</v>
      </c>
    </row>
    <row r="426" spans="1:6" ht="14.25" customHeight="1">
      <c r="A426" s="60" t="s">
        <v>20</v>
      </c>
      <c r="B426" s="61" t="s">
        <v>380</v>
      </c>
      <c r="C426" s="60" t="s">
        <v>375</v>
      </c>
      <c r="D426" s="60" t="s">
        <v>74</v>
      </c>
      <c r="E426" s="61" t="s">
        <v>710</v>
      </c>
      <c r="F426" s="60">
        <v>1</v>
      </c>
    </row>
    <row r="427" spans="1:6" ht="14.25" customHeight="1">
      <c r="A427" s="52" t="s">
        <v>23</v>
      </c>
      <c r="B427" s="52" t="s">
        <v>389</v>
      </c>
      <c r="C427" s="59" t="s">
        <v>390</v>
      </c>
      <c r="D427" s="52" t="s">
        <v>74</v>
      </c>
      <c r="E427" s="59" t="s">
        <v>710</v>
      </c>
      <c r="F427" s="52">
        <v>1</v>
      </c>
    </row>
    <row r="428" spans="1:6" ht="14.25" customHeight="1">
      <c r="A428" s="60" t="s">
        <v>23</v>
      </c>
      <c r="B428" s="60" t="s">
        <v>391</v>
      </c>
      <c r="C428" s="60" t="s">
        <v>392</v>
      </c>
      <c r="D428" s="60" t="s">
        <v>74</v>
      </c>
      <c r="E428" s="61" t="s">
        <v>710</v>
      </c>
      <c r="F428" s="60">
        <v>2</v>
      </c>
    </row>
    <row r="429" spans="1:6" ht="14.25" customHeight="1">
      <c r="A429" s="52" t="s">
        <v>23</v>
      </c>
      <c r="B429" s="52" t="s">
        <v>391</v>
      </c>
      <c r="C429" s="52" t="s">
        <v>392</v>
      </c>
      <c r="D429" s="52" t="s">
        <v>80</v>
      </c>
      <c r="E429" s="59" t="s">
        <v>717</v>
      </c>
      <c r="F429" s="52">
        <v>1</v>
      </c>
    </row>
    <row r="430" spans="1:6" ht="14.25" customHeight="1">
      <c r="A430" s="60" t="s">
        <v>23</v>
      </c>
      <c r="B430" s="60" t="s">
        <v>391</v>
      </c>
      <c r="C430" s="60" t="s">
        <v>392</v>
      </c>
      <c r="D430" s="60" t="s">
        <v>90</v>
      </c>
      <c r="E430" s="61" t="s">
        <v>715</v>
      </c>
      <c r="F430" s="60">
        <v>1</v>
      </c>
    </row>
    <row r="431" spans="1:6" ht="14.25" customHeight="1">
      <c r="A431" s="52" t="s">
        <v>23</v>
      </c>
      <c r="B431" s="52" t="s">
        <v>391</v>
      </c>
      <c r="C431" s="52" t="s">
        <v>393</v>
      </c>
      <c r="D431" s="52" t="s">
        <v>74</v>
      </c>
      <c r="E431" s="59" t="s">
        <v>710</v>
      </c>
      <c r="F431" s="52">
        <v>1</v>
      </c>
    </row>
    <row r="432" spans="1:6" ht="14.25" customHeight="1">
      <c r="A432" s="60" t="s">
        <v>23</v>
      </c>
      <c r="B432" s="60" t="s">
        <v>391</v>
      </c>
      <c r="C432" s="60" t="s">
        <v>393</v>
      </c>
      <c r="D432" s="60" t="s">
        <v>80</v>
      </c>
      <c r="E432" s="61" t="s">
        <v>717</v>
      </c>
      <c r="F432" s="60">
        <v>1</v>
      </c>
    </row>
    <row r="433" spans="1:6" ht="14.25" customHeight="1">
      <c r="A433" s="52" t="s">
        <v>23</v>
      </c>
      <c r="B433" s="52" t="s">
        <v>391</v>
      </c>
      <c r="C433" s="52" t="s">
        <v>393</v>
      </c>
      <c r="D433" s="52" t="s">
        <v>118</v>
      </c>
      <c r="E433" s="59" t="s">
        <v>718</v>
      </c>
      <c r="F433" s="52">
        <v>1</v>
      </c>
    </row>
    <row r="434" spans="1:6" ht="14.25" customHeight="1">
      <c r="A434" s="60" t="s">
        <v>23</v>
      </c>
      <c r="B434" s="60" t="s">
        <v>391</v>
      </c>
      <c r="C434" s="60" t="s">
        <v>394</v>
      </c>
      <c r="D434" s="60" t="s">
        <v>74</v>
      </c>
      <c r="E434" s="61" t="s">
        <v>710</v>
      </c>
      <c r="F434" s="60">
        <v>1</v>
      </c>
    </row>
    <row r="435" spans="1:6" ht="14.25" customHeight="1">
      <c r="A435" s="52" t="s">
        <v>23</v>
      </c>
      <c r="B435" s="52" t="s">
        <v>391</v>
      </c>
      <c r="C435" s="52" t="s">
        <v>394</v>
      </c>
      <c r="D435" s="52" t="s">
        <v>80</v>
      </c>
      <c r="E435" s="59" t="s">
        <v>717</v>
      </c>
      <c r="F435" s="52">
        <v>1</v>
      </c>
    </row>
    <row r="436" spans="1:6" ht="14.25" customHeight="1">
      <c r="A436" s="60" t="s">
        <v>23</v>
      </c>
      <c r="B436" s="60" t="s">
        <v>391</v>
      </c>
      <c r="C436" s="60" t="s">
        <v>394</v>
      </c>
      <c r="D436" s="60" t="s">
        <v>118</v>
      </c>
      <c r="E436" s="61" t="s">
        <v>718</v>
      </c>
      <c r="F436" s="60">
        <v>1</v>
      </c>
    </row>
    <row r="437" spans="1:6" ht="14.25" customHeight="1">
      <c r="A437" s="52" t="s">
        <v>23</v>
      </c>
      <c r="B437" s="52" t="s">
        <v>391</v>
      </c>
      <c r="C437" s="52" t="s">
        <v>395</v>
      </c>
      <c r="D437" s="52" t="s">
        <v>74</v>
      </c>
      <c r="E437" s="59" t="s">
        <v>710</v>
      </c>
      <c r="F437" s="52">
        <v>1</v>
      </c>
    </row>
    <row r="438" spans="1:6" ht="14.25" customHeight="1">
      <c r="A438" s="60" t="s">
        <v>23</v>
      </c>
      <c r="B438" s="60" t="s">
        <v>391</v>
      </c>
      <c r="C438" s="60" t="s">
        <v>395</v>
      </c>
      <c r="D438" s="60" t="s">
        <v>80</v>
      </c>
      <c r="E438" s="61" t="s">
        <v>717</v>
      </c>
      <c r="F438" s="60">
        <v>1</v>
      </c>
    </row>
    <row r="439" spans="1:6" ht="14.25" customHeight="1">
      <c r="A439" s="52" t="s">
        <v>23</v>
      </c>
      <c r="B439" s="52" t="s">
        <v>391</v>
      </c>
      <c r="C439" s="52" t="s">
        <v>395</v>
      </c>
      <c r="D439" s="52" t="s">
        <v>118</v>
      </c>
      <c r="E439" s="59" t="s">
        <v>718</v>
      </c>
      <c r="F439" s="52">
        <v>1</v>
      </c>
    </row>
    <row r="440" spans="1:6" ht="14.25" customHeight="1">
      <c r="A440" s="60" t="s">
        <v>23</v>
      </c>
      <c r="B440" s="60" t="s">
        <v>391</v>
      </c>
      <c r="C440" s="60" t="s">
        <v>396</v>
      </c>
      <c r="D440" s="60" t="s">
        <v>74</v>
      </c>
      <c r="E440" s="61" t="s">
        <v>710</v>
      </c>
      <c r="F440" s="60">
        <v>1</v>
      </c>
    </row>
    <row r="441" spans="1:6" ht="14.25" customHeight="1">
      <c r="A441" s="52" t="s">
        <v>23</v>
      </c>
      <c r="B441" s="52" t="s">
        <v>391</v>
      </c>
      <c r="C441" s="52" t="s">
        <v>396</v>
      </c>
      <c r="D441" s="52" t="s">
        <v>80</v>
      </c>
      <c r="E441" s="59" t="s">
        <v>717</v>
      </c>
      <c r="F441" s="52">
        <v>2</v>
      </c>
    </row>
    <row r="442" spans="1:6" ht="14.25" customHeight="1">
      <c r="A442" s="60" t="s">
        <v>23</v>
      </c>
      <c r="B442" s="60" t="s">
        <v>391</v>
      </c>
      <c r="C442" s="60" t="s">
        <v>396</v>
      </c>
      <c r="D442" s="60" t="s">
        <v>118</v>
      </c>
      <c r="E442" s="61" t="s">
        <v>718</v>
      </c>
      <c r="F442" s="60">
        <v>1</v>
      </c>
    </row>
    <row r="443" spans="1:6" ht="14.25" customHeight="1">
      <c r="A443" s="52" t="s">
        <v>23</v>
      </c>
      <c r="B443" s="52" t="s">
        <v>391</v>
      </c>
      <c r="C443" s="52" t="s">
        <v>397</v>
      </c>
      <c r="D443" s="52" t="s">
        <v>74</v>
      </c>
      <c r="E443" s="59" t="s">
        <v>710</v>
      </c>
      <c r="F443" s="52">
        <v>1</v>
      </c>
    </row>
    <row r="444" spans="1:6" ht="14.25" customHeight="1">
      <c r="A444" s="60" t="s">
        <v>23</v>
      </c>
      <c r="B444" s="60" t="s">
        <v>391</v>
      </c>
      <c r="C444" s="60" t="s">
        <v>397</v>
      </c>
      <c r="D444" s="60" t="s">
        <v>80</v>
      </c>
      <c r="E444" s="61" t="s">
        <v>717</v>
      </c>
      <c r="F444" s="60">
        <v>1</v>
      </c>
    </row>
    <row r="445" spans="1:6" ht="14.25" customHeight="1">
      <c r="A445" s="52" t="s">
        <v>23</v>
      </c>
      <c r="B445" s="52" t="s">
        <v>391</v>
      </c>
      <c r="C445" s="52" t="s">
        <v>398</v>
      </c>
      <c r="D445" s="52" t="s">
        <v>74</v>
      </c>
      <c r="E445" s="59" t="s">
        <v>710</v>
      </c>
      <c r="F445" s="52">
        <v>1</v>
      </c>
    </row>
    <row r="446" spans="1:6" ht="14.25" customHeight="1">
      <c r="A446" s="60" t="s">
        <v>23</v>
      </c>
      <c r="B446" s="60" t="s">
        <v>391</v>
      </c>
      <c r="C446" s="60" t="s">
        <v>398</v>
      </c>
      <c r="D446" s="60" t="s">
        <v>80</v>
      </c>
      <c r="E446" s="61" t="s">
        <v>717</v>
      </c>
      <c r="F446" s="60">
        <v>1</v>
      </c>
    </row>
    <row r="447" spans="1:6" ht="14.25" customHeight="1">
      <c r="A447" s="52" t="s">
        <v>23</v>
      </c>
      <c r="B447" s="52" t="s">
        <v>391</v>
      </c>
      <c r="C447" s="52" t="s">
        <v>399</v>
      </c>
      <c r="D447" s="52" t="s">
        <v>74</v>
      </c>
      <c r="E447" s="59" t="s">
        <v>710</v>
      </c>
      <c r="F447" s="52">
        <v>1</v>
      </c>
    </row>
    <row r="448" spans="1:6" ht="14.25" customHeight="1">
      <c r="A448" s="60" t="s">
        <v>23</v>
      </c>
      <c r="B448" s="60" t="s">
        <v>391</v>
      </c>
      <c r="C448" s="60" t="s">
        <v>399</v>
      </c>
      <c r="D448" s="60" t="s">
        <v>80</v>
      </c>
      <c r="E448" s="61" t="s">
        <v>717</v>
      </c>
      <c r="F448" s="60">
        <v>1</v>
      </c>
    </row>
    <row r="449" spans="1:6" ht="14.25" customHeight="1">
      <c r="A449" s="52" t="s">
        <v>23</v>
      </c>
      <c r="B449" s="52" t="s">
        <v>391</v>
      </c>
      <c r="C449" s="52" t="s">
        <v>400</v>
      </c>
      <c r="D449" s="52" t="s">
        <v>74</v>
      </c>
      <c r="E449" s="59" t="s">
        <v>710</v>
      </c>
      <c r="F449" s="52">
        <v>1</v>
      </c>
    </row>
    <row r="450" spans="1:6" ht="14.25" customHeight="1">
      <c r="A450" s="60" t="s">
        <v>23</v>
      </c>
      <c r="B450" s="60" t="s">
        <v>391</v>
      </c>
      <c r="C450" s="60" t="s">
        <v>400</v>
      </c>
      <c r="D450" s="60" t="s">
        <v>80</v>
      </c>
      <c r="E450" s="61" t="s">
        <v>717</v>
      </c>
      <c r="F450" s="60">
        <v>1</v>
      </c>
    </row>
    <row r="451" spans="1:6" ht="14.25" customHeight="1">
      <c r="A451" s="52" t="s">
        <v>23</v>
      </c>
      <c r="B451" s="52" t="s">
        <v>391</v>
      </c>
      <c r="C451" s="52" t="s">
        <v>401</v>
      </c>
      <c r="D451" s="52" t="s">
        <v>74</v>
      </c>
      <c r="E451" s="59" t="s">
        <v>710</v>
      </c>
      <c r="F451" s="52">
        <v>1</v>
      </c>
    </row>
    <row r="452" spans="1:6" ht="14.25" customHeight="1">
      <c r="A452" s="60" t="s">
        <v>23</v>
      </c>
      <c r="B452" s="60" t="s">
        <v>391</v>
      </c>
      <c r="C452" s="60" t="s">
        <v>401</v>
      </c>
      <c r="D452" s="60" t="s">
        <v>80</v>
      </c>
      <c r="E452" s="61" t="s">
        <v>717</v>
      </c>
      <c r="F452" s="60">
        <v>1</v>
      </c>
    </row>
    <row r="453" spans="1:6" ht="14.25" customHeight="1">
      <c r="A453" s="52" t="s">
        <v>23</v>
      </c>
      <c r="B453" s="52" t="s">
        <v>391</v>
      </c>
      <c r="C453" s="52" t="s">
        <v>402</v>
      </c>
      <c r="D453" s="52" t="s">
        <v>74</v>
      </c>
      <c r="E453" s="59" t="s">
        <v>710</v>
      </c>
      <c r="F453" s="52">
        <v>1</v>
      </c>
    </row>
    <row r="454" spans="1:6" ht="14.25" customHeight="1">
      <c r="A454" s="60" t="s">
        <v>23</v>
      </c>
      <c r="B454" s="60" t="s">
        <v>391</v>
      </c>
      <c r="C454" s="60" t="s">
        <v>402</v>
      </c>
      <c r="D454" s="60" t="s">
        <v>80</v>
      </c>
      <c r="E454" s="61" t="s">
        <v>717</v>
      </c>
      <c r="F454" s="60">
        <v>1</v>
      </c>
    </row>
    <row r="455" spans="1:6" ht="14.25" customHeight="1">
      <c r="A455" s="52" t="s">
        <v>23</v>
      </c>
      <c r="B455" s="52" t="s">
        <v>391</v>
      </c>
      <c r="C455" s="52" t="s">
        <v>403</v>
      </c>
      <c r="D455" s="52" t="s">
        <v>74</v>
      </c>
      <c r="E455" s="59" t="s">
        <v>710</v>
      </c>
      <c r="F455" s="52">
        <v>2</v>
      </c>
    </row>
    <row r="456" spans="1:6" ht="14.25" customHeight="1">
      <c r="A456" s="60" t="s">
        <v>23</v>
      </c>
      <c r="B456" s="60" t="s">
        <v>391</v>
      </c>
      <c r="C456" s="60" t="s">
        <v>403</v>
      </c>
      <c r="D456" s="60" t="s">
        <v>80</v>
      </c>
      <c r="E456" s="61" t="s">
        <v>717</v>
      </c>
      <c r="F456" s="60">
        <v>1</v>
      </c>
    </row>
    <row r="457" spans="1:6" ht="14.25" customHeight="1">
      <c r="A457" s="52" t="s">
        <v>23</v>
      </c>
      <c r="B457" s="52" t="s">
        <v>391</v>
      </c>
      <c r="C457" s="52" t="s">
        <v>403</v>
      </c>
      <c r="D457" s="52" t="s">
        <v>80</v>
      </c>
      <c r="E457" s="59" t="s">
        <v>717</v>
      </c>
      <c r="F457" s="52">
        <v>1</v>
      </c>
    </row>
    <row r="458" spans="1:6" ht="14.25" customHeight="1">
      <c r="A458" s="60" t="s">
        <v>23</v>
      </c>
      <c r="B458" s="60" t="s">
        <v>391</v>
      </c>
      <c r="C458" s="60" t="s">
        <v>403</v>
      </c>
      <c r="D458" s="60" t="s">
        <v>118</v>
      </c>
      <c r="E458" s="61" t="s">
        <v>718</v>
      </c>
      <c r="F458" s="60">
        <v>1</v>
      </c>
    </row>
    <row r="459" spans="1:6" ht="14.25" customHeight="1">
      <c r="A459" s="52" t="s">
        <v>23</v>
      </c>
      <c r="B459" s="52" t="s">
        <v>391</v>
      </c>
      <c r="C459" s="52" t="s">
        <v>404</v>
      </c>
      <c r="D459" s="52" t="s">
        <v>74</v>
      </c>
      <c r="E459" s="59" t="s">
        <v>710</v>
      </c>
      <c r="F459" s="52">
        <v>1</v>
      </c>
    </row>
    <row r="460" spans="1:6" ht="14.25" customHeight="1">
      <c r="A460" s="60" t="s">
        <v>23</v>
      </c>
      <c r="B460" s="60" t="s">
        <v>391</v>
      </c>
      <c r="C460" s="60" t="s">
        <v>404</v>
      </c>
      <c r="D460" s="60" t="s">
        <v>80</v>
      </c>
      <c r="E460" s="61" t="s">
        <v>717</v>
      </c>
      <c r="F460" s="60">
        <v>1</v>
      </c>
    </row>
    <row r="461" spans="1:6" ht="14.25" customHeight="1">
      <c r="A461" s="52" t="s">
        <v>23</v>
      </c>
      <c r="B461" s="52" t="s">
        <v>405</v>
      </c>
      <c r="C461" s="52" t="s">
        <v>406</v>
      </c>
      <c r="D461" s="52" t="s">
        <v>74</v>
      </c>
      <c r="E461" s="59" t="s">
        <v>710</v>
      </c>
      <c r="F461" s="52">
        <v>2</v>
      </c>
    </row>
    <row r="462" spans="1:6" ht="14.25" customHeight="1">
      <c r="A462" s="60" t="s">
        <v>23</v>
      </c>
      <c r="B462" s="60" t="s">
        <v>405</v>
      </c>
      <c r="C462" s="60" t="s">
        <v>406</v>
      </c>
      <c r="D462" s="60" t="s">
        <v>80</v>
      </c>
      <c r="E462" s="61" t="s">
        <v>717</v>
      </c>
      <c r="F462" s="60">
        <v>1</v>
      </c>
    </row>
    <row r="463" spans="1:6" ht="14.25" customHeight="1">
      <c r="A463" s="52" t="s">
        <v>23</v>
      </c>
      <c r="B463" s="52" t="s">
        <v>405</v>
      </c>
      <c r="C463" s="52" t="s">
        <v>406</v>
      </c>
      <c r="D463" s="52" t="s">
        <v>118</v>
      </c>
      <c r="E463" s="59" t="s">
        <v>718</v>
      </c>
      <c r="F463" s="52">
        <v>1</v>
      </c>
    </row>
    <row r="464" spans="1:6" ht="14.25" customHeight="1">
      <c r="A464" s="60" t="s">
        <v>23</v>
      </c>
      <c r="B464" s="60" t="s">
        <v>405</v>
      </c>
      <c r="C464" s="60" t="s">
        <v>407</v>
      </c>
      <c r="D464" s="60" t="s">
        <v>74</v>
      </c>
      <c r="E464" s="61" t="s">
        <v>710</v>
      </c>
      <c r="F464" s="60">
        <v>1</v>
      </c>
    </row>
    <row r="465" spans="1:6" ht="14.25" customHeight="1">
      <c r="A465" s="52" t="s">
        <v>23</v>
      </c>
      <c r="B465" s="52" t="s">
        <v>405</v>
      </c>
      <c r="C465" s="52" t="s">
        <v>407</v>
      </c>
      <c r="D465" s="52" t="s">
        <v>80</v>
      </c>
      <c r="E465" s="59" t="s">
        <v>717</v>
      </c>
      <c r="F465" s="52">
        <v>1</v>
      </c>
    </row>
    <row r="466" spans="1:6" ht="14.25" customHeight="1">
      <c r="A466" s="60" t="s">
        <v>23</v>
      </c>
      <c r="B466" s="60" t="s">
        <v>405</v>
      </c>
      <c r="C466" s="60" t="s">
        <v>407</v>
      </c>
      <c r="D466" s="60" t="s">
        <v>118</v>
      </c>
      <c r="E466" s="61" t="s">
        <v>718</v>
      </c>
      <c r="F466" s="60">
        <v>1</v>
      </c>
    </row>
    <row r="467" spans="1:6" ht="14.25" customHeight="1">
      <c r="A467" s="52" t="s">
        <v>23</v>
      </c>
      <c r="B467" s="52" t="s">
        <v>405</v>
      </c>
      <c r="C467" s="52" t="s">
        <v>408</v>
      </c>
      <c r="D467" s="52" t="s">
        <v>74</v>
      </c>
      <c r="E467" s="59" t="s">
        <v>710</v>
      </c>
      <c r="F467" s="52">
        <v>1</v>
      </c>
    </row>
    <row r="468" spans="1:6" ht="14.25" customHeight="1">
      <c r="A468" s="60" t="s">
        <v>23</v>
      </c>
      <c r="B468" s="60" t="s">
        <v>405</v>
      </c>
      <c r="C468" s="60" t="s">
        <v>408</v>
      </c>
      <c r="D468" s="60" t="s">
        <v>80</v>
      </c>
      <c r="E468" s="61" t="s">
        <v>717</v>
      </c>
      <c r="F468" s="60">
        <v>1</v>
      </c>
    </row>
    <row r="469" spans="1:6" ht="14.25" customHeight="1">
      <c r="A469" s="52" t="s">
        <v>23</v>
      </c>
      <c r="B469" s="52" t="s">
        <v>405</v>
      </c>
      <c r="C469" s="52" t="s">
        <v>408</v>
      </c>
      <c r="D469" s="52" t="s">
        <v>118</v>
      </c>
      <c r="E469" s="59" t="s">
        <v>718</v>
      </c>
      <c r="F469" s="52">
        <v>1</v>
      </c>
    </row>
    <row r="470" spans="1:6" ht="14.25" customHeight="1">
      <c r="A470" s="60" t="s">
        <v>23</v>
      </c>
      <c r="B470" s="60" t="s">
        <v>405</v>
      </c>
      <c r="C470" s="60" t="s">
        <v>409</v>
      </c>
      <c r="D470" s="60" t="s">
        <v>74</v>
      </c>
      <c r="E470" s="61" t="s">
        <v>710</v>
      </c>
      <c r="F470" s="60">
        <v>1</v>
      </c>
    </row>
    <row r="471" spans="1:6" ht="14.25" customHeight="1">
      <c r="A471" s="52" t="s">
        <v>23</v>
      </c>
      <c r="B471" s="52" t="s">
        <v>405</v>
      </c>
      <c r="C471" s="52" t="s">
        <v>409</v>
      </c>
      <c r="D471" s="52" t="s">
        <v>80</v>
      </c>
      <c r="E471" s="59" t="s">
        <v>717</v>
      </c>
      <c r="F471" s="52">
        <v>1</v>
      </c>
    </row>
    <row r="472" spans="1:6" ht="14.25" customHeight="1">
      <c r="A472" s="60" t="s">
        <v>23</v>
      </c>
      <c r="B472" s="60" t="s">
        <v>405</v>
      </c>
      <c r="C472" s="60" t="s">
        <v>410</v>
      </c>
      <c r="D472" s="60" t="s">
        <v>74</v>
      </c>
      <c r="E472" s="61" t="s">
        <v>710</v>
      </c>
      <c r="F472" s="60">
        <v>1</v>
      </c>
    </row>
    <row r="473" spans="1:6" ht="14.25" customHeight="1">
      <c r="A473" s="52" t="s">
        <v>23</v>
      </c>
      <c r="B473" s="52" t="s">
        <v>405</v>
      </c>
      <c r="C473" s="52" t="s">
        <v>410</v>
      </c>
      <c r="D473" s="52" t="s">
        <v>80</v>
      </c>
      <c r="E473" s="59" t="s">
        <v>717</v>
      </c>
      <c r="F473" s="52">
        <v>1</v>
      </c>
    </row>
    <row r="474" spans="1:6" ht="14.25" customHeight="1">
      <c r="A474" s="60" t="s">
        <v>23</v>
      </c>
      <c r="B474" s="60" t="s">
        <v>405</v>
      </c>
      <c r="C474" s="60" t="s">
        <v>411</v>
      </c>
      <c r="D474" s="60" t="s">
        <v>74</v>
      </c>
      <c r="E474" s="61" t="s">
        <v>710</v>
      </c>
      <c r="F474" s="60">
        <v>1</v>
      </c>
    </row>
    <row r="475" spans="1:6" ht="14.25" customHeight="1">
      <c r="A475" s="52" t="s">
        <v>23</v>
      </c>
      <c r="B475" s="52" t="s">
        <v>405</v>
      </c>
      <c r="C475" s="52" t="s">
        <v>411</v>
      </c>
      <c r="D475" s="52" t="s">
        <v>80</v>
      </c>
      <c r="E475" s="59" t="s">
        <v>717</v>
      </c>
      <c r="F475" s="52">
        <v>1</v>
      </c>
    </row>
    <row r="476" spans="1:6" ht="14.25" customHeight="1">
      <c r="A476" s="60" t="s">
        <v>23</v>
      </c>
      <c r="B476" s="60" t="s">
        <v>405</v>
      </c>
      <c r="C476" s="60" t="s">
        <v>412</v>
      </c>
      <c r="D476" s="60" t="s">
        <v>74</v>
      </c>
      <c r="E476" s="61" t="s">
        <v>710</v>
      </c>
      <c r="F476" s="60">
        <v>1</v>
      </c>
    </row>
    <row r="477" spans="1:6" ht="14.25" customHeight="1">
      <c r="A477" s="52" t="s">
        <v>23</v>
      </c>
      <c r="B477" s="52" t="s">
        <v>405</v>
      </c>
      <c r="C477" s="52" t="s">
        <v>412</v>
      </c>
      <c r="D477" s="52" t="s">
        <v>80</v>
      </c>
      <c r="E477" s="59" t="s">
        <v>717</v>
      </c>
      <c r="F477" s="52">
        <v>1</v>
      </c>
    </row>
    <row r="478" spans="1:6" ht="14.25" customHeight="1">
      <c r="A478" s="60" t="s">
        <v>23</v>
      </c>
      <c r="B478" s="60" t="s">
        <v>405</v>
      </c>
      <c r="C478" s="60" t="s">
        <v>413</v>
      </c>
      <c r="D478" s="60" t="s">
        <v>74</v>
      </c>
      <c r="E478" s="61" t="s">
        <v>710</v>
      </c>
      <c r="F478" s="60">
        <v>1</v>
      </c>
    </row>
    <row r="479" spans="1:6" ht="14.25" customHeight="1">
      <c r="A479" s="52" t="s">
        <v>23</v>
      </c>
      <c r="B479" s="52" t="s">
        <v>405</v>
      </c>
      <c r="C479" s="52" t="s">
        <v>413</v>
      </c>
      <c r="D479" s="52" t="s">
        <v>80</v>
      </c>
      <c r="E479" s="59" t="s">
        <v>717</v>
      </c>
      <c r="F479" s="52">
        <v>1</v>
      </c>
    </row>
    <row r="480" spans="1:6" ht="14.25" customHeight="1">
      <c r="A480" s="60" t="s">
        <v>23</v>
      </c>
      <c r="B480" s="60" t="s">
        <v>405</v>
      </c>
      <c r="C480" s="60" t="s">
        <v>413</v>
      </c>
      <c r="D480" s="60" t="s">
        <v>118</v>
      </c>
      <c r="E480" s="61" t="s">
        <v>718</v>
      </c>
      <c r="F480" s="60">
        <v>1</v>
      </c>
    </row>
    <row r="481" spans="1:6" ht="14.25" customHeight="1">
      <c r="A481" s="52" t="s">
        <v>23</v>
      </c>
      <c r="B481" s="52" t="s">
        <v>405</v>
      </c>
      <c r="C481" s="52" t="s">
        <v>414</v>
      </c>
      <c r="D481" s="52" t="s">
        <v>74</v>
      </c>
      <c r="E481" s="59" t="s">
        <v>710</v>
      </c>
      <c r="F481" s="52">
        <v>1</v>
      </c>
    </row>
    <row r="482" spans="1:6" ht="14.25" customHeight="1">
      <c r="A482" s="60" t="s">
        <v>23</v>
      </c>
      <c r="B482" s="60" t="s">
        <v>405</v>
      </c>
      <c r="C482" s="60" t="s">
        <v>414</v>
      </c>
      <c r="D482" s="60" t="s">
        <v>80</v>
      </c>
      <c r="E482" s="61" t="s">
        <v>717</v>
      </c>
      <c r="F482" s="60">
        <v>1</v>
      </c>
    </row>
    <row r="483" spans="1:6" ht="14.25" customHeight="1">
      <c r="A483" s="52" t="s">
        <v>23</v>
      </c>
      <c r="B483" s="52" t="s">
        <v>415</v>
      </c>
      <c r="C483" s="52" t="s">
        <v>416</v>
      </c>
      <c r="D483" s="52" t="s">
        <v>74</v>
      </c>
      <c r="E483" s="59" t="s">
        <v>710</v>
      </c>
      <c r="F483" s="52">
        <v>2</v>
      </c>
    </row>
    <row r="484" spans="1:6" ht="14.25" customHeight="1">
      <c r="A484" s="60" t="s">
        <v>23</v>
      </c>
      <c r="B484" s="60" t="s">
        <v>415</v>
      </c>
      <c r="C484" s="60" t="s">
        <v>416</v>
      </c>
      <c r="D484" s="60" t="s">
        <v>80</v>
      </c>
      <c r="E484" s="61" t="s">
        <v>717</v>
      </c>
      <c r="F484" s="60">
        <v>1</v>
      </c>
    </row>
    <row r="485" spans="1:6" ht="14.25" customHeight="1">
      <c r="A485" s="52" t="s">
        <v>23</v>
      </c>
      <c r="B485" s="52" t="s">
        <v>415</v>
      </c>
      <c r="C485" s="52" t="s">
        <v>416</v>
      </c>
      <c r="D485" s="52" t="s">
        <v>118</v>
      </c>
      <c r="E485" s="59" t="s">
        <v>718</v>
      </c>
      <c r="F485" s="52">
        <v>1</v>
      </c>
    </row>
    <row r="486" spans="1:6" ht="14.25" customHeight="1">
      <c r="A486" s="60" t="s">
        <v>23</v>
      </c>
      <c r="B486" s="60" t="s">
        <v>415</v>
      </c>
      <c r="C486" s="60" t="s">
        <v>417</v>
      </c>
      <c r="D486" s="60" t="s">
        <v>74</v>
      </c>
      <c r="E486" s="61" t="s">
        <v>710</v>
      </c>
      <c r="F486" s="60">
        <v>1</v>
      </c>
    </row>
    <row r="487" spans="1:6" ht="14.25" customHeight="1">
      <c r="A487" s="52" t="s">
        <v>23</v>
      </c>
      <c r="B487" s="52" t="s">
        <v>415</v>
      </c>
      <c r="C487" s="52" t="s">
        <v>417</v>
      </c>
      <c r="D487" s="52" t="s">
        <v>80</v>
      </c>
      <c r="E487" s="59" t="s">
        <v>717</v>
      </c>
      <c r="F487" s="52">
        <v>1</v>
      </c>
    </row>
    <row r="488" spans="1:6" ht="14.25" customHeight="1">
      <c r="A488" s="60" t="s">
        <v>23</v>
      </c>
      <c r="B488" s="60" t="s">
        <v>415</v>
      </c>
      <c r="C488" s="60" t="s">
        <v>417</v>
      </c>
      <c r="D488" s="60" t="s">
        <v>90</v>
      </c>
      <c r="E488" s="61" t="s">
        <v>715</v>
      </c>
      <c r="F488" s="60">
        <v>1</v>
      </c>
    </row>
    <row r="489" spans="1:6" ht="14.25" customHeight="1">
      <c r="A489" s="52" t="s">
        <v>23</v>
      </c>
      <c r="B489" s="52" t="s">
        <v>415</v>
      </c>
      <c r="C489" s="52" t="s">
        <v>418</v>
      </c>
      <c r="D489" s="52" t="s">
        <v>74</v>
      </c>
      <c r="E489" s="59" t="s">
        <v>710</v>
      </c>
      <c r="F489" s="52">
        <v>1</v>
      </c>
    </row>
    <row r="490" spans="1:6" ht="14.25" customHeight="1">
      <c r="A490" s="60" t="s">
        <v>23</v>
      </c>
      <c r="B490" s="60" t="s">
        <v>415</v>
      </c>
      <c r="C490" s="60" t="s">
        <v>419</v>
      </c>
      <c r="D490" s="60" t="s">
        <v>74</v>
      </c>
      <c r="E490" s="61" t="s">
        <v>710</v>
      </c>
      <c r="F490" s="60">
        <v>1</v>
      </c>
    </row>
    <row r="491" spans="1:6" ht="14.25" customHeight="1">
      <c r="A491" s="52" t="s">
        <v>23</v>
      </c>
      <c r="B491" s="52" t="s">
        <v>415</v>
      </c>
      <c r="C491" s="52" t="s">
        <v>419</v>
      </c>
      <c r="D491" s="52" t="s">
        <v>80</v>
      </c>
      <c r="E491" s="59" t="s">
        <v>717</v>
      </c>
      <c r="F491" s="52">
        <v>1</v>
      </c>
    </row>
    <row r="492" spans="1:6" ht="14.25" customHeight="1">
      <c r="A492" s="60" t="s">
        <v>23</v>
      </c>
      <c r="B492" s="60" t="s">
        <v>415</v>
      </c>
      <c r="C492" s="60" t="s">
        <v>420</v>
      </c>
      <c r="D492" s="60" t="s">
        <v>74</v>
      </c>
      <c r="E492" s="61" t="s">
        <v>710</v>
      </c>
      <c r="F492" s="60">
        <v>1</v>
      </c>
    </row>
    <row r="493" spans="1:6" ht="14.25" customHeight="1">
      <c r="A493" s="52" t="s">
        <v>23</v>
      </c>
      <c r="B493" s="52" t="s">
        <v>415</v>
      </c>
      <c r="C493" s="52" t="s">
        <v>420</v>
      </c>
      <c r="D493" s="52" t="s">
        <v>80</v>
      </c>
      <c r="E493" s="59" t="s">
        <v>717</v>
      </c>
      <c r="F493" s="52">
        <v>1</v>
      </c>
    </row>
    <row r="494" spans="1:6" ht="14.25" customHeight="1">
      <c r="A494" s="60" t="s">
        <v>23</v>
      </c>
      <c r="B494" s="60" t="s">
        <v>415</v>
      </c>
      <c r="C494" s="60" t="s">
        <v>420</v>
      </c>
      <c r="D494" s="60" t="s">
        <v>90</v>
      </c>
      <c r="E494" s="61" t="s">
        <v>715</v>
      </c>
      <c r="F494" s="60">
        <v>1</v>
      </c>
    </row>
    <row r="495" spans="1:6" ht="14.25" customHeight="1">
      <c r="A495" s="52" t="s">
        <v>23</v>
      </c>
      <c r="B495" s="52" t="s">
        <v>415</v>
      </c>
      <c r="C495" s="52" t="s">
        <v>421</v>
      </c>
      <c r="D495" s="52" t="s">
        <v>74</v>
      </c>
      <c r="E495" s="59" t="s">
        <v>710</v>
      </c>
      <c r="F495" s="52">
        <v>1</v>
      </c>
    </row>
    <row r="496" spans="1:6" ht="14.25" customHeight="1">
      <c r="A496" s="60" t="s">
        <v>23</v>
      </c>
      <c r="B496" s="60" t="s">
        <v>415</v>
      </c>
      <c r="C496" s="60" t="s">
        <v>421</v>
      </c>
      <c r="D496" s="60" t="s">
        <v>80</v>
      </c>
      <c r="E496" s="61" t="s">
        <v>717</v>
      </c>
      <c r="F496" s="60">
        <v>1</v>
      </c>
    </row>
    <row r="497" spans="1:6" ht="14.25" customHeight="1">
      <c r="A497" s="52" t="s">
        <v>23</v>
      </c>
      <c r="B497" s="52" t="s">
        <v>415</v>
      </c>
      <c r="C497" s="52" t="s">
        <v>421</v>
      </c>
      <c r="D497" s="52" t="s">
        <v>90</v>
      </c>
      <c r="E497" s="59" t="s">
        <v>715</v>
      </c>
      <c r="F497" s="52">
        <v>1</v>
      </c>
    </row>
    <row r="498" spans="1:6" ht="14.25" customHeight="1">
      <c r="A498" s="60" t="s">
        <v>23</v>
      </c>
      <c r="B498" s="60" t="s">
        <v>415</v>
      </c>
      <c r="C498" s="60" t="s">
        <v>422</v>
      </c>
      <c r="D498" s="60" t="s">
        <v>74</v>
      </c>
      <c r="E498" s="61" t="s">
        <v>710</v>
      </c>
      <c r="F498" s="60">
        <v>1</v>
      </c>
    </row>
    <row r="499" spans="1:6" ht="14.25" customHeight="1">
      <c r="A499" s="52" t="s">
        <v>23</v>
      </c>
      <c r="B499" s="52" t="s">
        <v>415</v>
      </c>
      <c r="C499" s="52" t="s">
        <v>423</v>
      </c>
      <c r="D499" s="52" t="s">
        <v>74</v>
      </c>
      <c r="E499" s="59" t="s">
        <v>710</v>
      </c>
      <c r="F499" s="52">
        <v>1</v>
      </c>
    </row>
    <row r="500" spans="1:6" ht="14.25" customHeight="1">
      <c r="A500" s="60" t="s">
        <v>23</v>
      </c>
      <c r="B500" s="60" t="s">
        <v>415</v>
      </c>
      <c r="C500" s="60" t="s">
        <v>423</v>
      </c>
      <c r="D500" s="60" t="s">
        <v>80</v>
      </c>
      <c r="E500" s="61" t="s">
        <v>717</v>
      </c>
      <c r="F500" s="60">
        <v>1</v>
      </c>
    </row>
    <row r="501" spans="1:6" ht="14.25" customHeight="1">
      <c r="A501" s="52" t="s">
        <v>23</v>
      </c>
      <c r="B501" s="52" t="s">
        <v>415</v>
      </c>
      <c r="C501" s="52" t="s">
        <v>424</v>
      </c>
      <c r="D501" s="52" t="s">
        <v>74</v>
      </c>
      <c r="E501" s="59" t="s">
        <v>710</v>
      </c>
      <c r="F501" s="52">
        <v>2</v>
      </c>
    </row>
    <row r="502" spans="1:6" ht="14.25" customHeight="1">
      <c r="A502" s="60" t="s">
        <v>23</v>
      </c>
      <c r="B502" s="60" t="s">
        <v>415</v>
      </c>
      <c r="C502" s="60" t="s">
        <v>424</v>
      </c>
      <c r="D502" s="60" t="s">
        <v>80</v>
      </c>
      <c r="E502" s="61" t="s">
        <v>717</v>
      </c>
      <c r="F502" s="60">
        <v>1</v>
      </c>
    </row>
    <row r="503" spans="1:6" ht="14.25" customHeight="1">
      <c r="A503" s="52" t="s">
        <v>23</v>
      </c>
      <c r="B503" s="52" t="s">
        <v>415</v>
      </c>
      <c r="C503" s="52" t="s">
        <v>424</v>
      </c>
      <c r="D503" s="52" t="s">
        <v>90</v>
      </c>
      <c r="E503" s="59" t="s">
        <v>715</v>
      </c>
      <c r="F503" s="52">
        <v>1</v>
      </c>
    </row>
    <row r="504" spans="1:6" ht="14.25" customHeight="1">
      <c r="A504" s="60" t="s">
        <v>23</v>
      </c>
      <c r="B504" s="60" t="s">
        <v>415</v>
      </c>
      <c r="C504" s="60" t="s">
        <v>425</v>
      </c>
      <c r="D504" s="60" t="s">
        <v>74</v>
      </c>
      <c r="E504" s="61" t="s">
        <v>710</v>
      </c>
      <c r="F504" s="60">
        <v>1</v>
      </c>
    </row>
    <row r="505" spans="1:6" ht="14.25" customHeight="1">
      <c r="A505" s="52" t="s">
        <v>23</v>
      </c>
      <c r="B505" s="52" t="s">
        <v>415</v>
      </c>
      <c r="C505" s="52" t="s">
        <v>425</v>
      </c>
      <c r="D505" s="52" t="s">
        <v>80</v>
      </c>
      <c r="E505" s="59" t="s">
        <v>717</v>
      </c>
      <c r="F505" s="52">
        <v>1</v>
      </c>
    </row>
    <row r="506" spans="1:6" ht="14.25" customHeight="1">
      <c r="A506" s="60" t="s">
        <v>23</v>
      </c>
      <c r="B506" s="60" t="s">
        <v>415</v>
      </c>
      <c r="C506" s="60" t="s">
        <v>426</v>
      </c>
      <c r="D506" s="60" t="s">
        <v>74</v>
      </c>
      <c r="E506" s="61" t="s">
        <v>710</v>
      </c>
      <c r="F506" s="60">
        <v>1</v>
      </c>
    </row>
    <row r="507" spans="1:6" ht="14.25" customHeight="1">
      <c r="A507" s="52" t="s">
        <v>23</v>
      </c>
      <c r="B507" s="52" t="s">
        <v>415</v>
      </c>
      <c r="C507" s="52" t="s">
        <v>426</v>
      </c>
      <c r="D507" s="52" t="s">
        <v>80</v>
      </c>
      <c r="E507" s="59" t="s">
        <v>717</v>
      </c>
      <c r="F507" s="52">
        <v>1</v>
      </c>
    </row>
    <row r="508" spans="1:6" ht="14.25" customHeight="1">
      <c r="A508" s="60" t="s">
        <v>23</v>
      </c>
      <c r="B508" s="60" t="s">
        <v>415</v>
      </c>
      <c r="C508" s="60" t="s">
        <v>427</v>
      </c>
      <c r="D508" s="60" t="s">
        <v>74</v>
      </c>
      <c r="E508" s="61" t="s">
        <v>710</v>
      </c>
      <c r="F508" s="60">
        <v>1</v>
      </c>
    </row>
    <row r="509" spans="1:6" ht="14.25" customHeight="1">
      <c r="A509" s="52" t="s">
        <v>23</v>
      </c>
      <c r="B509" s="52" t="s">
        <v>415</v>
      </c>
      <c r="C509" s="52" t="s">
        <v>427</v>
      </c>
      <c r="D509" s="52" t="s">
        <v>80</v>
      </c>
      <c r="E509" s="59" t="s">
        <v>717</v>
      </c>
      <c r="F509" s="52">
        <v>1</v>
      </c>
    </row>
    <row r="510" spans="1:6" ht="14.25" customHeight="1">
      <c r="A510" s="60" t="s">
        <v>23</v>
      </c>
      <c r="B510" s="60" t="s">
        <v>415</v>
      </c>
      <c r="C510" s="60" t="s">
        <v>428</v>
      </c>
      <c r="D510" s="60" t="s">
        <v>74</v>
      </c>
      <c r="E510" s="61" t="s">
        <v>710</v>
      </c>
      <c r="F510" s="60">
        <v>1</v>
      </c>
    </row>
    <row r="511" spans="1:6" ht="14.25" customHeight="1">
      <c r="A511" s="52" t="s">
        <v>23</v>
      </c>
      <c r="B511" s="52" t="s">
        <v>415</v>
      </c>
      <c r="C511" s="52" t="s">
        <v>428</v>
      </c>
      <c r="D511" s="52" t="s">
        <v>80</v>
      </c>
      <c r="E511" s="59" t="s">
        <v>717</v>
      </c>
      <c r="F511" s="52">
        <v>1</v>
      </c>
    </row>
    <row r="512" spans="1:6" ht="14.25" customHeight="1">
      <c r="A512" s="60" t="s">
        <v>23</v>
      </c>
      <c r="B512" s="60" t="s">
        <v>415</v>
      </c>
      <c r="C512" s="60" t="s">
        <v>429</v>
      </c>
      <c r="D512" s="60" t="s">
        <v>74</v>
      </c>
      <c r="E512" s="61" t="s">
        <v>710</v>
      </c>
      <c r="F512" s="60">
        <v>1</v>
      </c>
    </row>
    <row r="513" spans="1:6" ht="14.25" customHeight="1">
      <c r="A513" s="52" t="s">
        <v>23</v>
      </c>
      <c r="B513" s="52" t="s">
        <v>415</v>
      </c>
      <c r="C513" s="52" t="s">
        <v>429</v>
      </c>
      <c r="D513" s="52" t="s">
        <v>80</v>
      </c>
      <c r="E513" s="59" t="s">
        <v>717</v>
      </c>
      <c r="F513" s="52">
        <v>1</v>
      </c>
    </row>
    <row r="514" spans="1:6" ht="14.25" customHeight="1">
      <c r="A514" s="60" t="s">
        <v>23</v>
      </c>
      <c r="B514" s="60" t="s">
        <v>415</v>
      </c>
      <c r="C514" s="60" t="s">
        <v>430</v>
      </c>
      <c r="D514" s="60" t="s">
        <v>74</v>
      </c>
      <c r="E514" s="61" t="s">
        <v>710</v>
      </c>
      <c r="F514" s="60">
        <v>1</v>
      </c>
    </row>
    <row r="515" spans="1:6" ht="14.25" customHeight="1">
      <c r="A515" s="52" t="s">
        <v>23</v>
      </c>
      <c r="B515" s="52" t="s">
        <v>415</v>
      </c>
      <c r="C515" s="52" t="s">
        <v>430</v>
      </c>
      <c r="D515" s="52" t="s">
        <v>80</v>
      </c>
      <c r="E515" s="59" t="s">
        <v>717</v>
      </c>
      <c r="F515" s="52">
        <v>1</v>
      </c>
    </row>
    <row r="516" spans="1:6" ht="14.25" customHeight="1">
      <c r="A516" s="60" t="s">
        <v>23</v>
      </c>
      <c r="B516" s="60" t="s">
        <v>415</v>
      </c>
      <c r="C516" s="60" t="s">
        <v>431</v>
      </c>
      <c r="D516" s="60" t="s">
        <v>74</v>
      </c>
      <c r="E516" s="61" t="s">
        <v>710</v>
      </c>
      <c r="F516" s="60">
        <v>1</v>
      </c>
    </row>
    <row r="517" spans="1:6" ht="14.25" customHeight="1">
      <c r="A517" s="52" t="s">
        <v>23</v>
      </c>
      <c r="B517" s="52" t="s">
        <v>415</v>
      </c>
      <c r="C517" s="52" t="s">
        <v>432</v>
      </c>
      <c r="D517" s="52" t="s">
        <v>74</v>
      </c>
      <c r="E517" s="59" t="s">
        <v>710</v>
      </c>
      <c r="F517" s="52">
        <v>1</v>
      </c>
    </row>
    <row r="518" spans="1:6" ht="14.25" customHeight="1">
      <c r="A518" s="60" t="s">
        <v>23</v>
      </c>
      <c r="B518" s="60" t="s">
        <v>415</v>
      </c>
      <c r="C518" s="60" t="s">
        <v>433</v>
      </c>
      <c r="D518" s="60" t="s">
        <v>74</v>
      </c>
      <c r="E518" s="61" t="s">
        <v>710</v>
      </c>
      <c r="F518" s="60">
        <v>1</v>
      </c>
    </row>
    <row r="519" spans="1:6" ht="14.25" customHeight="1">
      <c r="A519" s="52" t="s">
        <v>23</v>
      </c>
      <c r="B519" s="52" t="s">
        <v>415</v>
      </c>
      <c r="C519" s="52" t="s">
        <v>434</v>
      </c>
      <c r="D519" s="52" t="s">
        <v>74</v>
      </c>
      <c r="E519" s="59" t="s">
        <v>710</v>
      </c>
      <c r="F519" s="52">
        <v>1</v>
      </c>
    </row>
    <row r="520" spans="1:6" ht="14.25" customHeight="1">
      <c r="A520" s="60" t="s">
        <v>23</v>
      </c>
      <c r="B520" s="60" t="s">
        <v>415</v>
      </c>
      <c r="C520" s="60" t="s">
        <v>434</v>
      </c>
      <c r="D520" s="60" t="s">
        <v>80</v>
      </c>
      <c r="E520" s="61" t="s">
        <v>717</v>
      </c>
      <c r="F520" s="60">
        <v>1</v>
      </c>
    </row>
    <row r="521" spans="1:6" ht="14.25" customHeight="1">
      <c r="A521" s="52" t="s">
        <v>23</v>
      </c>
      <c r="B521" s="52" t="s">
        <v>415</v>
      </c>
      <c r="C521" s="52" t="s">
        <v>435</v>
      </c>
      <c r="D521" s="52" t="s">
        <v>74</v>
      </c>
      <c r="E521" s="59" t="s">
        <v>710</v>
      </c>
      <c r="F521" s="52">
        <v>1</v>
      </c>
    </row>
    <row r="522" spans="1:6" ht="14.25" customHeight="1">
      <c r="A522" s="60" t="s">
        <v>23</v>
      </c>
      <c r="B522" s="60" t="s">
        <v>415</v>
      </c>
      <c r="C522" s="60" t="s">
        <v>435</v>
      </c>
      <c r="D522" s="60" t="s">
        <v>80</v>
      </c>
      <c r="E522" s="61" t="s">
        <v>717</v>
      </c>
      <c r="F522" s="60">
        <v>1</v>
      </c>
    </row>
    <row r="523" spans="1:6" ht="14.25" customHeight="1">
      <c r="A523" s="52" t="s">
        <v>23</v>
      </c>
      <c r="B523" s="52" t="s">
        <v>415</v>
      </c>
      <c r="C523" s="52" t="s">
        <v>435</v>
      </c>
      <c r="D523" s="52" t="s">
        <v>90</v>
      </c>
      <c r="E523" s="59" t="s">
        <v>715</v>
      </c>
      <c r="F523" s="52">
        <v>1</v>
      </c>
    </row>
    <row r="524" spans="1:6" ht="14.25" customHeight="1">
      <c r="A524" s="60" t="s">
        <v>23</v>
      </c>
      <c r="B524" s="60" t="s">
        <v>415</v>
      </c>
      <c r="C524" s="60" t="s">
        <v>436</v>
      </c>
      <c r="D524" s="60" t="s">
        <v>74</v>
      </c>
      <c r="E524" s="61" t="s">
        <v>710</v>
      </c>
      <c r="F524" s="60">
        <v>1</v>
      </c>
    </row>
    <row r="525" spans="1:6" ht="14.25" customHeight="1">
      <c r="A525" s="52" t="s">
        <v>23</v>
      </c>
      <c r="B525" s="52" t="s">
        <v>415</v>
      </c>
      <c r="C525" s="52" t="s">
        <v>436</v>
      </c>
      <c r="D525" s="52" t="s">
        <v>118</v>
      </c>
      <c r="E525" s="59" t="s">
        <v>718</v>
      </c>
      <c r="F525" s="52">
        <v>1</v>
      </c>
    </row>
    <row r="526" spans="1:6" ht="14.25" customHeight="1">
      <c r="A526" s="60" t="s">
        <v>23</v>
      </c>
      <c r="B526" s="60" t="s">
        <v>415</v>
      </c>
      <c r="C526" s="60" t="s">
        <v>437</v>
      </c>
      <c r="D526" s="60" t="s">
        <v>74</v>
      </c>
      <c r="E526" s="61" t="s">
        <v>710</v>
      </c>
      <c r="F526" s="60">
        <v>1</v>
      </c>
    </row>
    <row r="527" spans="1:6" ht="14.25" customHeight="1">
      <c r="A527" s="52" t="s">
        <v>23</v>
      </c>
      <c r="B527" s="52" t="s">
        <v>415</v>
      </c>
      <c r="C527" s="52" t="s">
        <v>437</v>
      </c>
      <c r="D527" s="52" t="s">
        <v>118</v>
      </c>
      <c r="E527" s="59" t="s">
        <v>718</v>
      </c>
      <c r="F527" s="52">
        <v>1</v>
      </c>
    </row>
    <row r="528" spans="1:6" ht="14.25" customHeight="1">
      <c r="A528" s="60" t="s">
        <v>23</v>
      </c>
      <c r="B528" s="60" t="s">
        <v>415</v>
      </c>
      <c r="C528" s="60" t="s">
        <v>438</v>
      </c>
      <c r="D528" s="60" t="s">
        <v>74</v>
      </c>
      <c r="E528" s="61" t="s">
        <v>710</v>
      </c>
      <c r="F528" s="60">
        <v>1</v>
      </c>
    </row>
    <row r="529" spans="1:6" ht="14.25" customHeight="1">
      <c r="A529" s="52" t="s">
        <v>23</v>
      </c>
      <c r="B529" s="52" t="s">
        <v>415</v>
      </c>
      <c r="C529" s="52" t="s">
        <v>438</v>
      </c>
      <c r="D529" s="52" t="s">
        <v>118</v>
      </c>
      <c r="E529" s="59" t="s">
        <v>718</v>
      </c>
      <c r="F529" s="52">
        <v>1</v>
      </c>
    </row>
    <row r="530" spans="1:6" ht="14.25" customHeight="1">
      <c r="A530" s="60" t="s">
        <v>23</v>
      </c>
      <c r="B530" s="60" t="s">
        <v>415</v>
      </c>
      <c r="C530" s="60" t="s">
        <v>439</v>
      </c>
      <c r="D530" s="60" t="s">
        <v>74</v>
      </c>
      <c r="E530" s="61" t="s">
        <v>710</v>
      </c>
      <c r="F530" s="60">
        <v>1</v>
      </c>
    </row>
    <row r="531" spans="1:6" ht="14.25" customHeight="1">
      <c r="A531" s="52" t="s">
        <v>23</v>
      </c>
      <c r="B531" s="52" t="s">
        <v>415</v>
      </c>
      <c r="C531" s="52" t="s">
        <v>439</v>
      </c>
      <c r="D531" s="52" t="s">
        <v>80</v>
      </c>
      <c r="E531" s="59" t="s">
        <v>717</v>
      </c>
      <c r="F531" s="52">
        <v>1</v>
      </c>
    </row>
    <row r="532" spans="1:6" ht="14.25" customHeight="1">
      <c r="A532" s="60" t="s">
        <v>23</v>
      </c>
      <c r="B532" s="60" t="s">
        <v>415</v>
      </c>
      <c r="C532" s="60" t="s">
        <v>439</v>
      </c>
      <c r="D532" s="60" t="s">
        <v>118</v>
      </c>
      <c r="E532" s="61" t="s">
        <v>718</v>
      </c>
      <c r="F532" s="60">
        <v>1</v>
      </c>
    </row>
    <row r="533" spans="1:6" ht="14.25" customHeight="1">
      <c r="A533" s="52" t="s">
        <v>23</v>
      </c>
      <c r="B533" s="52" t="s">
        <v>415</v>
      </c>
      <c r="C533" s="52" t="s">
        <v>440</v>
      </c>
      <c r="D533" s="52" t="s">
        <v>74</v>
      </c>
      <c r="E533" s="59" t="s">
        <v>710</v>
      </c>
      <c r="F533" s="52">
        <v>1</v>
      </c>
    </row>
    <row r="534" spans="1:6" ht="14.25" customHeight="1">
      <c r="A534" s="60" t="s">
        <v>23</v>
      </c>
      <c r="B534" s="60" t="s">
        <v>415</v>
      </c>
      <c r="C534" s="60" t="s">
        <v>440</v>
      </c>
      <c r="D534" s="60" t="s">
        <v>80</v>
      </c>
      <c r="E534" s="61" t="s">
        <v>717</v>
      </c>
      <c r="F534" s="60">
        <v>1</v>
      </c>
    </row>
    <row r="535" spans="1:6" ht="14.25" customHeight="1">
      <c r="A535" s="52" t="s">
        <v>23</v>
      </c>
      <c r="B535" s="52" t="s">
        <v>415</v>
      </c>
      <c r="C535" s="52" t="s">
        <v>441</v>
      </c>
      <c r="D535" s="52" t="s">
        <v>74</v>
      </c>
      <c r="E535" s="59" t="s">
        <v>710</v>
      </c>
      <c r="F535" s="52">
        <v>1</v>
      </c>
    </row>
    <row r="536" spans="1:6" ht="14.25" customHeight="1">
      <c r="A536" s="60" t="s">
        <v>23</v>
      </c>
      <c r="B536" s="60" t="s">
        <v>415</v>
      </c>
      <c r="C536" s="60" t="s">
        <v>442</v>
      </c>
      <c r="D536" s="60" t="s">
        <v>74</v>
      </c>
      <c r="E536" s="61" t="s">
        <v>710</v>
      </c>
      <c r="F536" s="60">
        <v>1</v>
      </c>
    </row>
    <row r="537" spans="1:6" ht="14.25" customHeight="1">
      <c r="A537" s="52" t="s">
        <v>23</v>
      </c>
      <c r="B537" s="52" t="s">
        <v>415</v>
      </c>
      <c r="C537" s="52" t="s">
        <v>443</v>
      </c>
      <c r="D537" s="52" t="s">
        <v>74</v>
      </c>
      <c r="E537" s="59" t="s">
        <v>710</v>
      </c>
      <c r="F537" s="52">
        <v>1</v>
      </c>
    </row>
    <row r="538" spans="1:6" ht="14.25" customHeight="1">
      <c r="A538" s="60" t="s">
        <v>23</v>
      </c>
      <c r="B538" s="60" t="s">
        <v>415</v>
      </c>
      <c r="C538" s="60" t="s">
        <v>444</v>
      </c>
      <c r="D538" s="60" t="s">
        <v>74</v>
      </c>
      <c r="E538" s="61" t="s">
        <v>710</v>
      </c>
      <c r="F538" s="60">
        <v>1</v>
      </c>
    </row>
    <row r="539" spans="1:6" ht="14.25" customHeight="1">
      <c r="A539" s="52" t="s">
        <v>23</v>
      </c>
      <c r="B539" s="52" t="s">
        <v>415</v>
      </c>
      <c r="C539" s="52" t="s">
        <v>444</v>
      </c>
      <c r="D539" s="52" t="s">
        <v>80</v>
      </c>
      <c r="E539" s="59" t="s">
        <v>717</v>
      </c>
      <c r="F539" s="52">
        <v>1</v>
      </c>
    </row>
    <row r="540" spans="1:6" ht="14.25" customHeight="1">
      <c r="A540" s="60" t="s">
        <v>23</v>
      </c>
      <c r="B540" s="60" t="s">
        <v>445</v>
      </c>
      <c r="C540" s="60" t="s">
        <v>445</v>
      </c>
      <c r="D540" s="60" t="s">
        <v>74</v>
      </c>
      <c r="E540" s="61" t="s">
        <v>710</v>
      </c>
      <c r="F540" s="60">
        <v>1</v>
      </c>
    </row>
    <row r="541" spans="1:6" ht="14.25" customHeight="1">
      <c r="A541" s="52" t="s">
        <v>23</v>
      </c>
      <c r="B541" s="52" t="s">
        <v>445</v>
      </c>
      <c r="C541" s="52" t="s">
        <v>445</v>
      </c>
      <c r="D541" s="52" t="s">
        <v>80</v>
      </c>
      <c r="E541" s="59" t="s">
        <v>717</v>
      </c>
      <c r="F541" s="52">
        <v>1</v>
      </c>
    </row>
    <row r="542" spans="1:6" ht="14.25" customHeight="1">
      <c r="A542" s="60" t="s">
        <v>23</v>
      </c>
      <c r="B542" s="61" t="s">
        <v>446</v>
      </c>
      <c r="C542" s="60" t="s">
        <v>447</v>
      </c>
      <c r="D542" s="60" t="s">
        <v>74</v>
      </c>
      <c r="E542" s="61" t="s">
        <v>710</v>
      </c>
      <c r="F542" s="60">
        <v>1</v>
      </c>
    </row>
    <row r="543" spans="1:6" ht="14.25" customHeight="1">
      <c r="A543" s="52" t="s">
        <v>23</v>
      </c>
      <c r="B543" s="59" t="s">
        <v>446</v>
      </c>
      <c r="C543" s="52" t="s">
        <v>447</v>
      </c>
      <c r="D543" s="52" t="s">
        <v>80</v>
      </c>
      <c r="E543" s="59" t="s">
        <v>717</v>
      </c>
      <c r="F543" s="52">
        <v>1</v>
      </c>
    </row>
    <row r="544" spans="1:6" ht="14.25" customHeight="1">
      <c r="A544" s="60" t="s">
        <v>23</v>
      </c>
      <c r="B544" s="61" t="s">
        <v>448</v>
      </c>
      <c r="C544" s="60" t="s">
        <v>447</v>
      </c>
      <c r="D544" s="60" t="s">
        <v>74</v>
      </c>
      <c r="E544" s="61" t="s">
        <v>710</v>
      </c>
      <c r="F544" s="60">
        <v>2</v>
      </c>
    </row>
    <row r="545" spans="1:6" ht="14.25" customHeight="1">
      <c r="A545" s="52" t="s">
        <v>23</v>
      </c>
      <c r="B545" s="59" t="s">
        <v>448</v>
      </c>
      <c r="C545" s="52" t="s">
        <v>447</v>
      </c>
      <c r="D545" s="52" t="s">
        <v>80</v>
      </c>
      <c r="E545" s="59" t="s">
        <v>717</v>
      </c>
      <c r="F545" s="52">
        <v>1</v>
      </c>
    </row>
    <row r="546" spans="1:6" ht="14.25" customHeight="1">
      <c r="A546" s="60" t="s">
        <v>23</v>
      </c>
      <c r="B546" s="61" t="s">
        <v>449</v>
      </c>
      <c r="C546" s="60" t="s">
        <v>450</v>
      </c>
      <c r="D546" s="60" t="s">
        <v>74</v>
      </c>
      <c r="E546" s="61" t="s">
        <v>710</v>
      </c>
      <c r="F546" s="60">
        <v>1</v>
      </c>
    </row>
    <row r="547" spans="1:6" ht="14.25" customHeight="1">
      <c r="A547" s="52" t="s">
        <v>23</v>
      </c>
      <c r="B547" s="59" t="s">
        <v>451</v>
      </c>
      <c r="C547" s="52" t="s">
        <v>452</v>
      </c>
      <c r="D547" s="52" t="s">
        <v>74</v>
      </c>
      <c r="E547" s="59" t="s">
        <v>710</v>
      </c>
      <c r="F547" s="52">
        <v>1</v>
      </c>
    </row>
    <row r="548" spans="1:6" ht="14.25" customHeight="1">
      <c r="A548" s="60" t="s">
        <v>23</v>
      </c>
      <c r="B548" s="61" t="s">
        <v>453</v>
      </c>
      <c r="C548" s="60" t="s">
        <v>77</v>
      </c>
      <c r="D548" s="60" t="s">
        <v>78</v>
      </c>
      <c r="E548" s="61" t="s">
        <v>711</v>
      </c>
      <c r="F548" s="60">
        <v>11</v>
      </c>
    </row>
    <row r="549" spans="1:6" ht="14.25" customHeight="1">
      <c r="A549" s="52" t="s">
        <v>23</v>
      </c>
      <c r="B549" s="59" t="s">
        <v>453</v>
      </c>
      <c r="C549" s="52" t="s">
        <v>356</v>
      </c>
      <c r="D549" s="52" t="s">
        <v>118</v>
      </c>
      <c r="E549" s="59" t="s">
        <v>718</v>
      </c>
      <c r="F549" s="52">
        <v>1</v>
      </c>
    </row>
    <row r="550" spans="1:6" ht="14.25" customHeight="1">
      <c r="A550" s="60" t="s">
        <v>23</v>
      </c>
      <c r="B550" s="61" t="s">
        <v>453</v>
      </c>
      <c r="C550" s="60" t="s">
        <v>290</v>
      </c>
      <c r="D550" s="60" t="s">
        <v>74</v>
      </c>
      <c r="E550" s="61" t="s">
        <v>710</v>
      </c>
      <c r="F550" s="60">
        <v>1</v>
      </c>
    </row>
    <row r="551" spans="1:6" ht="14.25" customHeight="1">
      <c r="A551" s="52" t="s">
        <v>23</v>
      </c>
      <c r="B551" s="59" t="s">
        <v>453</v>
      </c>
      <c r="C551" s="52" t="s">
        <v>454</v>
      </c>
      <c r="D551" s="52" t="s">
        <v>74</v>
      </c>
      <c r="E551" s="59" t="s">
        <v>710</v>
      </c>
      <c r="F551" s="52">
        <v>1</v>
      </c>
    </row>
    <row r="552" spans="1:6" ht="14.25" customHeight="1">
      <c r="A552" s="60" t="s">
        <v>23</v>
      </c>
      <c r="B552" s="61" t="s">
        <v>453</v>
      </c>
      <c r="C552" s="60" t="s">
        <v>454</v>
      </c>
      <c r="D552" s="60" t="s">
        <v>80</v>
      </c>
      <c r="E552" s="61" t="s">
        <v>717</v>
      </c>
      <c r="F552" s="60">
        <v>1</v>
      </c>
    </row>
    <row r="553" spans="1:6" ht="14.25" customHeight="1">
      <c r="A553" s="52" t="s">
        <v>23</v>
      </c>
      <c r="B553" s="59" t="s">
        <v>453</v>
      </c>
      <c r="C553" s="52" t="s">
        <v>455</v>
      </c>
      <c r="D553" s="52" t="s">
        <v>74</v>
      </c>
      <c r="E553" s="59" t="s">
        <v>710</v>
      </c>
      <c r="F553" s="52">
        <v>1</v>
      </c>
    </row>
    <row r="554" spans="1:6" ht="14.25" customHeight="1">
      <c r="A554" s="60" t="s">
        <v>23</v>
      </c>
      <c r="B554" s="61" t="s">
        <v>453</v>
      </c>
      <c r="C554" s="60" t="s">
        <v>455</v>
      </c>
      <c r="D554" s="60" t="s">
        <v>80</v>
      </c>
      <c r="E554" s="61" t="s">
        <v>717</v>
      </c>
      <c r="F554" s="60">
        <v>1</v>
      </c>
    </row>
    <row r="555" spans="1:6" ht="14.25" customHeight="1">
      <c r="A555" s="52" t="s">
        <v>26</v>
      </c>
      <c r="B555" s="52" t="s">
        <v>26</v>
      </c>
      <c r="C555" s="52" t="s">
        <v>296</v>
      </c>
      <c r="D555" s="52" t="s">
        <v>74</v>
      </c>
      <c r="E555" s="59" t="s">
        <v>710</v>
      </c>
      <c r="F555" s="52">
        <v>2</v>
      </c>
    </row>
    <row r="556" spans="1:6" ht="14.25" customHeight="1">
      <c r="A556" s="60" t="s">
        <v>26</v>
      </c>
      <c r="B556" s="60" t="s">
        <v>26</v>
      </c>
      <c r="C556" s="60" t="s">
        <v>458</v>
      </c>
      <c r="D556" s="60" t="s">
        <v>176</v>
      </c>
      <c r="E556" s="61" t="s">
        <v>720</v>
      </c>
      <c r="F556" s="60">
        <v>2</v>
      </c>
    </row>
    <row r="557" spans="1:6" ht="14.25" customHeight="1">
      <c r="A557" s="52" t="s">
        <v>26</v>
      </c>
      <c r="B557" s="52" t="s">
        <v>26</v>
      </c>
      <c r="C557" s="52" t="s">
        <v>458</v>
      </c>
      <c r="D557" s="52" t="s">
        <v>83</v>
      </c>
      <c r="E557" s="59" t="s">
        <v>713</v>
      </c>
      <c r="F557" s="52">
        <v>2</v>
      </c>
    </row>
    <row r="558" spans="1:6" ht="14.25" customHeight="1">
      <c r="A558" s="60" t="s">
        <v>26</v>
      </c>
      <c r="B558" s="60" t="s">
        <v>456</v>
      </c>
      <c r="C558" s="60" t="s">
        <v>457</v>
      </c>
      <c r="D558" s="60" t="s">
        <v>74</v>
      </c>
      <c r="E558" s="61" t="s">
        <v>710</v>
      </c>
      <c r="F558" s="60">
        <v>2</v>
      </c>
    </row>
    <row r="559" spans="1:6" ht="14.25" customHeight="1">
      <c r="A559" s="52" t="s">
        <v>24</v>
      </c>
      <c r="B559" s="52" t="s">
        <v>459</v>
      </c>
      <c r="C559" s="52" t="s">
        <v>460</v>
      </c>
      <c r="D559" s="52" t="s">
        <v>74</v>
      </c>
      <c r="E559" s="59" t="s">
        <v>710</v>
      </c>
      <c r="F559" s="52">
        <v>2</v>
      </c>
    </row>
    <row r="560" spans="1:6" ht="14.25" customHeight="1">
      <c r="A560" s="60" t="s">
        <v>24</v>
      </c>
      <c r="B560" s="60" t="s">
        <v>461</v>
      </c>
      <c r="C560" s="60" t="s">
        <v>462</v>
      </c>
      <c r="D560" s="60" t="s">
        <v>74</v>
      </c>
      <c r="E560" s="61" t="s">
        <v>710</v>
      </c>
      <c r="F560" s="60">
        <v>2</v>
      </c>
    </row>
    <row r="561" spans="1:6" ht="14.25" customHeight="1">
      <c r="A561" s="52" t="s">
        <v>24</v>
      </c>
      <c r="B561" s="52" t="s">
        <v>464</v>
      </c>
      <c r="C561" s="52" t="s">
        <v>465</v>
      </c>
      <c r="D561" s="52" t="s">
        <v>74</v>
      </c>
      <c r="E561" s="59" t="s">
        <v>710</v>
      </c>
      <c r="F561" s="52">
        <v>2</v>
      </c>
    </row>
    <row r="562" spans="1:6" ht="14.25" customHeight="1">
      <c r="A562" s="60" t="s">
        <v>24</v>
      </c>
      <c r="B562" s="60" t="s">
        <v>463</v>
      </c>
      <c r="C562" s="60" t="s">
        <v>327</v>
      </c>
      <c r="D562" s="60" t="s">
        <v>74</v>
      </c>
      <c r="E562" s="61" t="s">
        <v>710</v>
      </c>
      <c r="F562" s="60">
        <v>2</v>
      </c>
    </row>
    <row r="563" spans="1:6" ht="14.25" customHeight="1">
      <c r="A563" s="52" t="s">
        <v>24</v>
      </c>
      <c r="B563" s="52" t="s">
        <v>466</v>
      </c>
      <c r="C563" s="52" t="s">
        <v>467</v>
      </c>
      <c r="D563" s="52" t="s">
        <v>74</v>
      </c>
      <c r="E563" s="59" t="s">
        <v>710</v>
      </c>
      <c r="F563" s="52">
        <v>2</v>
      </c>
    </row>
    <row r="564" spans="1:6" ht="14.25" customHeight="1">
      <c r="A564" s="60" t="s">
        <v>24</v>
      </c>
      <c r="B564" s="60" t="s">
        <v>468</v>
      </c>
      <c r="C564" s="60" t="s">
        <v>290</v>
      </c>
      <c r="D564" s="60" t="s">
        <v>74</v>
      </c>
      <c r="E564" s="61" t="s">
        <v>710</v>
      </c>
      <c r="F564" s="60">
        <v>2</v>
      </c>
    </row>
    <row r="565" spans="1:6" ht="14.25" customHeight="1">
      <c r="A565" s="52" t="s">
        <v>24</v>
      </c>
      <c r="B565" s="52" t="s">
        <v>469</v>
      </c>
      <c r="C565" s="52" t="s">
        <v>77</v>
      </c>
      <c r="D565" s="52" t="s">
        <v>78</v>
      </c>
      <c r="E565" s="59" t="s">
        <v>711</v>
      </c>
      <c r="F565" s="52">
        <v>1</v>
      </c>
    </row>
    <row r="566" spans="1:6" ht="14.25" customHeight="1">
      <c r="A566" s="60" t="s">
        <v>24</v>
      </c>
      <c r="B566" s="60" t="s">
        <v>469</v>
      </c>
      <c r="C566" s="60" t="s">
        <v>460</v>
      </c>
      <c r="D566" s="60" t="s">
        <v>74</v>
      </c>
      <c r="E566" s="61" t="s">
        <v>710</v>
      </c>
      <c r="F566" s="60">
        <v>2</v>
      </c>
    </row>
    <row r="567" spans="1:6" ht="14.25" customHeight="1">
      <c r="A567" s="52" t="s">
        <v>24</v>
      </c>
      <c r="B567" s="52" t="s">
        <v>470</v>
      </c>
      <c r="C567" s="52" t="s">
        <v>471</v>
      </c>
      <c r="D567" s="52" t="s">
        <v>74</v>
      </c>
      <c r="E567" s="59" t="s">
        <v>710</v>
      </c>
      <c r="F567" s="52">
        <v>2</v>
      </c>
    </row>
    <row r="568" spans="1:6" ht="14.25" customHeight="1">
      <c r="A568" s="60" t="s">
        <v>24</v>
      </c>
      <c r="B568" s="60" t="s">
        <v>24</v>
      </c>
      <c r="C568" s="60" t="s">
        <v>77</v>
      </c>
      <c r="D568" s="60" t="s">
        <v>78</v>
      </c>
      <c r="E568" s="61" t="s">
        <v>711</v>
      </c>
      <c r="F568" s="60">
        <v>25</v>
      </c>
    </row>
    <row r="569" spans="1:6" ht="14.25" customHeight="1">
      <c r="A569" s="52" t="s">
        <v>24</v>
      </c>
      <c r="B569" s="52" t="s">
        <v>24</v>
      </c>
      <c r="C569" s="52" t="s">
        <v>472</v>
      </c>
      <c r="D569" s="52" t="s">
        <v>74</v>
      </c>
      <c r="E569" s="59" t="s">
        <v>710</v>
      </c>
      <c r="F569" s="52">
        <v>2</v>
      </c>
    </row>
    <row r="570" spans="1:6" ht="14.25" customHeight="1">
      <c r="A570" s="60" t="s">
        <v>24</v>
      </c>
      <c r="B570" s="60" t="s">
        <v>24</v>
      </c>
      <c r="C570" s="60" t="s">
        <v>473</v>
      </c>
      <c r="D570" s="60" t="s">
        <v>74</v>
      </c>
      <c r="E570" s="61" t="s">
        <v>710</v>
      </c>
      <c r="F570" s="60">
        <v>4</v>
      </c>
    </row>
    <row r="571" spans="1:6" ht="14.25" customHeight="1">
      <c r="A571" s="52" t="s">
        <v>24</v>
      </c>
      <c r="B571" s="52" t="s">
        <v>24</v>
      </c>
      <c r="C571" s="52" t="s">
        <v>474</v>
      </c>
      <c r="D571" s="52" t="s">
        <v>80</v>
      </c>
      <c r="E571" s="59" t="s">
        <v>717</v>
      </c>
      <c r="F571" s="52">
        <v>3</v>
      </c>
    </row>
    <row r="572" spans="1:6" ht="14.25" customHeight="1">
      <c r="A572" s="60" t="s">
        <v>24</v>
      </c>
      <c r="B572" s="60" t="s">
        <v>24</v>
      </c>
      <c r="C572" s="60" t="s">
        <v>475</v>
      </c>
      <c r="D572" s="60" t="s">
        <v>80</v>
      </c>
      <c r="E572" s="61" t="s">
        <v>717</v>
      </c>
      <c r="F572" s="60">
        <v>1</v>
      </c>
    </row>
    <row r="573" spans="1:6" ht="14.25" customHeight="1">
      <c r="A573" s="52" t="s">
        <v>24</v>
      </c>
      <c r="B573" s="52" t="s">
        <v>24</v>
      </c>
      <c r="C573" s="52" t="s">
        <v>476</v>
      </c>
      <c r="D573" s="52" t="s">
        <v>84</v>
      </c>
      <c r="E573" s="59" t="s">
        <v>712</v>
      </c>
      <c r="F573" s="52">
        <v>2</v>
      </c>
    </row>
    <row r="574" spans="1:6" ht="14.25" customHeight="1">
      <c r="A574" s="60" t="s">
        <v>24</v>
      </c>
      <c r="B574" s="60" t="s">
        <v>24</v>
      </c>
      <c r="C574" s="60" t="s">
        <v>477</v>
      </c>
      <c r="D574" s="60" t="s">
        <v>140</v>
      </c>
      <c r="E574" s="61" t="s">
        <v>716</v>
      </c>
      <c r="F574" s="60">
        <v>1</v>
      </c>
    </row>
    <row r="575" spans="1:6" ht="14.25" customHeight="1">
      <c r="A575" s="52" t="s">
        <v>24</v>
      </c>
      <c r="B575" s="52" t="s">
        <v>24</v>
      </c>
      <c r="C575" s="52" t="s">
        <v>477</v>
      </c>
      <c r="D575" s="52" t="s">
        <v>83</v>
      </c>
      <c r="E575" s="59" t="s">
        <v>713</v>
      </c>
      <c r="F575" s="52">
        <v>2</v>
      </c>
    </row>
    <row r="576" spans="1:6" ht="14.25" customHeight="1">
      <c r="A576" s="60" t="s">
        <v>24</v>
      </c>
      <c r="B576" s="60" t="s">
        <v>24</v>
      </c>
      <c r="C576" s="60" t="s">
        <v>478</v>
      </c>
      <c r="D576" s="60" t="s">
        <v>140</v>
      </c>
      <c r="E576" s="61" t="s">
        <v>716</v>
      </c>
      <c r="F576" s="60">
        <v>2</v>
      </c>
    </row>
    <row r="577" spans="1:6" ht="14.25" customHeight="1">
      <c r="A577" s="52" t="s">
        <v>24</v>
      </c>
      <c r="B577" s="52" t="s">
        <v>24</v>
      </c>
      <c r="C577" s="59" t="s">
        <v>479</v>
      </c>
      <c r="D577" s="52" t="s">
        <v>80</v>
      </c>
      <c r="E577" s="59" t="s">
        <v>717</v>
      </c>
      <c r="F577" s="52">
        <v>1</v>
      </c>
    </row>
    <row r="578" spans="1:6" ht="14.25" customHeight="1">
      <c r="A578" s="60" t="s">
        <v>24</v>
      </c>
      <c r="B578" s="60" t="s">
        <v>24</v>
      </c>
      <c r="C578" s="61" t="s">
        <v>480</v>
      </c>
      <c r="D578" s="60" t="s">
        <v>90</v>
      </c>
      <c r="E578" s="61" t="s">
        <v>715</v>
      </c>
      <c r="F578" s="60">
        <v>1</v>
      </c>
    </row>
    <row r="579" spans="1:6" ht="14.25" customHeight="1">
      <c r="A579" s="52" t="s">
        <v>24</v>
      </c>
      <c r="B579" s="52" t="s">
        <v>24</v>
      </c>
      <c r="C579" s="59" t="s">
        <v>483</v>
      </c>
      <c r="D579" s="52" t="s">
        <v>80</v>
      </c>
      <c r="E579" s="59" t="s">
        <v>717</v>
      </c>
      <c r="F579" s="52">
        <v>1</v>
      </c>
    </row>
    <row r="580" spans="1:6" ht="14.25" customHeight="1">
      <c r="A580" s="60" t="s">
        <v>24</v>
      </c>
      <c r="B580" s="60" t="s">
        <v>24</v>
      </c>
      <c r="C580" s="61" t="s">
        <v>484</v>
      </c>
      <c r="D580" s="60" t="s">
        <v>80</v>
      </c>
      <c r="E580" s="61" t="s">
        <v>717</v>
      </c>
      <c r="F580" s="60">
        <v>1</v>
      </c>
    </row>
    <row r="581" spans="1:6" ht="14.25" customHeight="1">
      <c r="A581" s="52" t="s">
        <v>24</v>
      </c>
      <c r="B581" s="52" t="s">
        <v>24</v>
      </c>
      <c r="C581" s="59" t="s">
        <v>481</v>
      </c>
      <c r="D581" s="52" t="s">
        <v>80</v>
      </c>
      <c r="E581" s="59" t="s">
        <v>717</v>
      </c>
      <c r="F581" s="52">
        <v>2</v>
      </c>
    </row>
    <row r="582" spans="1:6" ht="14.25" customHeight="1">
      <c r="A582" s="60" t="s">
        <v>24</v>
      </c>
      <c r="B582" s="60" t="s">
        <v>24</v>
      </c>
      <c r="C582" s="61" t="s">
        <v>482</v>
      </c>
      <c r="D582" s="60" t="s">
        <v>80</v>
      </c>
      <c r="E582" s="61" t="s">
        <v>717</v>
      </c>
      <c r="F582" s="60">
        <v>1</v>
      </c>
    </row>
    <row r="583" spans="1:6" ht="14.25" customHeight="1">
      <c r="A583" s="52" t="s">
        <v>24</v>
      </c>
      <c r="B583" s="52" t="s">
        <v>489</v>
      </c>
      <c r="C583" s="52" t="s">
        <v>490</v>
      </c>
      <c r="D583" s="52" t="s">
        <v>74</v>
      </c>
      <c r="E583" s="59" t="s">
        <v>710</v>
      </c>
      <c r="F583" s="52">
        <v>2</v>
      </c>
    </row>
    <row r="584" spans="1:6" ht="14.25" customHeight="1">
      <c r="A584" s="60" t="s">
        <v>24</v>
      </c>
      <c r="B584" s="60" t="s">
        <v>485</v>
      </c>
      <c r="C584" s="60" t="s">
        <v>486</v>
      </c>
      <c r="D584" s="60" t="s">
        <v>74</v>
      </c>
      <c r="E584" s="61" t="s">
        <v>710</v>
      </c>
      <c r="F584" s="60">
        <v>2</v>
      </c>
    </row>
    <row r="585" spans="1:6" ht="14.25" customHeight="1">
      <c r="A585" s="52" t="s">
        <v>24</v>
      </c>
      <c r="B585" s="52" t="s">
        <v>487</v>
      </c>
      <c r="C585" s="52" t="s">
        <v>488</v>
      </c>
      <c r="D585" s="52" t="s">
        <v>74</v>
      </c>
      <c r="E585" s="59" t="s">
        <v>710</v>
      </c>
      <c r="F585" s="52">
        <v>2</v>
      </c>
    </row>
    <row r="586" spans="1:6" ht="14.25" customHeight="1">
      <c r="A586" s="60" t="s">
        <v>24</v>
      </c>
      <c r="B586" s="60" t="s">
        <v>491</v>
      </c>
      <c r="C586" s="60" t="s">
        <v>492</v>
      </c>
      <c r="D586" s="60" t="s">
        <v>74</v>
      </c>
      <c r="E586" s="61" t="s">
        <v>710</v>
      </c>
      <c r="F586" s="60">
        <v>1</v>
      </c>
    </row>
    <row r="587" spans="1:6" ht="14.25" customHeight="1">
      <c r="A587" s="52" t="s">
        <v>24</v>
      </c>
      <c r="B587" s="52" t="s">
        <v>493</v>
      </c>
      <c r="C587" s="52" t="s">
        <v>77</v>
      </c>
      <c r="D587" s="52" t="s">
        <v>78</v>
      </c>
      <c r="E587" s="59" t="s">
        <v>711</v>
      </c>
      <c r="F587" s="52">
        <v>1</v>
      </c>
    </row>
    <row r="588" spans="1:6" ht="14.25" customHeight="1">
      <c r="A588" s="60" t="s">
        <v>24</v>
      </c>
      <c r="B588" s="60" t="s">
        <v>493</v>
      </c>
      <c r="C588" s="60" t="s">
        <v>460</v>
      </c>
      <c r="D588" s="60" t="s">
        <v>74</v>
      </c>
      <c r="E588" s="61" t="s">
        <v>710</v>
      </c>
      <c r="F588" s="60">
        <v>2</v>
      </c>
    </row>
    <row r="589" spans="1:6" ht="14.25" customHeight="1">
      <c r="A589" s="52" t="s">
        <v>24</v>
      </c>
      <c r="B589" s="59" t="s">
        <v>494</v>
      </c>
      <c r="C589" s="52" t="s">
        <v>77</v>
      </c>
      <c r="D589" s="52" t="s">
        <v>78</v>
      </c>
      <c r="E589" s="59" t="s">
        <v>711</v>
      </c>
      <c r="F589" s="52">
        <v>5</v>
      </c>
    </row>
    <row r="590" spans="1:6" ht="14.25" customHeight="1">
      <c r="A590" s="60" t="s">
        <v>24</v>
      </c>
      <c r="B590" s="61" t="s">
        <v>494</v>
      </c>
      <c r="C590" s="60" t="s">
        <v>495</v>
      </c>
      <c r="D590" s="60" t="s">
        <v>74</v>
      </c>
      <c r="E590" s="61" t="s">
        <v>710</v>
      </c>
      <c r="F590" s="60">
        <v>3</v>
      </c>
    </row>
    <row r="591" spans="1:6" ht="14.25" customHeight="1">
      <c r="A591" s="52" t="s">
        <v>24</v>
      </c>
      <c r="B591" s="59" t="s">
        <v>494</v>
      </c>
      <c r="C591" s="52" t="s">
        <v>496</v>
      </c>
      <c r="D591" s="52" t="s">
        <v>80</v>
      </c>
      <c r="E591" s="59" t="s">
        <v>717</v>
      </c>
      <c r="F591" s="52">
        <v>2</v>
      </c>
    </row>
    <row r="592" spans="1:6" ht="14.25" customHeight="1">
      <c r="A592" s="60" t="s">
        <v>24</v>
      </c>
      <c r="B592" s="61" t="s">
        <v>494</v>
      </c>
      <c r="C592" s="60" t="s">
        <v>460</v>
      </c>
      <c r="D592" s="60" t="s">
        <v>118</v>
      </c>
      <c r="E592" s="61" t="s">
        <v>718</v>
      </c>
      <c r="F592" s="60">
        <v>2</v>
      </c>
    </row>
    <row r="593" spans="1:6" ht="14.25" customHeight="1">
      <c r="A593" s="52" t="s">
        <v>24</v>
      </c>
      <c r="B593" s="59" t="s">
        <v>494</v>
      </c>
      <c r="C593" s="52" t="s">
        <v>472</v>
      </c>
      <c r="D593" s="52" t="s">
        <v>74</v>
      </c>
      <c r="E593" s="59" t="s">
        <v>710</v>
      </c>
      <c r="F593" s="52">
        <v>4</v>
      </c>
    </row>
    <row r="594" spans="1:6" ht="14.25" customHeight="1">
      <c r="A594" s="60" t="s">
        <v>24</v>
      </c>
      <c r="B594" s="61" t="s">
        <v>494</v>
      </c>
      <c r="C594" s="60" t="s">
        <v>497</v>
      </c>
      <c r="D594" s="60" t="s">
        <v>80</v>
      </c>
      <c r="E594" s="61" t="s">
        <v>717</v>
      </c>
      <c r="F594" s="60">
        <v>1</v>
      </c>
    </row>
    <row r="595" spans="1:6" ht="14.25" customHeight="1">
      <c r="A595" s="52" t="s">
        <v>24</v>
      </c>
      <c r="B595" s="59" t="s">
        <v>494</v>
      </c>
      <c r="C595" s="59" t="s">
        <v>499</v>
      </c>
      <c r="D595" s="52" t="s">
        <v>80</v>
      </c>
      <c r="E595" s="59" t="s">
        <v>717</v>
      </c>
      <c r="F595" s="52">
        <v>2</v>
      </c>
    </row>
    <row r="596" spans="1:6" ht="14.25" customHeight="1">
      <c r="A596" s="60" t="s">
        <v>24</v>
      </c>
      <c r="B596" s="61" t="s">
        <v>494</v>
      </c>
      <c r="C596" s="61" t="s">
        <v>498</v>
      </c>
      <c r="D596" s="60" t="s">
        <v>80</v>
      </c>
      <c r="E596" s="61" t="s">
        <v>717</v>
      </c>
      <c r="F596" s="60">
        <v>2</v>
      </c>
    </row>
    <row r="597" spans="1:6" ht="14.25" customHeight="1">
      <c r="A597" s="52" t="s">
        <v>24</v>
      </c>
      <c r="B597" s="59" t="s">
        <v>494</v>
      </c>
      <c r="C597" s="59" t="s">
        <v>500</v>
      </c>
      <c r="D597" s="52" t="s">
        <v>74</v>
      </c>
      <c r="E597" s="59" t="s">
        <v>710</v>
      </c>
      <c r="F597" s="52">
        <v>2</v>
      </c>
    </row>
    <row r="598" spans="1:6" ht="14.25" customHeight="1">
      <c r="A598" s="60" t="s">
        <v>22</v>
      </c>
      <c r="B598" s="60" t="s">
        <v>501</v>
      </c>
      <c r="C598" s="60" t="s">
        <v>502</v>
      </c>
      <c r="D598" s="60" t="s">
        <v>140</v>
      </c>
      <c r="E598" s="61" t="s">
        <v>716</v>
      </c>
      <c r="F598" s="60">
        <v>3</v>
      </c>
    </row>
    <row r="599" spans="1:6" ht="14.25" customHeight="1">
      <c r="A599" s="52" t="s">
        <v>22</v>
      </c>
      <c r="B599" s="52" t="s">
        <v>501</v>
      </c>
      <c r="C599" s="52" t="s">
        <v>502</v>
      </c>
      <c r="D599" s="52" t="s">
        <v>74</v>
      </c>
      <c r="E599" s="59" t="s">
        <v>710</v>
      </c>
      <c r="F599" s="52">
        <v>17</v>
      </c>
    </row>
    <row r="600" spans="1:6" ht="14.25" customHeight="1">
      <c r="A600" s="60" t="s">
        <v>22</v>
      </c>
      <c r="B600" s="60" t="s">
        <v>501</v>
      </c>
      <c r="C600" s="60" t="s">
        <v>502</v>
      </c>
      <c r="D600" s="60" t="s">
        <v>142</v>
      </c>
      <c r="E600" s="61" t="s">
        <v>714</v>
      </c>
      <c r="F600" s="60">
        <v>4</v>
      </c>
    </row>
    <row r="601" spans="1:6" ht="14.25" customHeight="1">
      <c r="A601" s="52" t="s">
        <v>22</v>
      </c>
      <c r="B601" s="52" t="s">
        <v>501</v>
      </c>
      <c r="C601" s="52" t="s">
        <v>502</v>
      </c>
      <c r="D601" s="52" t="s">
        <v>80</v>
      </c>
      <c r="E601" s="59" t="s">
        <v>717</v>
      </c>
      <c r="F601" s="52">
        <v>12</v>
      </c>
    </row>
    <row r="602" spans="1:6" ht="14.25" customHeight="1">
      <c r="A602" s="60" t="s">
        <v>22</v>
      </c>
      <c r="B602" s="60" t="s">
        <v>501</v>
      </c>
      <c r="C602" s="60" t="s">
        <v>502</v>
      </c>
      <c r="D602" s="60" t="s">
        <v>118</v>
      </c>
      <c r="E602" s="61" t="s">
        <v>718</v>
      </c>
      <c r="F602" s="60">
        <v>1</v>
      </c>
    </row>
    <row r="603" spans="1:6" ht="14.25" customHeight="1">
      <c r="A603" s="52" t="s">
        <v>22</v>
      </c>
      <c r="B603" s="52" t="s">
        <v>501</v>
      </c>
      <c r="C603" s="52" t="s">
        <v>503</v>
      </c>
      <c r="D603" s="52" t="s">
        <v>74</v>
      </c>
      <c r="E603" s="59" t="s">
        <v>710</v>
      </c>
      <c r="F603" s="52">
        <v>1</v>
      </c>
    </row>
    <row r="604" spans="1:6" ht="14.25" customHeight="1">
      <c r="A604" s="60" t="s">
        <v>22</v>
      </c>
      <c r="B604" s="60" t="s">
        <v>501</v>
      </c>
      <c r="C604" s="60" t="s">
        <v>503</v>
      </c>
      <c r="D604" s="60" t="s">
        <v>80</v>
      </c>
      <c r="E604" s="61" t="s">
        <v>717</v>
      </c>
      <c r="F604" s="60">
        <v>1</v>
      </c>
    </row>
    <row r="605" spans="1:6" ht="14.25" customHeight="1">
      <c r="A605" s="52" t="s">
        <v>22</v>
      </c>
      <c r="B605" s="52" t="s">
        <v>504</v>
      </c>
      <c r="C605" s="52" t="s">
        <v>505</v>
      </c>
      <c r="D605" s="52" t="s">
        <v>140</v>
      </c>
      <c r="E605" s="59" t="s">
        <v>716</v>
      </c>
      <c r="F605" s="52">
        <v>3</v>
      </c>
    </row>
    <row r="606" spans="1:6" ht="14.25" customHeight="1">
      <c r="A606" s="60" t="s">
        <v>22</v>
      </c>
      <c r="B606" s="60" t="s">
        <v>504</v>
      </c>
      <c r="C606" s="60" t="s">
        <v>505</v>
      </c>
      <c r="D606" s="60" t="s">
        <v>74</v>
      </c>
      <c r="E606" s="61" t="s">
        <v>710</v>
      </c>
      <c r="F606" s="60">
        <v>23</v>
      </c>
    </row>
    <row r="607" spans="1:6" ht="14.25" customHeight="1">
      <c r="A607" s="52" t="s">
        <v>22</v>
      </c>
      <c r="B607" s="52" t="s">
        <v>504</v>
      </c>
      <c r="C607" s="52" t="s">
        <v>505</v>
      </c>
      <c r="D607" s="52" t="s">
        <v>142</v>
      </c>
      <c r="E607" s="59" t="s">
        <v>714</v>
      </c>
      <c r="F607" s="52">
        <v>3</v>
      </c>
    </row>
    <row r="608" spans="1:6" ht="14.25" customHeight="1">
      <c r="A608" s="60" t="s">
        <v>22</v>
      </c>
      <c r="B608" s="60" t="s">
        <v>504</v>
      </c>
      <c r="C608" s="60" t="s">
        <v>505</v>
      </c>
      <c r="D608" s="60" t="s">
        <v>80</v>
      </c>
      <c r="E608" s="61" t="s">
        <v>717</v>
      </c>
      <c r="F608" s="60">
        <v>9</v>
      </c>
    </row>
    <row r="609" spans="1:6" ht="14.25" customHeight="1">
      <c r="A609" s="52" t="s">
        <v>22</v>
      </c>
      <c r="B609" s="52" t="s">
        <v>504</v>
      </c>
      <c r="C609" s="52" t="s">
        <v>505</v>
      </c>
      <c r="D609" s="52" t="s">
        <v>118</v>
      </c>
      <c r="E609" s="59" t="s">
        <v>718</v>
      </c>
      <c r="F609" s="52">
        <v>1</v>
      </c>
    </row>
    <row r="610" spans="1:6" ht="14.25" customHeight="1">
      <c r="A610" s="60" t="s">
        <v>22</v>
      </c>
      <c r="B610" s="60" t="s">
        <v>504</v>
      </c>
      <c r="C610" s="60" t="s">
        <v>506</v>
      </c>
      <c r="D610" s="60" t="s">
        <v>74</v>
      </c>
      <c r="E610" s="61" t="s">
        <v>710</v>
      </c>
      <c r="F610" s="60">
        <v>1</v>
      </c>
    </row>
    <row r="611" spans="1:6" ht="14.25" customHeight="1">
      <c r="A611" s="52" t="s">
        <v>22</v>
      </c>
      <c r="B611" s="52" t="s">
        <v>504</v>
      </c>
      <c r="C611" s="52" t="s">
        <v>506</v>
      </c>
      <c r="D611" s="52" t="s">
        <v>80</v>
      </c>
      <c r="E611" s="59" t="s">
        <v>717</v>
      </c>
      <c r="F611" s="52">
        <v>1</v>
      </c>
    </row>
    <row r="612" spans="1:6" ht="14.25" customHeight="1">
      <c r="A612" s="60" t="s">
        <v>22</v>
      </c>
      <c r="B612" s="60" t="s">
        <v>504</v>
      </c>
      <c r="C612" s="60" t="s">
        <v>507</v>
      </c>
      <c r="D612" s="60" t="s">
        <v>74</v>
      </c>
      <c r="E612" s="61" t="s">
        <v>710</v>
      </c>
      <c r="F612" s="60">
        <v>2</v>
      </c>
    </row>
    <row r="613" spans="1:6" ht="14.25" customHeight="1">
      <c r="A613" s="52" t="s">
        <v>22</v>
      </c>
      <c r="B613" s="52" t="s">
        <v>504</v>
      </c>
      <c r="C613" s="52" t="s">
        <v>507</v>
      </c>
      <c r="D613" s="52" t="s">
        <v>80</v>
      </c>
      <c r="E613" s="59" t="s">
        <v>717</v>
      </c>
      <c r="F613" s="52">
        <v>1</v>
      </c>
    </row>
    <row r="614" spans="1:6" ht="14.25" customHeight="1">
      <c r="A614" s="60" t="s">
        <v>22</v>
      </c>
      <c r="B614" s="60" t="s">
        <v>508</v>
      </c>
      <c r="C614" s="60" t="s">
        <v>22</v>
      </c>
      <c r="D614" s="60" t="s">
        <v>84</v>
      </c>
      <c r="E614" s="61" t="s">
        <v>712</v>
      </c>
      <c r="F614" s="60">
        <v>2</v>
      </c>
    </row>
    <row r="615" spans="1:6" ht="14.25" customHeight="1">
      <c r="A615" s="52" t="s">
        <v>22</v>
      </c>
      <c r="B615" s="52" t="s">
        <v>508</v>
      </c>
      <c r="C615" s="52" t="s">
        <v>22</v>
      </c>
      <c r="D615" s="52" t="s">
        <v>83</v>
      </c>
      <c r="E615" s="59" t="s">
        <v>713</v>
      </c>
      <c r="F615" s="52">
        <v>2</v>
      </c>
    </row>
    <row r="616" spans="1:6" ht="14.25" customHeight="1">
      <c r="A616" s="60" t="s">
        <v>22</v>
      </c>
      <c r="B616" s="61" t="s">
        <v>509</v>
      </c>
      <c r="C616" s="61" t="s">
        <v>510</v>
      </c>
      <c r="D616" s="60" t="s">
        <v>74</v>
      </c>
      <c r="E616" s="61" t="s">
        <v>710</v>
      </c>
      <c r="F616" s="60">
        <v>1</v>
      </c>
    </row>
    <row r="617" spans="1:6" ht="14.25" customHeight="1">
      <c r="A617" s="52" t="s">
        <v>22</v>
      </c>
      <c r="B617" s="59" t="s">
        <v>509</v>
      </c>
      <c r="C617" s="59" t="s">
        <v>510</v>
      </c>
      <c r="D617" s="52" t="s">
        <v>80</v>
      </c>
      <c r="E617" s="59" t="s">
        <v>717</v>
      </c>
      <c r="F617" s="52">
        <v>2</v>
      </c>
    </row>
    <row r="618" spans="1:6" ht="14.25" customHeight="1">
      <c r="A618" s="60" t="s">
        <v>22</v>
      </c>
      <c r="B618" s="61" t="s">
        <v>509</v>
      </c>
      <c r="C618" s="61" t="s">
        <v>511</v>
      </c>
      <c r="D618" s="60" t="s">
        <v>74</v>
      </c>
      <c r="E618" s="61" t="s">
        <v>710</v>
      </c>
      <c r="F618" s="60">
        <v>2</v>
      </c>
    </row>
    <row r="619" spans="1:6" ht="14.25" customHeight="1">
      <c r="A619" s="52" t="s">
        <v>22</v>
      </c>
      <c r="B619" s="59" t="s">
        <v>509</v>
      </c>
      <c r="C619" s="59" t="s">
        <v>511</v>
      </c>
      <c r="D619" s="52" t="s">
        <v>80</v>
      </c>
      <c r="E619" s="59" t="s">
        <v>717</v>
      </c>
      <c r="F619" s="52">
        <v>1</v>
      </c>
    </row>
    <row r="620" spans="1:6" ht="14.25" customHeight="1">
      <c r="A620" s="60" t="s">
        <v>22</v>
      </c>
      <c r="B620" s="61" t="s">
        <v>509</v>
      </c>
      <c r="C620" s="61" t="s">
        <v>511</v>
      </c>
      <c r="D620" s="60" t="s">
        <v>118</v>
      </c>
      <c r="E620" s="61" t="s">
        <v>718</v>
      </c>
      <c r="F620" s="60">
        <v>2</v>
      </c>
    </row>
    <row r="621" spans="1:6" ht="14.25" customHeight="1">
      <c r="A621" s="52" t="s">
        <v>22</v>
      </c>
      <c r="B621" s="59" t="s">
        <v>512</v>
      </c>
      <c r="C621" s="52" t="s">
        <v>77</v>
      </c>
      <c r="D621" s="52" t="s">
        <v>78</v>
      </c>
      <c r="E621" s="59" t="s">
        <v>711</v>
      </c>
      <c r="F621" s="52">
        <v>44</v>
      </c>
    </row>
    <row r="622" spans="1:6" ht="14.25" customHeight="1">
      <c r="A622" s="60" t="s">
        <v>22</v>
      </c>
      <c r="B622" s="61" t="s">
        <v>512</v>
      </c>
      <c r="C622" s="60" t="s">
        <v>513</v>
      </c>
      <c r="D622" s="60" t="s">
        <v>74</v>
      </c>
      <c r="E622" s="61" t="s">
        <v>710</v>
      </c>
      <c r="F622" s="60">
        <v>3</v>
      </c>
    </row>
    <row r="623" spans="1:6" ht="14.25" customHeight="1">
      <c r="A623" s="52" t="s">
        <v>22</v>
      </c>
      <c r="B623" s="59" t="s">
        <v>512</v>
      </c>
      <c r="C623" s="52" t="s">
        <v>513</v>
      </c>
      <c r="D623" s="52" t="s">
        <v>80</v>
      </c>
      <c r="E623" s="59" t="s">
        <v>717</v>
      </c>
      <c r="F623" s="52">
        <v>2</v>
      </c>
    </row>
    <row r="624" spans="1:6" ht="14.25" customHeight="1">
      <c r="A624" s="60" t="s">
        <v>22</v>
      </c>
      <c r="B624" s="61" t="s">
        <v>512</v>
      </c>
      <c r="C624" s="60" t="s">
        <v>514</v>
      </c>
      <c r="D624" s="60" t="s">
        <v>74</v>
      </c>
      <c r="E624" s="61" t="s">
        <v>710</v>
      </c>
      <c r="F624" s="60">
        <v>3</v>
      </c>
    </row>
    <row r="625" spans="1:6" ht="14.25" customHeight="1">
      <c r="A625" s="52" t="s">
        <v>22</v>
      </c>
      <c r="B625" s="59" t="s">
        <v>512</v>
      </c>
      <c r="C625" s="52" t="s">
        <v>514</v>
      </c>
      <c r="D625" s="52" t="s">
        <v>80</v>
      </c>
      <c r="E625" s="59" t="s">
        <v>717</v>
      </c>
      <c r="F625" s="52">
        <v>3</v>
      </c>
    </row>
    <row r="626" spans="1:6" ht="14.25" customHeight="1">
      <c r="A626" s="60" t="s">
        <v>22</v>
      </c>
      <c r="B626" s="61" t="s">
        <v>512</v>
      </c>
      <c r="C626" s="60" t="s">
        <v>515</v>
      </c>
      <c r="D626" s="60" t="s">
        <v>74</v>
      </c>
      <c r="E626" s="61" t="s">
        <v>710</v>
      </c>
      <c r="F626" s="60">
        <v>3</v>
      </c>
    </row>
    <row r="627" spans="1:6" ht="14.25" customHeight="1">
      <c r="A627" s="52" t="s">
        <v>22</v>
      </c>
      <c r="B627" s="59" t="s">
        <v>512</v>
      </c>
      <c r="C627" s="52" t="s">
        <v>515</v>
      </c>
      <c r="D627" s="52" t="s">
        <v>80</v>
      </c>
      <c r="E627" s="59" t="s">
        <v>717</v>
      </c>
      <c r="F627" s="52">
        <v>3</v>
      </c>
    </row>
    <row r="628" spans="1:6" ht="14.25" customHeight="1">
      <c r="A628" s="60" t="s">
        <v>22</v>
      </c>
      <c r="B628" s="61" t="s">
        <v>512</v>
      </c>
      <c r="C628" s="60" t="s">
        <v>516</v>
      </c>
      <c r="D628" s="60" t="s">
        <v>74</v>
      </c>
      <c r="E628" s="61" t="s">
        <v>710</v>
      </c>
      <c r="F628" s="60">
        <v>3</v>
      </c>
    </row>
    <row r="629" spans="1:6" ht="14.25" customHeight="1">
      <c r="A629" s="52" t="s">
        <v>22</v>
      </c>
      <c r="B629" s="59" t="s">
        <v>512</v>
      </c>
      <c r="C629" s="52" t="s">
        <v>516</v>
      </c>
      <c r="D629" s="52" t="s">
        <v>80</v>
      </c>
      <c r="E629" s="59" t="s">
        <v>717</v>
      </c>
      <c r="F629" s="52">
        <v>3</v>
      </c>
    </row>
    <row r="630" spans="1:6" ht="14.25" customHeight="1">
      <c r="A630" s="60" t="s">
        <v>22</v>
      </c>
      <c r="B630" s="61" t="s">
        <v>512</v>
      </c>
      <c r="C630" s="60" t="s">
        <v>517</v>
      </c>
      <c r="D630" s="60" t="s">
        <v>74</v>
      </c>
      <c r="E630" s="61" t="s">
        <v>710</v>
      </c>
      <c r="F630" s="60">
        <v>3</v>
      </c>
    </row>
    <row r="631" spans="1:6" ht="14.25" customHeight="1">
      <c r="A631" s="52" t="s">
        <v>22</v>
      </c>
      <c r="B631" s="59" t="s">
        <v>512</v>
      </c>
      <c r="C631" s="52" t="s">
        <v>517</v>
      </c>
      <c r="D631" s="52" t="s">
        <v>80</v>
      </c>
      <c r="E631" s="59" t="s">
        <v>717</v>
      </c>
      <c r="F631" s="52">
        <v>3</v>
      </c>
    </row>
    <row r="632" spans="1:6" ht="14.25" customHeight="1">
      <c r="A632" s="60" t="s">
        <v>22</v>
      </c>
      <c r="B632" s="61" t="s">
        <v>512</v>
      </c>
      <c r="C632" s="60" t="s">
        <v>518</v>
      </c>
      <c r="D632" s="60" t="s">
        <v>74</v>
      </c>
      <c r="E632" s="61" t="s">
        <v>710</v>
      </c>
      <c r="F632" s="60">
        <v>3</v>
      </c>
    </row>
    <row r="633" spans="1:6" ht="14.25" customHeight="1">
      <c r="A633" s="52" t="s">
        <v>22</v>
      </c>
      <c r="B633" s="59" t="s">
        <v>512</v>
      </c>
      <c r="C633" s="52" t="s">
        <v>518</v>
      </c>
      <c r="D633" s="52" t="s">
        <v>80</v>
      </c>
      <c r="E633" s="59" t="s">
        <v>717</v>
      </c>
      <c r="F633" s="52">
        <v>3</v>
      </c>
    </row>
    <row r="634" spans="1:6" ht="14.25" customHeight="1">
      <c r="A634" s="60" t="s">
        <v>22</v>
      </c>
      <c r="B634" s="61" t="s">
        <v>512</v>
      </c>
      <c r="C634" s="60" t="s">
        <v>519</v>
      </c>
      <c r="D634" s="60" t="s">
        <v>74</v>
      </c>
      <c r="E634" s="61" t="s">
        <v>710</v>
      </c>
      <c r="F634" s="60">
        <v>3</v>
      </c>
    </row>
    <row r="635" spans="1:6" ht="14.25" customHeight="1">
      <c r="A635" s="52" t="s">
        <v>22</v>
      </c>
      <c r="B635" s="59" t="s">
        <v>512</v>
      </c>
      <c r="C635" s="52" t="s">
        <v>519</v>
      </c>
      <c r="D635" s="52" t="s">
        <v>80</v>
      </c>
      <c r="E635" s="59" t="s">
        <v>717</v>
      </c>
      <c r="F635" s="52">
        <v>3</v>
      </c>
    </row>
    <row r="636" spans="1:6" ht="14.25" customHeight="1">
      <c r="A636" s="60" t="s">
        <v>22</v>
      </c>
      <c r="B636" s="61" t="s">
        <v>512</v>
      </c>
      <c r="C636" s="60" t="s">
        <v>520</v>
      </c>
      <c r="D636" s="60" t="s">
        <v>74</v>
      </c>
      <c r="E636" s="61" t="s">
        <v>710</v>
      </c>
      <c r="F636" s="60">
        <v>3</v>
      </c>
    </row>
    <row r="637" spans="1:6" ht="14.25" customHeight="1">
      <c r="A637" s="52" t="s">
        <v>22</v>
      </c>
      <c r="B637" s="59" t="s">
        <v>512</v>
      </c>
      <c r="C637" s="52" t="s">
        <v>520</v>
      </c>
      <c r="D637" s="52" t="s">
        <v>80</v>
      </c>
      <c r="E637" s="59" t="s">
        <v>717</v>
      </c>
      <c r="F637" s="52">
        <v>3</v>
      </c>
    </row>
    <row r="638" spans="1:6" ht="14.25" customHeight="1">
      <c r="A638" s="60" t="s">
        <v>22</v>
      </c>
      <c r="B638" s="61" t="s">
        <v>512</v>
      </c>
      <c r="C638" s="60" t="s">
        <v>521</v>
      </c>
      <c r="D638" s="60" t="s">
        <v>74</v>
      </c>
      <c r="E638" s="61" t="s">
        <v>710</v>
      </c>
      <c r="F638" s="60">
        <v>3</v>
      </c>
    </row>
    <row r="639" spans="1:6" ht="14.25" customHeight="1">
      <c r="A639" s="52" t="s">
        <v>22</v>
      </c>
      <c r="B639" s="59" t="s">
        <v>512</v>
      </c>
      <c r="C639" s="52" t="s">
        <v>521</v>
      </c>
      <c r="D639" s="52" t="s">
        <v>80</v>
      </c>
      <c r="E639" s="59" t="s">
        <v>717</v>
      </c>
      <c r="F639" s="52">
        <v>3</v>
      </c>
    </row>
    <row r="640" spans="1:6" ht="14.25" customHeight="1">
      <c r="A640" s="60" t="s">
        <v>22</v>
      </c>
      <c r="B640" s="61" t="s">
        <v>512</v>
      </c>
      <c r="C640" s="60" t="s">
        <v>522</v>
      </c>
      <c r="D640" s="60" t="s">
        <v>74</v>
      </c>
      <c r="E640" s="61" t="s">
        <v>710</v>
      </c>
      <c r="F640" s="60">
        <v>3</v>
      </c>
    </row>
    <row r="641" spans="1:6" ht="14.25" customHeight="1">
      <c r="A641" s="52" t="s">
        <v>22</v>
      </c>
      <c r="B641" s="59" t="s">
        <v>512</v>
      </c>
      <c r="C641" s="52" t="s">
        <v>522</v>
      </c>
      <c r="D641" s="52" t="s">
        <v>80</v>
      </c>
      <c r="E641" s="59" t="s">
        <v>717</v>
      </c>
      <c r="F641" s="52">
        <v>3</v>
      </c>
    </row>
    <row r="642" spans="1:6" ht="14.25" customHeight="1">
      <c r="A642" s="60" t="s">
        <v>22</v>
      </c>
      <c r="B642" s="61" t="s">
        <v>512</v>
      </c>
      <c r="C642" s="60" t="s">
        <v>523</v>
      </c>
      <c r="D642" s="60" t="s">
        <v>74</v>
      </c>
      <c r="E642" s="61" t="s">
        <v>710</v>
      </c>
      <c r="F642" s="60">
        <v>1</v>
      </c>
    </row>
    <row r="643" spans="1:6" ht="14.25" customHeight="1">
      <c r="A643" s="52" t="s">
        <v>22</v>
      </c>
      <c r="B643" s="59" t="s">
        <v>512</v>
      </c>
      <c r="C643" s="52" t="s">
        <v>523</v>
      </c>
      <c r="D643" s="52" t="s">
        <v>80</v>
      </c>
      <c r="E643" s="59" t="s">
        <v>717</v>
      </c>
      <c r="F643" s="52">
        <v>1</v>
      </c>
    </row>
    <row r="644" spans="1:6" ht="14.25" customHeight="1">
      <c r="A644" s="60" t="s">
        <v>22</v>
      </c>
      <c r="B644" s="61" t="s">
        <v>512</v>
      </c>
      <c r="C644" s="60" t="s">
        <v>524</v>
      </c>
      <c r="D644" s="60" t="s">
        <v>74</v>
      </c>
      <c r="E644" s="61" t="s">
        <v>710</v>
      </c>
      <c r="F644" s="60">
        <v>1</v>
      </c>
    </row>
    <row r="645" spans="1:6" ht="14.25" customHeight="1">
      <c r="A645" s="52" t="s">
        <v>22</v>
      </c>
      <c r="B645" s="59" t="s">
        <v>512</v>
      </c>
      <c r="C645" s="52" t="s">
        <v>524</v>
      </c>
      <c r="D645" s="52" t="s">
        <v>80</v>
      </c>
      <c r="E645" s="59" t="s">
        <v>717</v>
      </c>
      <c r="F645" s="52">
        <v>1</v>
      </c>
    </row>
    <row r="646" spans="1:6" ht="14.25" customHeight="1">
      <c r="A646" s="60" t="s">
        <v>22</v>
      </c>
      <c r="B646" s="61" t="s">
        <v>512</v>
      </c>
      <c r="C646" s="60" t="s">
        <v>524</v>
      </c>
      <c r="D646" s="60" t="s">
        <v>118</v>
      </c>
      <c r="E646" s="61" t="s">
        <v>718</v>
      </c>
      <c r="F646" s="60">
        <v>1</v>
      </c>
    </row>
    <row r="647" spans="1:6" ht="14.25" customHeight="1">
      <c r="A647" s="52" t="s">
        <v>22</v>
      </c>
      <c r="B647" s="59" t="s">
        <v>512</v>
      </c>
      <c r="C647" s="52" t="s">
        <v>525</v>
      </c>
      <c r="D647" s="52" t="s">
        <v>74</v>
      </c>
      <c r="E647" s="59" t="s">
        <v>710</v>
      </c>
      <c r="F647" s="52">
        <v>2</v>
      </c>
    </row>
    <row r="648" spans="1:6" ht="14.25" customHeight="1">
      <c r="A648" s="60" t="s">
        <v>22</v>
      </c>
      <c r="B648" s="61" t="s">
        <v>512</v>
      </c>
      <c r="C648" s="60" t="s">
        <v>525</v>
      </c>
      <c r="D648" s="60" t="s">
        <v>74</v>
      </c>
      <c r="E648" s="61" t="s">
        <v>710</v>
      </c>
      <c r="F648" s="60">
        <v>1</v>
      </c>
    </row>
    <row r="649" spans="1:6" ht="14.25" customHeight="1">
      <c r="A649" s="52" t="s">
        <v>22</v>
      </c>
      <c r="B649" s="59" t="s">
        <v>512</v>
      </c>
      <c r="C649" s="52" t="s">
        <v>525</v>
      </c>
      <c r="D649" s="52" t="s">
        <v>80</v>
      </c>
      <c r="E649" s="59" t="s">
        <v>717</v>
      </c>
      <c r="F649" s="52">
        <v>1</v>
      </c>
    </row>
    <row r="650" spans="1:6" ht="14.25" customHeight="1">
      <c r="A650" s="60" t="s">
        <v>22</v>
      </c>
      <c r="B650" s="61" t="s">
        <v>512</v>
      </c>
      <c r="C650" s="60" t="s">
        <v>525</v>
      </c>
      <c r="D650" s="60" t="s">
        <v>90</v>
      </c>
      <c r="E650" s="61" t="s">
        <v>715</v>
      </c>
      <c r="F650" s="60">
        <v>1</v>
      </c>
    </row>
    <row r="651" spans="1:6" ht="14.25" customHeight="1">
      <c r="A651" s="52" t="s">
        <v>22</v>
      </c>
      <c r="B651" s="59" t="s">
        <v>512</v>
      </c>
      <c r="C651" s="52" t="s">
        <v>525</v>
      </c>
      <c r="D651" s="52" t="s">
        <v>118</v>
      </c>
      <c r="E651" s="59" t="s">
        <v>718</v>
      </c>
      <c r="F651" s="52">
        <v>1</v>
      </c>
    </row>
    <row r="652" spans="1:6" ht="14.25" customHeight="1">
      <c r="A652" s="60" t="s">
        <v>22</v>
      </c>
      <c r="B652" s="61" t="s">
        <v>512</v>
      </c>
      <c r="C652" s="60" t="s">
        <v>526</v>
      </c>
      <c r="D652" s="60" t="s">
        <v>74</v>
      </c>
      <c r="E652" s="61" t="s">
        <v>710</v>
      </c>
      <c r="F652" s="60">
        <v>1</v>
      </c>
    </row>
    <row r="653" spans="1:6" ht="14.25" customHeight="1">
      <c r="A653" s="52" t="s">
        <v>22</v>
      </c>
      <c r="B653" s="59" t="s">
        <v>512</v>
      </c>
      <c r="C653" s="52" t="s">
        <v>526</v>
      </c>
      <c r="D653" s="52" t="s">
        <v>80</v>
      </c>
      <c r="E653" s="59" t="s">
        <v>717</v>
      </c>
      <c r="F653" s="52">
        <v>1</v>
      </c>
    </row>
    <row r="654" spans="1:6" ht="14.25" customHeight="1">
      <c r="A654" s="60" t="s">
        <v>22</v>
      </c>
      <c r="B654" s="61" t="s">
        <v>512</v>
      </c>
      <c r="C654" s="60" t="s">
        <v>526</v>
      </c>
      <c r="D654" s="60" t="s">
        <v>90</v>
      </c>
      <c r="E654" s="61" t="s">
        <v>715</v>
      </c>
      <c r="F654" s="60">
        <v>1</v>
      </c>
    </row>
    <row r="655" spans="1:6" ht="14.25" customHeight="1">
      <c r="A655" s="52" t="s">
        <v>22</v>
      </c>
      <c r="B655" s="59" t="s">
        <v>512</v>
      </c>
      <c r="C655" s="52" t="s">
        <v>526</v>
      </c>
      <c r="D655" s="52" t="s">
        <v>118</v>
      </c>
      <c r="E655" s="59" t="s">
        <v>718</v>
      </c>
      <c r="F655" s="52">
        <v>1</v>
      </c>
    </row>
    <row r="656" spans="1:6" ht="14.25" customHeight="1">
      <c r="A656" s="60" t="s">
        <v>22</v>
      </c>
      <c r="B656" s="61" t="s">
        <v>512</v>
      </c>
      <c r="C656" s="60" t="s">
        <v>527</v>
      </c>
      <c r="D656" s="60" t="s">
        <v>74</v>
      </c>
      <c r="E656" s="61" t="s">
        <v>710</v>
      </c>
      <c r="F656" s="60">
        <v>1</v>
      </c>
    </row>
    <row r="657" spans="1:6" ht="14.25" customHeight="1">
      <c r="A657" s="52" t="s">
        <v>22</v>
      </c>
      <c r="B657" s="59" t="s">
        <v>512</v>
      </c>
      <c r="C657" s="52" t="s">
        <v>527</v>
      </c>
      <c r="D657" s="52" t="s">
        <v>80</v>
      </c>
      <c r="E657" s="59" t="s">
        <v>717</v>
      </c>
      <c r="F657" s="52">
        <v>1</v>
      </c>
    </row>
    <row r="658" spans="1:6" ht="14.25" customHeight="1">
      <c r="A658" s="60" t="s">
        <v>22</v>
      </c>
      <c r="B658" s="61" t="s">
        <v>512</v>
      </c>
      <c r="C658" s="60" t="s">
        <v>527</v>
      </c>
      <c r="D658" s="60" t="s">
        <v>90</v>
      </c>
      <c r="E658" s="61" t="s">
        <v>715</v>
      </c>
      <c r="F658" s="60">
        <v>1</v>
      </c>
    </row>
    <row r="659" spans="1:6" ht="14.25" customHeight="1">
      <c r="A659" s="52" t="s">
        <v>22</v>
      </c>
      <c r="B659" s="59" t="s">
        <v>512</v>
      </c>
      <c r="C659" s="52" t="s">
        <v>528</v>
      </c>
      <c r="D659" s="52" t="s">
        <v>74</v>
      </c>
      <c r="E659" s="59" t="s">
        <v>710</v>
      </c>
      <c r="F659" s="52">
        <v>1</v>
      </c>
    </row>
    <row r="660" spans="1:6" ht="14.25" customHeight="1">
      <c r="A660" s="60" t="s">
        <v>22</v>
      </c>
      <c r="B660" s="61" t="s">
        <v>512</v>
      </c>
      <c r="C660" s="60" t="s">
        <v>528</v>
      </c>
      <c r="D660" s="60" t="s">
        <v>80</v>
      </c>
      <c r="E660" s="61" t="s">
        <v>717</v>
      </c>
      <c r="F660" s="60">
        <v>1</v>
      </c>
    </row>
    <row r="661" spans="1:6" ht="14.25" customHeight="1">
      <c r="A661" s="52" t="s">
        <v>22</v>
      </c>
      <c r="B661" s="59" t="s">
        <v>512</v>
      </c>
      <c r="C661" s="52" t="s">
        <v>529</v>
      </c>
      <c r="D661" s="52" t="s">
        <v>74</v>
      </c>
      <c r="E661" s="59" t="s">
        <v>710</v>
      </c>
      <c r="F661" s="52">
        <v>1</v>
      </c>
    </row>
    <row r="662" spans="1:6" ht="14.25" customHeight="1">
      <c r="A662" s="60" t="s">
        <v>22</v>
      </c>
      <c r="B662" s="61" t="s">
        <v>512</v>
      </c>
      <c r="C662" s="60" t="s">
        <v>529</v>
      </c>
      <c r="D662" s="60" t="s">
        <v>80</v>
      </c>
      <c r="E662" s="61" t="s">
        <v>717</v>
      </c>
      <c r="F662" s="60">
        <v>1</v>
      </c>
    </row>
    <row r="663" spans="1:6" ht="14.25" customHeight="1">
      <c r="A663" s="52" t="s">
        <v>22</v>
      </c>
      <c r="B663" s="59" t="s">
        <v>512</v>
      </c>
      <c r="C663" s="52" t="s">
        <v>529</v>
      </c>
      <c r="D663" s="52" t="s">
        <v>90</v>
      </c>
      <c r="E663" s="59" t="s">
        <v>715</v>
      </c>
      <c r="F663" s="52">
        <v>1</v>
      </c>
    </row>
    <row r="664" spans="1:6" ht="14.25" customHeight="1">
      <c r="A664" s="60" t="s">
        <v>22</v>
      </c>
      <c r="B664" s="61" t="s">
        <v>512</v>
      </c>
      <c r="C664" s="60" t="s">
        <v>530</v>
      </c>
      <c r="D664" s="60" t="s">
        <v>74</v>
      </c>
      <c r="E664" s="61" t="s">
        <v>710</v>
      </c>
      <c r="F664" s="60">
        <v>4</v>
      </c>
    </row>
    <row r="665" spans="1:6" ht="14.25" customHeight="1">
      <c r="A665" s="52" t="s">
        <v>22</v>
      </c>
      <c r="B665" s="59" t="s">
        <v>512</v>
      </c>
      <c r="C665" s="52" t="s">
        <v>530</v>
      </c>
      <c r="D665" s="52" t="s">
        <v>80</v>
      </c>
      <c r="E665" s="59" t="s">
        <v>717</v>
      </c>
      <c r="F665" s="52">
        <v>3</v>
      </c>
    </row>
    <row r="666" spans="1:6" ht="14.25" customHeight="1">
      <c r="A666" s="60" t="s">
        <v>22</v>
      </c>
      <c r="B666" s="61" t="s">
        <v>512</v>
      </c>
      <c r="C666" s="60" t="s">
        <v>530</v>
      </c>
      <c r="D666" s="60" t="s">
        <v>90</v>
      </c>
      <c r="E666" s="61" t="s">
        <v>715</v>
      </c>
      <c r="F666" s="60">
        <v>2</v>
      </c>
    </row>
    <row r="667" spans="1:6" ht="14.25" customHeight="1">
      <c r="A667" s="52" t="s">
        <v>22</v>
      </c>
      <c r="B667" s="59" t="s">
        <v>512</v>
      </c>
      <c r="C667" s="52" t="s">
        <v>531</v>
      </c>
      <c r="D667" s="52" t="s">
        <v>74</v>
      </c>
      <c r="E667" s="59" t="s">
        <v>710</v>
      </c>
      <c r="F667" s="52">
        <v>3</v>
      </c>
    </row>
    <row r="668" spans="1:6" ht="14.25" customHeight="1">
      <c r="A668" s="60" t="s">
        <v>22</v>
      </c>
      <c r="B668" s="61" t="s">
        <v>512</v>
      </c>
      <c r="C668" s="60" t="s">
        <v>531</v>
      </c>
      <c r="D668" s="60" t="s">
        <v>80</v>
      </c>
      <c r="E668" s="61" t="s">
        <v>717</v>
      </c>
      <c r="F668" s="60">
        <v>1</v>
      </c>
    </row>
    <row r="669" spans="1:6" ht="14.25" customHeight="1">
      <c r="A669" s="52" t="s">
        <v>22</v>
      </c>
      <c r="B669" s="59" t="s">
        <v>512</v>
      </c>
      <c r="C669" s="52" t="s">
        <v>531</v>
      </c>
      <c r="D669" s="52" t="s">
        <v>90</v>
      </c>
      <c r="E669" s="59" t="s">
        <v>715</v>
      </c>
      <c r="F669" s="52">
        <v>1</v>
      </c>
    </row>
    <row r="670" spans="1:6" ht="14.25" customHeight="1">
      <c r="A670" s="60" t="s">
        <v>22</v>
      </c>
      <c r="B670" s="61" t="s">
        <v>512</v>
      </c>
      <c r="C670" s="60" t="s">
        <v>531</v>
      </c>
      <c r="D670" s="60" t="s">
        <v>118</v>
      </c>
      <c r="E670" s="61" t="s">
        <v>718</v>
      </c>
      <c r="F670" s="60">
        <v>1</v>
      </c>
    </row>
    <row r="671" spans="1:6" ht="14.25" customHeight="1">
      <c r="A671" s="52" t="s">
        <v>22</v>
      </c>
      <c r="B671" s="59" t="s">
        <v>512</v>
      </c>
      <c r="C671" s="52" t="s">
        <v>532</v>
      </c>
      <c r="D671" s="52" t="s">
        <v>74</v>
      </c>
      <c r="E671" s="59" t="s">
        <v>710</v>
      </c>
      <c r="F671" s="52">
        <v>2</v>
      </c>
    </row>
    <row r="672" spans="1:6" ht="14.25" customHeight="1">
      <c r="A672" s="60" t="s">
        <v>22</v>
      </c>
      <c r="B672" s="61" t="s">
        <v>512</v>
      </c>
      <c r="C672" s="60" t="s">
        <v>532</v>
      </c>
      <c r="D672" s="60" t="s">
        <v>74</v>
      </c>
      <c r="E672" s="61" t="s">
        <v>710</v>
      </c>
      <c r="F672" s="60">
        <v>1</v>
      </c>
    </row>
    <row r="673" spans="1:6" ht="14.25" customHeight="1">
      <c r="A673" s="52" t="s">
        <v>22</v>
      </c>
      <c r="B673" s="59" t="s">
        <v>512</v>
      </c>
      <c r="C673" s="52" t="s">
        <v>532</v>
      </c>
      <c r="D673" s="52" t="s">
        <v>80</v>
      </c>
      <c r="E673" s="59" t="s">
        <v>717</v>
      </c>
      <c r="F673" s="52">
        <v>2</v>
      </c>
    </row>
    <row r="674" spans="1:6" ht="14.25" customHeight="1">
      <c r="A674" s="60" t="s">
        <v>22</v>
      </c>
      <c r="B674" s="61" t="s">
        <v>512</v>
      </c>
      <c r="C674" s="60" t="s">
        <v>532</v>
      </c>
      <c r="D674" s="60" t="s">
        <v>90</v>
      </c>
      <c r="E674" s="61" t="s">
        <v>715</v>
      </c>
      <c r="F674" s="60">
        <v>1</v>
      </c>
    </row>
    <row r="675" spans="1:6" ht="14.25" customHeight="1">
      <c r="A675" s="52" t="s">
        <v>22</v>
      </c>
      <c r="B675" s="59" t="s">
        <v>512</v>
      </c>
      <c r="C675" s="52" t="s">
        <v>533</v>
      </c>
      <c r="D675" s="52" t="s">
        <v>74</v>
      </c>
      <c r="E675" s="59" t="s">
        <v>710</v>
      </c>
      <c r="F675" s="52">
        <v>1</v>
      </c>
    </row>
    <row r="676" spans="1:6" ht="14.25" customHeight="1">
      <c r="A676" s="60" t="s">
        <v>22</v>
      </c>
      <c r="B676" s="61" t="s">
        <v>512</v>
      </c>
      <c r="C676" s="60" t="s">
        <v>533</v>
      </c>
      <c r="D676" s="60" t="s">
        <v>74</v>
      </c>
      <c r="E676" s="61" t="s">
        <v>710</v>
      </c>
      <c r="F676" s="60">
        <v>1</v>
      </c>
    </row>
    <row r="677" spans="1:6" ht="14.25" customHeight="1">
      <c r="A677" s="52" t="s">
        <v>22</v>
      </c>
      <c r="B677" s="59" t="s">
        <v>512</v>
      </c>
      <c r="C677" s="52" t="s">
        <v>533</v>
      </c>
      <c r="D677" s="52" t="s">
        <v>80</v>
      </c>
      <c r="E677" s="59" t="s">
        <v>717</v>
      </c>
      <c r="F677" s="52">
        <v>1</v>
      </c>
    </row>
    <row r="678" spans="1:6" ht="14.25" customHeight="1">
      <c r="A678" s="60" t="s">
        <v>22</v>
      </c>
      <c r="B678" s="61" t="s">
        <v>512</v>
      </c>
      <c r="C678" s="60" t="s">
        <v>533</v>
      </c>
      <c r="D678" s="60" t="s">
        <v>90</v>
      </c>
      <c r="E678" s="61" t="s">
        <v>715</v>
      </c>
      <c r="F678" s="60">
        <v>1</v>
      </c>
    </row>
    <row r="679" spans="1:6" ht="14.25" customHeight="1">
      <c r="A679" s="52" t="s">
        <v>22</v>
      </c>
      <c r="B679" s="59" t="s">
        <v>512</v>
      </c>
      <c r="C679" s="52" t="s">
        <v>534</v>
      </c>
      <c r="D679" s="52" t="s">
        <v>74</v>
      </c>
      <c r="E679" s="59" t="s">
        <v>710</v>
      </c>
      <c r="F679" s="52">
        <v>1</v>
      </c>
    </row>
    <row r="680" spans="1:6" ht="14.25" customHeight="1">
      <c r="A680" s="60" t="s">
        <v>22</v>
      </c>
      <c r="B680" s="61" t="s">
        <v>512</v>
      </c>
      <c r="C680" s="60" t="s">
        <v>534</v>
      </c>
      <c r="D680" s="60" t="s">
        <v>80</v>
      </c>
      <c r="E680" s="61" t="s">
        <v>717</v>
      </c>
      <c r="F680" s="60">
        <v>1</v>
      </c>
    </row>
    <row r="681" spans="1:6" ht="14.25" customHeight="1">
      <c r="A681" s="52" t="s">
        <v>22</v>
      </c>
      <c r="B681" s="59" t="s">
        <v>512</v>
      </c>
      <c r="C681" s="52" t="s">
        <v>534</v>
      </c>
      <c r="D681" s="52" t="s">
        <v>118</v>
      </c>
      <c r="E681" s="59" t="s">
        <v>718</v>
      </c>
      <c r="F681" s="52">
        <v>1</v>
      </c>
    </row>
    <row r="682" spans="1:6" ht="14.25" customHeight="1">
      <c r="A682" s="60" t="s">
        <v>22</v>
      </c>
      <c r="B682" s="61" t="s">
        <v>512</v>
      </c>
      <c r="C682" s="60" t="s">
        <v>535</v>
      </c>
      <c r="D682" s="60" t="s">
        <v>74</v>
      </c>
      <c r="E682" s="61" t="s">
        <v>710</v>
      </c>
      <c r="F682" s="60">
        <v>1</v>
      </c>
    </row>
    <row r="683" spans="1:6" ht="14.25" customHeight="1">
      <c r="A683" s="52" t="s">
        <v>22</v>
      </c>
      <c r="B683" s="59" t="s">
        <v>512</v>
      </c>
      <c r="C683" s="52" t="s">
        <v>535</v>
      </c>
      <c r="D683" s="52" t="s">
        <v>80</v>
      </c>
      <c r="E683" s="59" t="s">
        <v>717</v>
      </c>
      <c r="F683" s="52">
        <v>1</v>
      </c>
    </row>
    <row r="684" spans="1:6" ht="14.25" customHeight="1">
      <c r="A684" s="60" t="s">
        <v>22</v>
      </c>
      <c r="B684" s="61" t="s">
        <v>512</v>
      </c>
      <c r="C684" s="60" t="s">
        <v>536</v>
      </c>
      <c r="D684" s="60" t="s">
        <v>74</v>
      </c>
      <c r="E684" s="61" t="s">
        <v>710</v>
      </c>
      <c r="F684" s="60">
        <v>1</v>
      </c>
    </row>
    <row r="685" spans="1:6" ht="14.25" customHeight="1">
      <c r="A685" s="52" t="s">
        <v>22</v>
      </c>
      <c r="B685" s="59" t="s">
        <v>512</v>
      </c>
      <c r="C685" s="52" t="s">
        <v>536</v>
      </c>
      <c r="D685" s="52" t="s">
        <v>80</v>
      </c>
      <c r="E685" s="59" t="s">
        <v>717</v>
      </c>
      <c r="F685" s="52">
        <v>1</v>
      </c>
    </row>
    <row r="686" spans="1:6" ht="14.25" customHeight="1">
      <c r="A686" s="60" t="s">
        <v>22</v>
      </c>
      <c r="B686" s="61" t="s">
        <v>512</v>
      </c>
      <c r="C686" s="60" t="s">
        <v>537</v>
      </c>
      <c r="D686" s="60" t="s">
        <v>74</v>
      </c>
      <c r="E686" s="61" t="s">
        <v>710</v>
      </c>
      <c r="F686" s="60">
        <v>1</v>
      </c>
    </row>
    <row r="687" spans="1:6" ht="14.25" customHeight="1">
      <c r="A687" s="52" t="s">
        <v>22</v>
      </c>
      <c r="B687" s="59" t="s">
        <v>512</v>
      </c>
      <c r="C687" s="52" t="s">
        <v>537</v>
      </c>
      <c r="D687" s="52" t="s">
        <v>80</v>
      </c>
      <c r="E687" s="59" t="s">
        <v>717</v>
      </c>
      <c r="F687" s="52">
        <v>1</v>
      </c>
    </row>
    <row r="688" spans="1:6" ht="14.25" customHeight="1">
      <c r="A688" s="60" t="s">
        <v>22</v>
      </c>
      <c r="B688" s="61" t="s">
        <v>512</v>
      </c>
      <c r="C688" s="60" t="s">
        <v>538</v>
      </c>
      <c r="D688" s="60" t="s">
        <v>74</v>
      </c>
      <c r="E688" s="61" t="s">
        <v>710</v>
      </c>
      <c r="F688" s="60">
        <v>1</v>
      </c>
    </row>
    <row r="689" spans="1:6" ht="14.25" customHeight="1">
      <c r="A689" s="52" t="s">
        <v>22</v>
      </c>
      <c r="B689" s="59" t="s">
        <v>512</v>
      </c>
      <c r="C689" s="52" t="s">
        <v>538</v>
      </c>
      <c r="D689" s="52" t="s">
        <v>80</v>
      </c>
      <c r="E689" s="59" t="s">
        <v>717</v>
      </c>
      <c r="F689" s="52">
        <v>1</v>
      </c>
    </row>
    <row r="690" spans="1:6" ht="14.25" customHeight="1">
      <c r="A690" s="60" t="s">
        <v>22</v>
      </c>
      <c r="B690" s="61" t="s">
        <v>512</v>
      </c>
      <c r="C690" s="60" t="s">
        <v>539</v>
      </c>
      <c r="D690" s="60" t="s">
        <v>74</v>
      </c>
      <c r="E690" s="61" t="s">
        <v>710</v>
      </c>
      <c r="F690" s="60">
        <v>1</v>
      </c>
    </row>
    <row r="691" spans="1:6" ht="14.25" customHeight="1">
      <c r="A691" s="52" t="s">
        <v>22</v>
      </c>
      <c r="B691" s="59" t="s">
        <v>512</v>
      </c>
      <c r="C691" s="52" t="s">
        <v>539</v>
      </c>
      <c r="D691" s="52" t="s">
        <v>80</v>
      </c>
      <c r="E691" s="59" t="s">
        <v>717</v>
      </c>
      <c r="F691" s="52">
        <v>1</v>
      </c>
    </row>
    <row r="692" spans="1:6" ht="14.25" customHeight="1">
      <c r="A692" s="60" t="s">
        <v>22</v>
      </c>
      <c r="B692" s="61" t="s">
        <v>512</v>
      </c>
      <c r="C692" s="60" t="s">
        <v>540</v>
      </c>
      <c r="D692" s="60" t="s">
        <v>74</v>
      </c>
      <c r="E692" s="61" t="s">
        <v>710</v>
      </c>
      <c r="F692" s="60">
        <v>1</v>
      </c>
    </row>
    <row r="693" spans="1:6" ht="14.25" customHeight="1">
      <c r="A693" s="52" t="s">
        <v>22</v>
      </c>
      <c r="B693" s="59" t="s">
        <v>512</v>
      </c>
      <c r="C693" s="52" t="s">
        <v>540</v>
      </c>
      <c r="D693" s="52" t="s">
        <v>80</v>
      </c>
      <c r="E693" s="59" t="s">
        <v>717</v>
      </c>
      <c r="F693" s="52">
        <v>1</v>
      </c>
    </row>
    <row r="694" spans="1:6" ht="14.25" customHeight="1">
      <c r="A694" s="60" t="s">
        <v>22</v>
      </c>
      <c r="B694" s="61" t="s">
        <v>512</v>
      </c>
      <c r="C694" s="60" t="s">
        <v>541</v>
      </c>
      <c r="D694" s="60" t="s">
        <v>74</v>
      </c>
      <c r="E694" s="61" t="s">
        <v>710</v>
      </c>
      <c r="F694" s="60">
        <v>1</v>
      </c>
    </row>
    <row r="695" spans="1:6" ht="14.25" customHeight="1">
      <c r="A695" s="52" t="s">
        <v>22</v>
      </c>
      <c r="B695" s="59" t="s">
        <v>512</v>
      </c>
      <c r="C695" s="52" t="s">
        <v>541</v>
      </c>
      <c r="D695" s="52" t="s">
        <v>80</v>
      </c>
      <c r="E695" s="59" t="s">
        <v>717</v>
      </c>
      <c r="F695" s="52">
        <v>2</v>
      </c>
    </row>
    <row r="696" spans="1:6" ht="14.25" customHeight="1">
      <c r="A696" s="60" t="s">
        <v>22</v>
      </c>
      <c r="B696" s="61" t="s">
        <v>512</v>
      </c>
      <c r="C696" s="60" t="s">
        <v>542</v>
      </c>
      <c r="D696" s="60" t="s">
        <v>74</v>
      </c>
      <c r="E696" s="61" t="s">
        <v>710</v>
      </c>
      <c r="F696" s="60">
        <v>1</v>
      </c>
    </row>
    <row r="697" spans="1:6" ht="14.25" customHeight="1">
      <c r="A697" s="52" t="s">
        <v>22</v>
      </c>
      <c r="B697" s="59" t="s">
        <v>512</v>
      </c>
      <c r="C697" s="52" t="s">
        <v>542</v>
      </c>
      <c r="D697" s="52" t="s">
        <v>80</v>
      </c>
      <c r="E697" s="59" t="s">
        <v>717</v>
      </c>
      <c r="F697" s="52">
        <v>1</v>
      </c>
    </row>
    <row r="698" spans="1:6" ht="14.25" customHeight="1">
      <c r="A698" s="60" t="s">
        <v>22</v>
      </c>
      <c r="B698" s="61" t="s">
        <v>512</v>
      </c>
      <c r="C698" s="60" t="s">
        <v>543</v>
      </c>
      <c r="D698" s="60" t="s">
        <v>74</v>
      </c>
      <c r="E698" s="61" t="s">
        <v>710</v>
      </c>
      <c r="F698" s="60">
        <v>1</v>
      </c>
    </row>
    <row r="699" spans="1:6" ht="14.25" customHeight="1">
      <c r="A699" s="52" t="s">
        <v>22</v>
      </c>
      <c r="B699" s="59" t="s">
        <v>512</v>
      </c>
      <c r="C699" s="52" t="s">
        <v>543</v>
      </c>
      <c r="D699" s="52" t="s">
        <v>80</v>
      </c>
      <c r="E699" s="59" t="s">
        <v>717</v>
      </c>
      <c r="F699" s="52">
        <v>1</v>
      </c>
    </row>
    <row r="700" spans="1:6" ht="14.25" customHeight="1">
      <c r="A700" s="60" t="s">
        <v>22</v>
      </c>
      <c r="B700" s="61" t="s">
        <v>512</v>
      </c>
      <c r="C700" s="60" t="s">
        <v>544</v>
      </c>
      <c r="D700" s="60" t="s">
        <v>74</v>
      </c>
      <c r="E700" s="61" t="s">
        <v>710</v>
      </c>
      <c r="F700" s="60">
        <v>1</v>
      </c>
    </row>
    <row r="701" spans="1:6" ht="14.25" customHeight="1">
      <c r="A701" s="52" t="s">
        <v>22</v>
      </c>
      <c r="B701" s="59" t="s">
        <v>512</v>
      </c>
      <c r="C701" s="52" t="s">
        <v>544</v>
      </c>
      <c r="D701" s="52" t="s">
        <v>80</v>
      </c>
      <c r="E701" s="59" t="s">
        <v>717</v>
      </c>
      <c r="F701" s="52">
        <v>1</v>
      </c>
    </row>
    <row r="702" spans="1:6" ht="14.25" customHeight="1">
      <c r="A702" s="60" t="s">
        <v>22</v>
      </c>
      <c r="B702" s="61" t="s">
        <v>512</v>
      </c>
      <c r="C702" s="60" t="s">
        <v>545</v>
      </c>
      <c r="D702" s="60" t="s">
        <v>74</v>
      </c>
      <c r="E702" s="61" t="s">
        <v>710</v>
      </c>
      <c r="F702" s="60">
        <v>1</v>
      </c>
    </row>
    <row r="703" spans="1:6" ht="14.25" customHeight="1">
      <c r="A703" s="52" t="s">
        <v>22</v>
      </c>
      <c r="B703" s="59" t="s">
        <v>512</v>
      </c>
      <c r="C703" s="52" t="s">
        <v>545</v>
      </c>
      <c r="D703" s="52" t="s">
        <v>80</v>
      </c>
      <c r="E703" s="59" t="s">
        <v>717</v>
      </c>
      <c r="F703" s="52">
        <v>1</v>
      </c>
    </row>
    <row r="704" spans="1:6" ht="14.25" customHeight="1">
      <c r="A704" s="60" t="s">
        <v>22</v>
      </c>
      <c r="B704" s="61" t="s">
        <v>512</v>
      </c>
      <c r="C704" s="60" t="s">
        <v>546</v>
      </c>
      <c r="D704" s="60" t="s">
        <v>74</v>
      </c>
      <c r="E704" s="61" t="s">
        <v>710</v>
      </c>
      <c r="F704" s="60">
        <v>1</v>
      </c>
    </row>
    <row r="705" spans="1:6" ht="14.25" customHeight="1">
      <c r="A705" s="52" t="s">
        <v>22</v>
      </c>
      <c r="B705" s="59" t="s">
        <v>512</v>
      </c>
      <c r="C705" s="52" t="s">
        <v>546</v>
      </c>
      <c r="D705" s="52" t="s">
        <v>80</v>
      </c>
      <c r="E705" s="59" t="s">
        <v>717</v>
      </c>
      <c r="F705" s="52">
        <v>1</v>
      </c>
    </row>
    <row r="706" spans="1:6" ht="14.25" customHeight="1">
      <c r="A706" s="60" t="s">
        <v>22</v>
      </c>
      <c r="B706" s="61" t="s">
        <v>512</v>
      </c>
      <c r="C706" s="60" t="s">
        <v>547</v>
      </c>
      <c r="D706" s="60" t="s">
        <v>74</v>
      </c>
      <c r="E706" s="61" t="s">
        <v>710</v>
      </c>
      <c r="F706" s="60">
        <v>1</v>
      </c>
    </row>
    <row r="707" spans="1:6" ht="14.25" customHeight="1">
      <c r="A707" s="52" t="s">
        <v>22</v>
      </c>
      <c r="B707" s="59" t="s">
        <v>512</v>
      </c>
      <c r="C707" s="52" t="s">
        <v>547</v>
      </c>
      <c r="D707" s="52" t="s">
        <v>80</v>
      </c>
      <c r="E707" s="59" t="s">
        <v>717</v>
      </c>
      <c r="F707" s="52">
        <v>1</v>
      </c>
    </row>
    <row r="708" spans="1:6" ht="14.25" customHeight="1">
      <c r="A708" s="60" t="s">
        <v>22</v>
      </c>
      <c r="B708" s="61" t="s">
        <v>512</v>
      </c>
      <c r="C708" s="60" t="s">
        <v>548</v>
      </c>
      <c r="D708" s="60" t="s">
        <v>74</v>
      </c>
      <c r="E708" s="61" t="s">
        <v>710</v>
      </c>
      <c r="F708" s="60">
        <v>1</v>
      </c>
    </row>
    <row r="709" spans="1:6" ht="14.25" customHeight="1">
      <c r="A709" s="52" t="s">
        <v>22</v>
      </c>
      <c r="B709" s="59" t="s">
        <v>512</v>
      </c>
      <c r="C709" s="52" t="s">
        <v>548</v>
      </c>
      <c r="D709" s="52" t="s">
        <v>80</v>
      </c>
      <c r="E709" s="59" t="s">
        <v>717</v>
      </c>
      <c r="F709" s="52">
        <v>1</v>
      </c>
    </row>
    <row r="710" spans="1:6" ht="14.25" customHeight="1">
      <c r="A710" s="60" t="s">
        <v>22</v>
      </c>
      <c r="B710" s="61" t="s">
        <v>512</v>
      </c>
      <c r="C710" s="60" t="s">
        <v>549</v>
      </c>
      <c r="D710" s="60" t="s">
        <v>74</v>
      </c>
      <c r="E710" s="61" t="s">
        <v>710</v>
      </c>
      <c r="F710" s="60">
        <v>1</v>
      </c>
    </row>
    <row r="711" spans="1:6" ht="14.25" customHeight="1">
      <c r="A711" s="52" t="s">
        <v>22</v>
      </c>
      <c r="B711" s="59" t="s">
        <v>512</v>
      </c>
      <c r="C711" s="52" t="s">
        <v>549</v>
      </c>
      <c r="D711" s="52" t="s">
        <v>80</v>
      </c>
      <c r="E711" s="59" t="s">
        <v>717</v>
      </c>
      <c r="F711" s="52">
        <v>1</v>
      </c>
    </row>
    <row r="712" spans="1:6" ht="14.25" customHeight="1">
      <c r="A712" s="60" t="s">
        <v>22</v>
      </c>
      <c r="B712" s="61" t="s">
        <v>512</v>
      </c>
      <c r="C712" s="60" t="s">
        <v>550</v>
      </c>
      <c r="D712" s="60" t="s">
        <v>74</v>
      </c>
      <c r="E712" s="61" t="s">
        <v>710</v>
      </c>
      <c r="F712" s="60">
        <v>1</v>
      </c>
    </row>
    <row r="713" spans="1:6" ht="14.25" customHeight="1">
      <c r="A713" s="52" t="s">
        <v>22</v>
      </c>
      <c r="B713" s="59" t="s">
        <v>512</v>
      </c>
      <c r="C713" s="52" t="s">
        <v>551</v>
      </c>
      <c r="D713" s="52" t="s">
        <v>74</v>
      </c>
      <c r="E713" s="59" t="s">
        <v>710</v>
      </c>
      <c r="F713" s="52">
        <v>2</v>
      </c>
    </row>
    <row r="714" spans="1:6" ht="14.25" customHeight="1">
      <c r="A714" s="60" t="s">
        <v>22</v>
      </c>
      <c r="B714" s="61" t="s">
        <v>512</v>
      </c>
      <c r="C714" s="60" t="s">
        <v>551</v>
      </c>
      <c r="D714" s="60" t="s">
        <v>80</v>
      </c>
      <c r="E714" s="61" t="s">
        <v>717</v>
      </c>
      <c r="F714" s="60">
        <v>1</v>
      </c>
    </row>
    <row r="715" spans="1:6" ht="14.25" customHeight="1">
      <c r="A715" s="52" t="s">
        <v>22</v>
      </c>
      <c r="B715" s="59" t="s">
        <v>512</v>
      </c>
      <c r="C715" s="52" t="s">
        <v>552</v>
      </c>
      <c r="D715" s="52" t="s">
        <v>74</v>
      </c>
      <c r="E715" s="59" t="s">
        <v>710</v>
      </c>
      <c r="F715" s="52">
        <v>2</v>
      </c>
    </row>
    <row r="716" spans="1:6" ht="14.25" customHeight="1">
      <c r="A716" s="60" t="s">
        <v>22</v>
      </c>
      <c r="B716" s="61" t="s">
        <v>512</v>
      </c>
      <c r="C716" s="60" t="s">
        <v>552</v>
      </c>
      <c r="D716" s="60" t="s">
        <v>80</v>
      </c>
      <c r="E716" s="61" t="s">
        <v>717</v>
      </c>
      <c r="F716" s="60">
        <v>1</v>
      </c>
    </row>
    <row r="717" spans="1:6" ht="14.25" customHeight="1">
      <c r="A717" s="52" t="s">
        <v>22</v>
      </c>
      <c r="B717" s="59" t="s">
        <v>512</v>
      </c>
      <c r="C717" s="52" t="s">
        <v>553</v>
      </c>
      <c r="D717" s="52" t="s">
        <v>74</v>
      </c>
      <c r="E717" s="59" t="s">
        <v>710</v>
      </c>
      <c r="F717" s="52">
        <v>2</v>
      </c>
    </row>
    <row r="718" spans="1:6" ht="14.25" customHeight="1">
      <c r="A718" s="60" t="s">
        <v>22</v>
      </c>
      <c r="B718" s="61" t="s">
        <v>512</v>
      </c>
      <c r="C718" s="60" t="s">
        <v>553</v>
      </c>
      <c r="D718" s="60" t="s">
        <v>80</v>
      </c>
      <c r="E718" s="61" t="s">
        <v>717</v>
      </c>
      <c r="F718" s="60">
        <v>1</v>
      </c>
    </row>
    <row r="719" spans="1:6" ht="14.25" customHeight="1">
      <c r="A719" s="52" t="s">
        <v>22</v>
      </c>
      <c r="B719" s="59" t="s">
        <v>512</v>
      </c>
      <c r="C719" s="52" t="s">
        <v>554</v>
      </c>
      <c r="D719" s="52" t="s">
        <v>74</v>
      </c>
      <c r="E719" s="59" t="s">
        <v>710</v>
      </c>
      <c r="F719" s="52">
        <v>2</v>
      </c>
    </row>
    <row r="720" spans="1:6" ht="14.25" customHeight="1">
      <c r="A720" s="60" t="s">
        <v>22</v>
      </c>
      <c r="B720" s="61" t="s">
        <v>512</v>
      </c>
      <c r="C720" s="60" t="s">
        <v>554</v>
      </c>
      <c r="D720" s="60" t="s">
        <v>80</v>
      </c>
      <c r="E720" s="61" t="s">
        <v>717</v>
      </c>
      <c r="F720" s="60">
        <v>1</v>
      </c>
    </row>
    <row r="721" spans="1:6" ht="14.25" customHeight="1">
      <c r="A721" s="52" t="s">
        <v>22</v>
      </c>
      <c r="B721" s="59" t="s">
        <v>512</v>
      </c>
      <c r="C721" s="52" t="s">
        <v>555</v>
      </c>
      <c r="D721" s="52" t="s">
        <v>74</v>
      </c>
      <c r="E721" s="59" t="s">
        <v>710</v>
      </c>
      <c r="F721" s="52">
        <v>2</v>
      </c>
    </row>
    <row r="722" spans="1:6" ht="14.25" customHeight="1">
      <c r="A722" s="60" t="s">
        <v>22</v>
      </c>
      <c r="B722" s="61" t="s">
        <v>512</v>
      </c>
      <c r="C722" s="60" t="s">
        <v>555</v>
      </c>
      <c r="D722" s="60" t="s">
        <v>80</v>
      </c>
      <c r="E722" s="61" t="s">
        <v>717</v>
      </c>
      <c r="F722" s="60">
        <v>1</v>
      </c>
    </row>
    <row r="723" spans="1:6" ht="14.25" customHeight="1">
      <c r="A723" s="52" t="s">
        <v>22</v>
      </c>
      <c r="B723" s="59" t="s">
        <v>512</v>
      </c>
      <c r="C723" s="52" t="s">
        <v>556</v>
      </c>
      <c r="D723" s="52" t="s">
        <v>74</v>
      </c>
      <c r="E723" s="59" t="s">
        <v>710</v>
      </c>
      <c r="F723" s="52">
        <v>1</v>
      </c>
    </row>
    <row r="724" spans="1:6" ht="14.25" customHeight="1">
      <c r="A724" s="60" t="s">
        <v>22</v>
      </c>
      <c r="B724" s="61" t="s">
        <v>512</v>
      </c>
      <c r="C724" s="60" t="s">
        <v>556</v>
      </c>
      <c r="D724" s="60" t="s">
        <v>80</v>
      </c>
      <c r="E724" s="61" t="s">
        <v>717</v>
      </c>
      <c r="F724" s="60">
        <v>1</v>
      </c>
    </row>
    <row r="725" spans="1:6" ht="14.25" customHeight="1">
      <c r="A725" s="52" t="s">
        <v>22</v>
      </c>
      <c r="B725" s="59" t="s">
        <v>512</v>
      </c>
      <c r="C725" s="52" t="s">
        <v>556</v>
      </c>
      <c r="D725" s="52" t="s">
        <v>90</v>
      </c>
      <c r="E725" s="59" t="s">
        <v>715</v>
      </c>
      <c r="F725" s="52">
        <v>1</v>
      </c>
    </row>
    <row r="726" spans="1:6" ht="14.25" customHeight="1">
      <c r="A726" s="60" t="s">
        <v>22</v>
      </c>
      <c r="B726" s="61" t="s">
        <v>512</v>
      </c>
      <c r="C726" s="60" t="s">
        <v>556</v>
      </c>
      <c r="D726" s="60" t="s">
        <v>118</v>
      </c>
      <c r="E726" s="61" t="s">
        <v>718</v>
      </c>
      <c r="F726" s="60">
        <v>1</v>
      </c>
    </row>
    <row r="727" spans="1:6" ht="14.25" customHeight="1">
      <c r="A727" s="52" t="s">
        <v>22</v>
      </c>
      <c r="B727" s="59" t="s">
        <v>512</v>
      </c>
      <c r="C727" s="52" t="s">
        <v>557</v>
      </c>
      <c r="D727" s="52" t="s">
        <v>74</v>
      </c>
      <c r="E727" s="59" t="s">
        <v>710</v>
      </c>
      <c r="F727" s="52">
        <v>1</v>
      </c>
    </row>
    <row r="728" spans="1:6" ht="14.25" customHeight="1">
      <c r="A728" s="60" t="s">
        <v>22</v>
      </c>
      <c r="B728" s="61" t="s">
        <v>512</v>
      </c>
      <c r="C728" s="60" t="s">
        <v>557</v>
      </c>
      <c r="D728" s="60" t="s">
        <v>80</v>
      </c>
      <c r="E728" s="61" t="s">
        <v>717</v>
      </c>
      <c r="F728" s="60">
        <v>1</v>
      </c>
    </row>
    <row r="729" spans="1:6" ht="14.25" customHeight="1">
      <c r="A729" s="52" t="s">
        <v>22</v>
      </c>
      <c r="B729" s="59" t="s">
        <v>512</v>
      </c>
      <c r="C729" s="52" t="s">
        <v>558</v>
      </c>
      <c r="D729" s="52" t="s">
        <v>74</v>
      </c>
      <c r="E729" s="59" t="s">
        <v>710</v>
      </c>
      <c r="F729" s="52">
        <v>2</v>
      </c>
    </row>
    <row r="730" spans="1:6" ht="14.25" customHeight="1">
      <c r="A730" s="60" t="s">
        <v>22</v>
      </c>
      <c r="B730" s="61" t="s">
        <v>512</v>
      </c>
      <c r="C730" s="60" t="s">
        <v>558</v>
      </c>
      <c r="D730" s="60" t="s">
        <v>80</v>
      </c>
      <c r="E730" s="61" t="s">
        <v>717</v>
      </c>
      <c r="F730" s="60">
        <v>1</v>
      </c>
    </row>
    <row r="731" spans="1:6" ht="14.25" customHeight="1">
      <c r="A731" s="52" t="s">
        <v>22</v>
      </c>
      <c r="B731" s="59" t="s">
        <v>512</v>
      </c>
      <c r="C731" s="52" t="s">
        <v>558</v>
      </c>
      <c r="D731" s="52" t="s">
        <v>90</v>
      </c>
      <c r="E731" s="59" t="s">
        <v>715</v>
      </c>
      <c r="F731" s="52">
        <v>1</v>
      </c>
    </row>
    <row r="732" spans="1:6" ht="14.25" customHeight="1">
      <c r="A732" s="60" t="s">
        <v>22</v>
      </c>
      <c r="B732" s="61" t="s">
        <v>512</v>
      </c>
      <c r="C732" s="60" t="s">
        <v>558</v>
      </c>
      <c r="D732" s="60" t="s">
        <v>118</v>
      </c>
      <c r="E732" s="61" t="s">
        <v>718</v>
      </c>
      <c r="F732" s="60">
        <v>1</v>
      </c>
    </row>
    <row r="733" spans="1:6" ht="14.25" customHeight="1">
      <c r="A733" s="52" t="s">
        <v>22</v>
      </c>
      <c r="B733" s="59" t="s">
        <v>512</v>
      </c>
      <c r="C733" s="52" t="s">
        <v>559</v>
      </c>
      <c r="D733" s="52" t="s">
        <v>74</v>
      </c>
      <c r="E733" s="59" t="s">
        <v>710</v>
      </c>
      <c r="F733" s="52">
        <v>1</v>
      </c>
    </row>
    <row r="734" spans="1:6" ht="14.25" customHeight="1">
      <c r="A734" s="60" t="s">
        <v>22</v>
      </c>
      <c r="B734" s="61" t="s">
        <v>512</v>
      </c>
      <c r="C734" s="60" t="s">
        <v>559</v>
      </c>
      <c r="D734" s="60" t="s">
        <v>80</v>
      </c>
      <c r="E734" s="61" t="s">
        <v>717</v>
      </c>
      <c r="F734" s="60">
        <v>1</v>
      </c>
    </row>
    <row r="735" spans="1:6" ht="14.25" customHeight="1">
      <c r="A735" s="52" t="s">
        <v>22</v>
      </c>
      <c r="B735" s="59" t="s">
        <v>512</v>
      </c>
      <c r="C735" s="52" t="s">
        <v>560</v>
      </c>
      <c r="D735" s="52" t="s">
        <v>74</v>
      </c>
      <c r="E735" s="59" t="s">
        <v>710</v>
      </c>
      <c r="F735" s="52">
        <v>1</v>
      </c>
    </row>
    <row r="736" spans="1:6" ht="14.25" customHeight="1">
      <c r="A736" s="60" t="s">
        <v>22</v>
      </c>
      <c r="B736" s="61" t="s">
        <v>512</v>
      </c>
      <c r="C736" s="60" t="s">
        <v>560</v>
      </c>
      <c r="D736" s="60" t="s">
        <v>80</v>
      </c>
      <c r="E736" s="61" t="s">
        <v>717</v>
      </c>
      <c r="F736" s="60">
        <v>1</v>
      </c>
    </row>
    <row r="737" spans="1:6" ht="14.25" customHeight="1">
      <c r="A737" s="52" t="s">
        <v>22</v>
      </c>
      <c r="B737" s="59" t="s">
        <v>512</v>
      </c>
      <c r="C737" s="52" t="s">
        <v>560</v>
      </c>
      <c r="D737" s="52" t="s">
        <v>90</v>
      </c>
      <c r="E737" s="59" t="s">
        <v>715</v>
      </c>
      <c r="F737" s="52">
        <v>1</v>
      </c>
    </row>
    <row r="738" spans="1:6" ht="14.25" customHeight="1">
      <c r="A738" s="60" t="s">
        <v>22</v>
      </c>
      <c r="B738" s="61" t="s">
        <v>512</v>
      </c>
      <c r="C738" s="60" t="s">
        <v>560</v>
      </c>
      <c r="D738" s="60" t="s">
        <v>118</v>
      </c>
      <c r="E738" s="61" t="s">
        <v>718</v>
      </c>
      <c r="F738" s="60">
        <v>1</v>
      </c>
    </row>
    <row r="739" spans="1:6" ht="14.25" customHeight="1">
      <c r="A739" s="52" t="s">
        <v>22</v>
      </c>
      <c r="B739" s="59" t="s">
        <v>512</v>
      </c>
      <c r="C739" s="52" t="s">
        <v>561</v>
      </c>
      <c r="D739" s="52" t="s">
        <v>74</v>
      </c>
      <c r="E739" s="59" t="s">
        <v>710</v>
      </c>
      <c r="F739" s="52">
        <v>2</v>
      </c>
    </row>
    <row r="740" spans="1:6" ht="14.25" customHeight="1">
      <c r="A740" s="60" t="s">
        <v>22</v>
      </c>
      <c r="B740" s="61" t="s">
        <v>512</v>
      </c>
      <c r="C740" s="60" t="s">
        <v>561</v>
      </c>
      <c r="D740" s="60" t="s">
        <v>80</v>
      </c>
      <c r="E740" s="61" t="s">
        <v>717</v>
      </c>
      <c r="F740" s="60">
        <v>1</v>
      </c>
    </row>
    <row r="741" spans="1:6" ht="14.25" customHeight="1">
      <c r="A741" s="52" t="s">
        <v>22</v>
      </c>
      <c r="B741" s="59" t="s">
        <v>512</v>
      </c>
      <c r="C741" s="52" t="s">
        <v>561</v>
      </c>
      <c r="D741" s="52" t="s">
        <v>90</v>
      </c>
      <c r="E741" s="59" t="s">
        <v>715</v>
      </c>
      <c r="F741" s="52">
        <v>1</v>
      </c>
    </row>
    <row r="742" spans="1:6" ht="14.25" customHeight="1">
      <c r="A742" s="60" t="s">
        <v>22</v>
      </c>
      <c r="B742" s="61" t="s">
        <v>512</v>
      </c>
      <c r="C742" s="60" t="s">
        <v>561</v>
      </c>
      <c r="D742" s="60" t="s">
        <v>118</v>
      </c>
      <c r="E742" s="61" t="s">
        <v>718</v>
      </c>
      <c r="F742" s="60">
        <v>1</v>
      </c>
    </row>
    <row r="743" spans="1:6" ht="14.25" customHeight="1">
      <c r="A743" s="52" t="s">
        <v>22</v>
      </c>
      <c r="B743" s="59" t="s">
        <v>512</v>
      </c>
      <c r="C743" s="52" t="s">
        <v>562</v>
      </c>
      <c r="D743" s="52" t="s">
        <v>74</v>
      </c>
      <c r="E743" s="59" t="s">
        <v>710</v>
      </c>
      <c r="F743" s="52">
        <v>1</v>
      </c>
    </row>
    <row r="744" spans="1:6" ht="14.25" customHeight="1">
      <c r="A744" s="60" t="s">
        <v>22</v>
      </c>
      <c r="B744" s="61" t="s">
        <v>512</v>
      </c>
      <c r="C744" s="60" t="s">
        <v>562</v>
      </c>
      <c r="D744" s="60" t="s">
        <v>80</v>
      </c>
      <c r="E744" s="61" t="s">
        <v>717</v>
      </c>
      <c r="F744" s="60">
        <v>1</v>
      </c>
    </row>
    <row r="745" spans="1:6" ht="14.25" customHeight="1">
      <c r="A745" s="52" t="s">
        <v>22</v>
      </c>
      <c r="B745" s="59" t="s">
        <v>512</v>
      </c>
      <c r="C745" s="52" t="s">
        <v>563</v>
      </c>
      <c r="D745" s="52" t="s">
        <v>74</v>
      </c>
      <c r="E745" s="59" t="s">
        <v>710</v>
      </c>
      <c r="F745" s="52">
        <v>1</v>
      </c>
    </row>
    <row r="746" spans="1:6" ht="14.25" customHeight="1">
      <c r="A746" s="60" t="s">
        <v>22</v>
      </c>
      <c r="B746" s="61" t="s">
        <v>512</v>
      </c>
      <c r="C746" s="60" t="s">
        <v>564</v>
      </c>
      <c r="D746" s="60" t="s">
        <v>74</v>
      </c>
      <c r="E746" s="61" t="s">
        <v>710</v>
      </c>
      <c r="F746" s="60">
        <v>1</v>
      </c>
    </row>
    <row r="747" spans="1:6" ht="14.25" customHeight="1">
      <c r="A747" s="52" t="s">
        <v>22</v>
      </c>
      <c r="B747" s="59" t="s">
        <v>512</v>
      </c>
      <c r="C747" s="52" t="s">
        <v>565</v>
      </c>
      <c r="D747" s="52" t="s">
        <v>74</v>
      </c>
      <c r="E747" s="59" t="s">
        <v>710</v>
      </c>
      <c r="F747" s="52">
        <v>1</v>
      </c>
    </row>
    <row r="748" spans="1:6" ht="14.25" customHeight="1">
      <c r="A748" s="60" t="s">
        <v>22</v>
      </c>
      <c r="B748" s="61" t="s">
        <v>512</v>
      </c>
      <c r="C748" s="60" t="s">
        <v>566</v>
      </c>
      <c r="D748" s="60" t="s">
        <v>74</v>
      </c>
      <c r="E748" s="61" t="s">
        <v>710</v>
      </c>
      <c r="F748" s="60">
        <v>1</v>
      </c>
    </row>
    <row r="749" spans="1:6" ht="14.25" customHeight="1">
      <c r="A749" s="52" t="s">
        <v>22</v>
      </c>
      <c r="B749" s="59" t="s">
        <v>512</v>
      </c>
      <c r="C749" s="52" t="s">
        <v>567</v>
      </c>
      <c r="D749" s="52" t="s">
        <v>74</v>
      </c>
      <c r="E749" s="59" t="s">
        <v>710</v>
      </c>
      <c r="F749" s="52">
        <v>1</v>
      </c>
    </row>
    <row r="750" spans="1:6" ht="14.25" customHeight="1">
      <c r="A750" s="60" t="s">
        <v>22</v>
      </c>
      <c r="B750" s="61" t="s">
        <v>512</v>
      </c>
      <c r="C750" s="60" t="s">
        <v>568</v>
      </c>
      <c r="D750" s="60" t="s">
        <v>74</v>
      </c>
      <c r="E750" s="61" t="s">
        <v>710</v>
      </c>
      <c r="F750" s="60">
        <v>1</v>
      </c>
    </row>
    <row r="751" spans="1:6" ht="14.25" customHeight="1">
      <c r="A751" s="52" t="s">
        <v>22</v>
      </c>
      <c r="B751" s="59" t="s">
        <v>512</v>
      </c>
      <c r="C751" s="52" t="s">
        <v>568</v>
      </c>
      <c r="D751" s="52" t="s">
        <v>80</v>
      </c>
      <c r="E751" s="59" t="s">
        <v>717</v>
      </c>
      <c r="F751" s="52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21"/>
  <sheetViews>
    <sheetView zoomScaleNormal="100" workbookViewId="0">
      <pane ySplit="4" topLeftCell="A5" activePane="bottomLeft" state="frozen"/>
      <selection pane="bottomLeft" activeCell="F10" sqref="F10"/>
    </sheetView>
  </sheetViews>
  <sheetFormatPr defaultColWidth="8.85546875" defaultRowHeight="14.25" customHeight="1"/>
  <cols>
    <col min="1" max="1" width="50" customWidth="1"/>
    <col min="2" max="2" width="34" customWidth="1"/>
    <col min="3" max="3" width="27" customWidth="1"/>
    <col min="4" max="4" width="6.28515625" customWidth="1"/>
    <col min="5" max="5" width="10.28515625" customWidth="1"/>
    <col min="6" max="6" width="16" customWidth="1"/>
    <col min="7" max="7" width="10.28515625" customWidth="1"/>
    <col min="8" max="8" width="9" customWidth="1"/>
  </cols>
  <sheetData>
    <row r="1" spans="1:8" ht="18" customHeight="1">
      <c r="A1" s="90" t="s">
        <v>729</v>
      </c>
    </row>
    <row r="2" spans="1:8" ht="14.25" customHeight="1">
      <c r="A2" t="s">
        <v>730</v>
      </c>
    </row>
    <row r="3" spans="1:8" ht="15" customHeight="1"/>
    <row r="4" spans="1:8" ht="28.5" customHeight="1">
      <c r="A4" s="62" t="s">
        <v>56</v>
      </c>
      <c r="B4" s="63" t="s">
        <v>57</v>
      </c>
      <c r="C4" s="63" t="s">
        <v>58</v>
      </c>
      <c r="D4" s="63" t="s">
        <v>59</v>
      </c>
      <c r="E4" s="63" t="s">
        <v>67</v>
      </c>
      <c r="F4" s="63" t="s">
        <v>60</v>
      </c>
      <c r="G4" s="64" t="s">
        <v>68</v>
      </c>
      <c r="H4" s="64" t="s">
        <v>61</v>
      </c>
    </row>
    <row r="5" spans="1:8" ht="14.25" customHeight="1">
      <c r="A5" s="65" t="s">
        <v>138</v>
      </c>
      <c r="B5" s="52" t="s">
        <v>77</v>
      </c>
      <c r="C5" s="52" t="s">
        <v>78</v>
      </c>
      <c r="D5" s="52">
        <v>219</v>
      </c>
      <c r="E5" s="52"/>
      <c r="F5" s="66">
        <v>46067</v>
      </c>
      <c r="G5" s="67"/>
      <c r="H5" s="68" t="s">
        <v>6</v>
      </c>
    </row>
    <row r="6" spans="1:8" ht="14.25" customHeight="1">
      <c r="A6" s="65" t="s">
        <v>138</v>
      </c>
      <c r="B6" s="52" t="s">
        <v>262</v>
      </c>
      <c r="C6" s="52" t="s">
        <v>142</v>
      </c>
      <c r="D6" s="52">
        <v>4</v>
      </c>
      <c r="E6" s="52"/>
      <c r="F6" s="66">
        <v>46068</v>
      </c>
      <c r="G6" s="67"/>
      <c r="H6" s="68" t="s">
        <v>6</v>
      </c>
    </row>
    <row r="7" spans="1:8" ht="14.25" customHeight="1">
      <c r="A7" s="65" t="s">
        <v>138</v>
      </c>
      <c r="B7" s="52" t="s">
        <v>385</v>
      </c>
      <c r="C7" s="52" t="s">
        <v>74</v>
      </c>
      <c r="D7" s="52">
        <v>2</v>
      </c>
      <c r="E7" s="52"/>
      <c r="F7" s="66">
        <v>46072</v>
      </c>
      <c r="G7" s="67"/>
      <c r="H7" s="68" t="s">
        <v>4</v>
      </c>
    </row>
    <row r="8" spans="1:8" ht="14.25" customHeight="1">
      <c r="A8" s="65" t="s">
        <v>138</v>
      </c>
      <c r="B8" s="52" t="s">
        <v>361</v>
      </c>
      <c r="C8" s="52" t="s">
        <v>362</v>
      </c>
      <c r="D8" s="52">
        <v>2</v>
      </c>
      <c r="E8" s="52">
        <v>2</v>
      </c>
      <c r="F8" s="66">
        <v>46070</v>
      </c>
      <c r="G8" s="66">
        <v>46063</v>
      </c>
      <c r="H8" s="68" t="s">
        <v>75</v>
      </c>
    </row>
    <row r="9" spans="1:8" ht="14.25" customHeight="1">
      <c r="A9" s="65" t="s">
        <v>138</v>
      </c>
      <c r="B9" s="52" t="s">
        <v>386</v>
      </c>
      <c r="C9" s="52" t="s">
        <v>140</v>
      </c>
      <c r="D9" s="52">
        <v>5</v>
      </c>
      <c r="E9" s="52"/>
      <c r="F9" s="66">
        <v>46071</v>
      </c>
      <c r="G9" s="67"/>
      <c r="H9" s="68" t="s">
        <v>6</v>
      </c>
    </row>
    <row r="10" spans="1:8" ht="14.25" customHeight="1">
      <c r="A10" s="65" t="s">
        <v>138</v>
      </c>
      <c r="B10" s="52" t="s">
        <v>386</v>
      </c>
      <c r="C10" s="52" t="s">
        <v>80</v>
      </c>
      <c r="D10" s="52">
        <v>1</v>
      </c>
      <c r="E10" s="52"/>
      <c r="F10" s="66">
        <v>46072</v>
      </c>
      <c r="G10" s="67"/>
      <c r="H10" s="68" t="s">
        <v>6</v>
      </c>
    </row>
    <row r="11" spans="1:8" ht="14.25" customHeight="1">
      <c r="A11" s="65" t="s">
        <v>138</v>
      </c>
      <c r="B11" s="52" t="s">
        <v>266</v>
      </c>
      <c r="C11" s="52" t="s">
        <v>142</v>
      </c>
      <c r="D11" s="52">
        <v>4</v>
      </c>
      <c r="E11" s="52"/>
      <c r="F11" s="66">
        <v>46073</v>
      </c>
      <c r="G11" s="67"/>
      <c r="H11" s="68" t="s">
        <v>6</v>
      </c>
    </row>
    <row r="12" spans="1:8" ht="14.25" customHeight="1">
      <c r="A12" s="65" t="s">
        <v>138</v>
      </c>
      <c r="B12" s="52" t="s">
        <v>208</v>
      </c>
      <c r="C12" s="52" t="s">
        <v>140</v>
      </c>
      <c r="D12" s="52">
        <v>3</v>
      </c>
      <c r="E12" s="52"/>
      <c r="F12" s="66">
        <v>46074</v>
      </c>
      <c r="G12" s="67"/>
      <c r="H12" s="68" t="s">
        <v>6</v>
      </c>
    </row>
    <row r="13" spans="1:8" ht="14.25" customHeight="1">
      <c r="A13" s="65" t="s">
        <v>138</v>
      </c>
      <c r="B13" s="52" t="s">
        <v>208</v>
      </c>
      <c r="C13" s="52" t="s">
        <v>80</v>
      </c>
      <c r="D13" s="52">
        <v>7</v>
      </c>
      <c r="E13" s="52"/>
      <c r="F13" s="66">
        <v>46075</v>
      </c>
      <c r="G13" s="67"/>
      <c r="H13" s="68" t="s">
        <v>6</v>
      </c>
    </row>
    <row r="14" spans="1:8" ht="14.25" customHeight="1">
      <c r="A14" s="65" t="s">
        <v>138</v>
      </c>
      <c r="B14" s="52" t="s">
        <v>267</v>
      </c>
      <c r="C14" s="52" t="s">
        <v>140</v>
      </c>
      <c r="D14" s="52">
        <v>5</v>
      </c>
      <c r="E14" s="52"/>
      <c r="F14" s="66">
        <v>46072</v>
      </c>
      <c r="G14" s="67"/>
      <c r="H14" s="68" t="s">
        <v>4</v>
      </c>
    </row>
    <row r="15" spans="1:8" ht="14.25" customHeight="1">
      <c r="A15" s="65" t="s">
        <v>138</v>
      </c>
      <c r="B15" s="52" t="s">
        <v>267</v>
      </c>
      <c r="C15" s="52" t="s">
        <v>74</v>
      </c>
      <c r="D15" s="52">
        <v>2</v>
      </c>
      <c r="E15" s="52"/>
      <c r="F15" s="66">
        <v>46072</v>
      </c>
      <c r="G15" s="67"/>
      <c r="H15" s="68" t="s">
        <v>4</v>
      </c>
    </row>
    <row r="16" spans="1:8" ht="14.25" customHeight="1">
      <c r="A16" s="65" t="s">
        <v>138</v>
      </c>
      <c r="B16" s="52" t="s">
        <v>267</v>
      </c>
      <c r="C16" s="52" t="s">
        <v>80</v>
      </c>
      <c r="D16" s="52">
        <v>1</v>
      </c>
      <c r="E16" s="52"/>
      <c r="F16" s="66">
        <v>46072</v>
      </c>
      <c r="G16" s="67"/>
      <c r="H16" s="68" t="s">
        <v>4</v>
      </c>
    </row>
    <row r="17" spans="1:8" ht="14.25" customHeight="1">
      <c r="A17" s="65" t="s">
        <v>138</v>
      </c>
      <c r="B17" s="52" t="s">
        <v>286</v>
      </c>
      <c r="C17" s="52" t="s">
        <v>142</v>
      </c>
      <c r="D17" s="52">
        <v>4</v>
      </c>
      <c r="E17" s="52"/>
      <c r="F17" s="66">
        <v>46069</v>
      </c>
      <c r="G17" s="67"/>
      <c r="H17" s="68" t="s">
        <v>4</v>
      </c>
    </row>
    <row r="18" spans="1:8" ht="14.25" customHeight="1">
      <c r="A18" s="65" t="s">
        <v>138</v>
      </c>
      <c r="B18" s="52" t="s">
        <v>268</v>
      </c>
      <c r="C18" s="52" t="s">
        <v>140</v>
      </c>
      <c r="D18" s="52">
        <v>1</v>
      </c>
      <c r="E18" s="52"/>
      <c r="F18" s="66">
        <v>46069</v>
      </c>
      <c r="G18" s="67"/>
      <c r="H18" s="68" t="s">
        <v>4</v>
      </c>
    </row>
    <row r="19" spans="1:8" ht="14.25" customHeight="1">
      <c r="A19" s="65" t="s">
        <v>138</v>
      </c>
      <c r="B19" s="52" t="s">
        <v>268</v>
      </c>
      <c r="C19" s="52" t="s">
        <v>80</v>
      </c>
      <c r="D19" s="52">
        <v>2</v>
      </c>
      <c r="E19" s="52"/>
      <c r="F19" s="66">
        <v>46069</v>
      </c>
      <c r="G19" s="67"/>
      <c r="H19" s="68" t="s">
        <v>4</v>
      </c>
    </row>
    <row r="20" spans="1:8" ht="14.25" customHeight="1">
      <c r="A20" s="65" t="s">
        <v>138</v>
      </c>
      <c r="B20" s="52" t="s">
        <v>206</v>
      </c>
      <c r="C20" s="52" t="s">
        <v>140</v>
      </c>
      <c r="D20" s="52">
        <v>4</v>
      </c>
      <c r="E20" s="52"/>
      <c r="F20" s="66">
        <v>46083</v>
      </c>
      <c r="G20" s="67"/>
      <c r="H20" s="68" t="s">
        <v>6</v>
      </c>
    </row>
    <row r="21" spans="1:8" ht="14.25" customHeight="1">
      <c r="A21" s="65" t="s">
        <v>138</v>
      </c>
      <c r="B21" s="52" t="s">
        <v>206</v>
      </c>
      <c r="C21" s="52" t="s">
        <v>80</v>
      </c>
      <c r="D21" s="52">
        <v>1</v>
      </c>
      <c r="E21" s="52"/>
      <c r="F21" s="66">
        <v>46084</v>
      </c>
      <c r="G21" s="67"/>
      <c r="H21" s="68" t="s">
        <v>6</v>
      </c>
    </row>
    <row r="22" spans="1:8" ht="14.25" customHeight="1">
      <c r="A22" s="65" t="s">
        <v>138</v>
      </c>
      <c r="B22" s="52" t="s">
        <v>287</v>
      </c>
      <c r="C22" s="52" t="s">
        <v>142</v>
      </c>
      <c r="D22" s="52">
        <v>2</v>
      </c>
      <c r="E22" s="52"/>
      <c r="F22" s="66">
        <v>46085</v>
      </c>
      <c r="G22" s="67"/>
      <c r="H22" s="68" t="s">
        <v>6</v>
      </c>
    </row>
    <row r="23" spans="1:8" ht="14.25" customHeight="1">
      <c r="A23" s="65" t="s">
        <v>138</v>
      </c>
      <c r="B23" s="52" t="s">
        <v>278</v>
      </c>
      <c r="C23" s="52" t="s">
        <v>140</v>
      </c>
      <c r="D23" s="52">
        <v>2</v>
      </c>
      <c r="E23" s="52"/>
      <c r="F23" s="66">
        <v>46070</v>
      </c>
      <c r="G23" s="67"/>
      <c r="H23" s="68" t="s">
        <v>4</v>
      </c>
    </row>
    <row r="24" spans="1:8" ht="14.25" customHeight="1">
      <c r="A24" s="65" t="s">
        <v>138</v>
      </c>
      <c r="B24" s="52" t="s">
        <v>278</v>
      </c>
      <c r="C24" s="52" t="s">
        <v>80</v>
      </c>
      <c r="D24" s="52">
        <v>4</v>
      </c>
      <c r="E24" s="52"/>
      <c r="F24" s="66">
        <v>46070</v>
      </c>
      <c r="G24" s="67"/>
      <c r="H24" s="68" t="s">
        <v>4</v>
      </c>
    </row>
    <row r="25" spans="1:8" ht="14.25" customHeight="1">
      <c r="A25" s="65" t="s">
        <v>138</v>
      </c>
      <c r="B25" s="52" t="s">
        <v>207</v>
      </c>
      <c r="C25" s="52" t="s">
        <v>140</v>
      </c>
      <c r="D25" s="52">
        <v>2</v>
      </c>
      <c r="E25" s="52"/>
      <c r="F25" s="66">
        <v>46088</v>
      </c>
      <c r="G25" s="67"/>
      <c r="H25" s="68" t="s">
        <v>6</v>
      </c>
    </row>
    <row r="26" spans="1:8" ht="14.25" customHeight="1">
      <c r="A26" s="65" t="s">
        <v>138</v>
      </c>
      <c r="B26" s="52" t="s">
        <v>207</v>
      </c>
      <c r="C26" s="52" t="s">
        <v>80</v>
      </c>
      <c r="D26" s="52">
        <v>1</v>
      </c>
      <c r="E26" s="52"/>
      <c r="F26" s="66">
        <v>46089</v>
      </c>
      <c r="G26" s="67"/>
      <c r="H26" s="68" t="s">
        <v>6</v>
      </c>
    </row>
    <row r="27" spans="1:8" ht="14.25" customHeight="1">
      <c r="A27" s="65" t="s">
        <v>138</v>
      </c>
      <c r="B27" s="52" t="s">
        <v>139</v>
      </c>
      <c r="C27" s="52" t="s">
        <v>140</v>
      </c>
      <c r="D27" s="52">
        <v>4</v>
      </c>
      <c r="E27" s="52"/>
      <c r="F27" s="66">
        <v>46090</v>
      </c>
      <c r="G27" s="67"/>
      <c r="H27" s="68" t="s">
        <v>6</v>
      </c>
    </row>
    <row r="28" spans="1:8" ht="14.25" customHeight="1">
      <c r="A28" s="65" t="s">
        <v>138</v>
      </c>
      <c r="B28" s="52" t="s">
        <v>139</v>
      </c>
      <c r="C28" s="52" t="s">
        <v>80</v>
      </c>
      <c r="D28" s="52">
        <v>3</v>
      </c>
      <c r="E28" s="52"/>
      <c r="F28" s="66">
        <v>46092</v>
      </c>
      <c r="G28" s="67"/>
      <c r="H28" s="68" t="s">
        <v>6</v>
      </c>
    </row>
    <row r="29" spans="1:8" ht="14.25" customHeight="1">
      <c r="A29" s="65" t="s">
        <v>138</v>
      </c>
      <c r="B29" s="52" t="s">
        <v>141</v>
      </c>
      <c r="C29" s="52" t="s">
        <v>142</v>
      </c>
      <c r="D29" s="52">
        <v>3</v>
      </c>
      <c r="E29" s="52"/>
      <c r="F29" s="66">
        <v>46093</v>
      </c>
      <c r="G29" s="67"/>
      <c r="H29" s="68" t="s">
        <v>6</v>
      </c>
    </row>
    <row r="30" spans="1:8" ht="14.25" customHeight="1">
      <c r="A30" s="65" t="s">
        <v>138</v>
      </c>
      <c r="B30" s="52" t="s">
        <v>265</v>
      </c>
      <c r="C30" s="52" t="s">
        <v>142</v>
      </c>
      <c r="D30" s="52">
        <v>2</v>
      </c>
      <c r="E30" s="52"/>
      <c r="F30" s="66">
        <v>46094</v>
      </c>
      <c r="G30" s="67"/>
      <c r="H30" s="68" t="s">
        <v>6</v>
      </c>
    </row>
    <row r="31" spans="1:8" ht="14.25" customHeight="1">
      <c r="A31" s="65" t="s">
        <v>138</v>
      </c>
      <c r="B31" s="52" t="s">
        <v>269</v>
      </c>
      <c r="C31" s="52" t="s">
        <v>80</v>
      </c>
      <c r="D31" s="52">
        <v>1</v>
      </c>
      <c r="E31" s="52"/>
      <c r="F31" s="66">
        <v>46071</v>
      </c>
      <c r="G31" s="67"/>
      <c r="H31" s="68" t="s">
        <v>4</v>
      </c>
    </row>
    <row r="32" spans="1:8" ht="14.25" customHeight="1">
      <c r="A32" s="65" t="s">
        <v>138</v>
      </c>
      <c r="B32" s="52" t="s">
        <v>270</v>
      </c>
      <c r="C32" s="52" t="s">
        <v>140</v>
      </c>
      <c r="D32" s="52">
        <v>2</v>
      </c>
      <c r="E32" s="52"/>
      <c r="F32" s="66">
        <v>46071</v>
      </c>
      <c r="G32" s="67"/>
      <c r="H32" s="68" t="s">
        <v>4</v>
      </c>
    </row>
    <row r="33" spans="1:8" ht="14.25" customHeight="1">
      <c r="A33" s="65" t="s">
        <v>138</v>
      </c>
      <c r="B33" s="52" t="s">
        <v>270</v>
      </c>
      <c r="C33" s="52" t="s">
        <v>142</v>
      </c>
      <c r="D33" s="52">
        <v>2</v>
      </c>
      <c r="E33" s="52"/>
      <c r="F33" s="66">
        <v>46071</v>
      </c>
      <c r="G33" s="67"/>
      <c r="H33" s="68" t="s">
        <v>4</v>
      </c>
    </row>
    <row r="34" spans="1:8" ht="14.25" customHeight="1">
      <c r="A34" s="65" t="s">
        <v>138</v>
      </c>
      <c r="B34" s="52" t="s">
        <v>209</v>
      </c>
      <c r="C34" s="52" t="s">
        <v>74</v>
      </c>
      <c r="D34" s="52">
        <v>2</v>
      </c>
      <c r="E34" s="52"/>
      <c r="F34" s="66">
        <v>46098</v>
      </c>
      <c r="G34" s="67"/>
      <c r="H34" s="68" t="s">
        <v>6</v>
      </c>
    </row>
    <row r="35" spans="1:8" ht="14.25" customHeight="1">
      <c r="A35" s="65" t="s">
        <v>138</v>
      </c>
      <c r="B35" s="52" t="s">
        <v>209</v>
      </c>
      <c r="C35" s="52" t="s">
        <v>80</v>
      </c>
      <c r="D35" s="52">
        <v>2</v>
      </c>
      <c r="E35" s="52"/>
      <c r="F35" s="66">
        <v>46099</v>
      </c>
      <c r="G35" s="67"/>
      <c r="H35" s="68" t="s">
        <v>6</v>
      </c>
    </row>
    <row r="36" spans="1:8" ht="14.25" customHeight="1">
      <c r="A36" s="65" t="s">
        <v>138</v>
      </c>
      <c r="B36" s="52" t="s">
        <v>271</v>
      </c>
      <c r="C36" s="52" t="s">
        <v>74</v>
      </c>
      <c r="D36" s="52">
        <v>1</v>
      </c>
      <c r="E36" s="52"/>
      <c r="F36" s="66">
        <v>46100</v>
      </c>
      <c r="G36" s="67"/>
      <c r="H36" s="68" t="s">
        <v>6</v>
      </c>
    </row>
    <row r="37" spans="1:8" ht="14.25" customHeight="1">
      <c r="A37" s="65" t="s">
        <v>138</v>
      </c>
      <c r="B37" s="52" t="s">
        <v>375</v>
      </c>
      <c r="C37" s="52" t="s">
        <v>74</v>
      </c>
      <c r="D37" s="52">
        <v>1</v>
      </c>
      <c r="E37" s="52"/>
      <c r="F37" s="66">
        <v>46101</v>
      </c>
      <c r="G37" s="67"/>
      <c r="H37" s="68" t="s">
        <v>6</v>
      </c>
    </row>
    <row r="38" spans="1:8" ht="14.25" customHeight="1">
      <c r="A38" s="65" t="s">
        <v>138</v>
      </c>
      <c r="B38" s="52" t="s">
        <v>375</v>
      </c>
      <c r="C38" s="52" t="s">
        <v>80</v>
      </c>
      <c r="D38" s="52">
        <v>1</v>
      </c>
      <c r="E38" s="52"/>
      <c r="F38" s="66">
        <v>46102</v>
      </c>
      <c r="G38" s="67"/>
      <c r="H38" s="68" t="s">
        <v>6</v>
      </c>
    </row>
    <row r="39" spans="1:8" ht="14.25" customHeight="1">
      <c r="A39" s="65" t="s">
        <v>138</v>
      </c>
      <c r="B39" s="59" t="s">
        <v>210</v>
      </c>
      <c r="C39" s="52" t="s">
        <v>74</v>
      </c>
      <c r="D39" s="52">
        <v>1</v>
      </c>
      <c r="E39" s="52"/>
      <c r="F39" s="66">
        <v>46104</v>
      </c>
      <c r="G39" s="67"/>
      <c r="H39" s="68" t="s">
        <v>6</v>
      </c>
    </row>
    <row r="40" spans="1:8" ht="14.25" customHeight="1">
      <c r="A40" s="65" t="s">
        <v>138</v>
      </c>
      <c r="B40" s="59" t="s">
        <v>210</v>
      </c>
      <c r="C40" s="52" t="s">
        <v>80</v>
      </c>
      <c r="D40" s="52">
        <v>1</v>
      </c>
      <c r="E40" s="52"/>
      <c r="F40" s="66">
        <v>46105</v>
      </c>
      <c r="G40" s="67"/>
      <c r="H40" s="68" t="s">
        <v>6</v>
      </c>
    </row>
    <row r="41" spans="1:8" ht="14.25" customHeight="1">
      <c r="A41" s="65" t="s">
        <v>138</v>
      </c>
      <c r="B41" s="59" t="s">
        <v>273</v>
      </c>
      <c r="C41" s="52" t="s">
        <v>74</v>
      </c>
      <c r="D41" s="52">
        <v>1</v>
      </c>
      <c r="E41" s="52"/>
      <c r="F41" s="66">
        <v>46106</v>
      </c>
      <c r="G41" s="67"/>
      <c r="H41" s="68" t="s">
        <v>6</v>
      </c>
    </row>
    <row r="42" spans="1:8" ht="14.25" customHeight="1">
      <c r="A42" s="65" t="s">
        <v>138</v>
      </c>
      <c r="B42" s="59" t="s">
        <v>273</v>
      </c>
      <c r="C42" s="52" t="s">
        <v>80</v>
      </c>
      <c r="D42" s="52">
        <v>1</v>
      </c>
      <c r="E42" s="52"/>
      <c r="F42" s="66">
        <v>46107</v>
      </c>
      <c r="G42" s="67"/>
      <c r="H42" s="68" t="s">
        <v>6</v>
      </c>
    </row>
    <row r="43" spans="1:8" ht="14.25" customHeight="1">
      <c r="A43" s="65" t="s">
        <v>138</v>
      </c>
      <c r="B43" s="59" t="s">
        <v>281</v>
      </c>
      <c r="C43" s="52" t="s">
        <v>74</v>
      </c>
      <c r="D43" s="52">
        <v>1</v>
      </c>
      <c r="E43" s="52"/>
      <c r="F43" s="66">
        <v>46108</v>
      </c>
      <c r="G43" s="67"/>
      <c r="H43" s="68" t="s">
        <v>6</v>
      </c>
    </row>
    <row r="44" spans="1:8" ht="14.25" customHeight="1">
      <c r="A44" s="65" t="s">
        <v>138</v>
      </c>
      <c r="B44" s="59" t="s">
        <v>281</v>
      </c>
      <c r="C44" s="52" t="s">
        <v>80</v>
      </c>
      <c r="D44" s="52">
        <v>1</v>
      </c>
      <c r="E44" s="52"/>
      <c r="F44" s="66">
        <v>46109</v>
      </c>
      <c r="G44" s="67"/>
      <c r="H44" s="68" t="s">
        <v>6</v>
      </c>
    </row>
    <row r="45" spans="1:8" ht="14.25" customHeight="1">
      <c r="A45" s="65" t="s">
        <v>138</v>
      </c>
      <c r="B45" s="59" t="s">
        <v>284</v>
      </c>
      <c r="C45" s="52" t="s">
        <v>74</v>
      </c>
      <c r="D45" s="52">
        <v>2</v>
      </c>
      <c r="E45" s="52"/>
      <c r="F45" s="66">
        <v>46110</v>
      </c>
      <c r="G45" s="67"/>
      <c r="H45" s="68" t="s">
        <v>6</v>
      </c>
    </row>
    <row r="46" spans="1:8" ht="14.25" customHeight="1">
      <c r="A46" s="65" t="s">
        <v>138</v>
      </c>
      <c r="B46" s="59" t="s">
        <v>284</v>
      </c>
      <c r="C46" s="52" t="s">
        <v>80</v>
      </c>
      <c r="D46" s="52">
        <v>1</v>
      </c>
      <c r="E46" s="52"/>
      <c r="F46" s="66">
        <v>46111</v>
      </c>
      <c r="G46" s="67"/>
      <c r="H46" s="68" t="s">
        <v>6</v>
      </c>
    </row>
    <row r="47" spans="1:8" ht="14.25" customHeight="1">
      <c r="A47" s="65" t="s">
        <v>138</v>
      </c>
      <c r="B47" s="59" t="s">
        <v>388</v>
      </c>
      <c r="C47" s="52" t="s">
        <v>74</v>
      </c>
      <c r="D47" s="52">
        <v>5</v>
      </c>
      <c r="E47" s="52"/>
      <c r="F47" s="66">
        <v>46112</v>
      </c>
      <c r="G47" s="67"/>
      <c r="H47" s="68" t="s">
        <v>6</v>
      </c>
    </row>
    <row r="48" spans="1:8" ht="14.25" customHeight="1">
      <c r="A48" s="65" t="s">
        <v>138</v>
      </c>
      <c r="B48" s="59" t="s">
        <v>388</v>
      </c>
      <c r="C48" s="52" t="s">
        <v>142</v>
      </c>
      <c r="D48" s="52">
        <v>1</v>
      </c>
      <c r="E48" s="52"/>
      <c r="F48" s="66">
        <v>46113</v>
      </c>
      <c r="G48" s="67"/>
      <c r="H48" s="68" t="s">
        <v>6</v>
      </c>
    </row>
    <row r="49" spans="1:8" ht="14.25" customHeight="1">
      <c r="A49" s="65" t="s">
        <v>138</v>
      </c>
      <c r="B49" s="59" t="s">
        <v>388</v>
      </c>
      <c r="C49" s="52" t="s">
        <v>80</v>
      </c>
      <c r="D49" s="52">
        <v>1</v>
      </c>
      <c r="E49" s="52"/>
      <c r="F49" s="66">
        <v>46114</v>
      </c>
      <c r="G49" s="67"/>
      <c r="H49" s="68" t="s">
        <v>6</v>
      </c>
    </row>
    <row r="50" spans="1:8" ht="14.25" customHeight="1">
      <c r="A50" s="69" t="s">
        <v>87</v>
      </c>
      <c r="B50" s="52" t="s">
        <v>297</v>
      </c>
      <c r="C50" s="52" t="s">
        <v>74</v>
      </c>
      <c r="D50" s="52">
        <v>1</v>
      </c>
      <c r="E50" s="52"/>
      <c r="F50" s="66">
        <v>46116</v>
      </c>
      <c r="G50" s="67"/>
      <c r="H50" s="68" t="s">
        <v>6</v>
      </c>
    </row>
    <row r="51" spans="1:8" ht="14.25" customHeight="1">
      <c r="A51" s="69" t="s">
        <v>87</v>
      </c>
      <c r="B51" s="52" t="s">
        <v>297</v>
      </c>
      <c r="C51" s="52" t="s">
        <v>80</v>
      </c>
      <c r="D51" s="52">
        <v>1</v>
      </c>
      <c r="E51" s="52"/>
      <c r="F51" s="66">
        <v>46116</v>
      </c>
      <c r="G51" s="67"/>
      <c r="H51" s="68" t="s">
        <v>6</v>
      </c>
    </row>
    <row r="52" spans="1:8" ht="14.25" customHeight="1">
      <c r="A52" s="69" t="s">
        <v>87</v>
      </c>
      <c r="B52" s="52" t="s">
        <v>297</v>
      </c>
      <c r="C52" s="52" t="s">
        <v>118</v>
      </c>
      <c r="D52" s="52">
        <v>1</v>
      </c>
      <c r="E52" s="52"/>
      <c r="F52" s="66">
        <v>46116</v>
      </c>
      <c r="G52" s="67"/>
      <c r="H52" s="68" t="s">
        <v>6</v>
      </c>
    </row>
    <row r="53" spans="1:8" ht="14.25" customHeight="1">
      <c r="A53" s="69" t="s">
        <v>87</v>
      </c>
      <c r="B53" s="52" t="s">
        <v>300</v>
      </c>
      <c r="C53" s="52" t="s">
        <v>74</v>
      </c>
      <c r="D53" s="52">
        <v>2</v>
      </c>
      <c r="E53" s="52"/>
      <c r="F53" s="66">
        <v>46116</v>
      </c>
      <c r="G53" s="67"/>
      <c r="H53" s="68" t="s">
        <v>6</v>
      </c>
    </row>
    <row r="54" spans="1:8" ht="14.25" customHeight="1">
      <c r="A54" s="69" t="s">
        <v>87</v>
      </c>
      <c r="B54" s="52" t="s">
        <v>300</v>
      </c>
      <c r="C54" s="52" t="s">
        <v>80</v>
      </c>
      <c r="D54" s="52">
        <v>1</v>
      </c>
      <c r="E54" s="52"/>
      <c r="F54" s="66">
        <v>46116</v>
      </c>
      <c r="G54" s="67"/>
      <c r="H54" s="68" t="s">
        <v>6</v>
      </c>
    </row>
    <row r="55" spans="1:8" ht="14.25" customHeight="1">
      <c r="A55" s="69" t="s">
        <v>87</v>
      </c>
      <c r="B55" s="52" t="s">
        <v>300</v>
      </c>
      <c r="C55" s="52" t="s">
        <v>90</v>
      </c>
      <c r="D55" s="52">
        <v>1</v>
      </c>
      <c r="E55" s="52"/>
      <c r="F55" s="66">
        <v>46117</v>
      </c>
      <c r="G55" s="67"/>
      <c r="H55" s="68" t="s">
        <v>6</v>
      </c>
    </row>
    <row r="56" spans="1:8" ht="14.25" customHeight="1">
      <c r="A56" s="69" t="s">
        <v>87</v>
      </c>
      <c r="B56" s="52" t="s">
        <v>303</v>
      </c>
      <c r="C56" s="52" t="s">
        <v>74</v>
      </c>
      <c r="D56" s="52">
        <v>2</v>
      </c>
      <c r="E56" s="52"/>
      <c r="F56" s="66">
        <v>46117</v>
      </c>
      <c r="G56" s="67"/>
      <c r="H56" s="68" t="s">
        <v>6</v>
      </c>
    </row>
    <row r="57" spans="1:8" ht="14.25" customHeight="1">
      <c r="A57" s="69" t="s">
        <v>87</v>
      </c>
      <c r="B57" s="52" t="s">
        <v>303</v>
      </c>
      <c r="C57" s="52" t="s">
        <v>80</v>
      </c>
      <c r="D57" s="52">
        <v>1</v>
      </c>
      <c r="E57" s="52"/>
      <c r="F57" s="66">
        <v>46117</v>
      </c>
      <c r="G57" s="67"/>
      <c r="H57" s="68" t="s">
        <v>6</v>
      </c>
    </row>
    <row r="58" spans="1:8" ht="14.25" customHeight="1">
      <c r="A58" s="69" t="s">
        <v>87</v>
      </c>
      <c r="B58" s="52" t="s">
        <v>303</v>
      </c>
      <c r="C58" s="52" t="s">
        <v>90</v>
      </c>
      <c r="D58" s="52">
        <v>1</v>
      </c>
      <c r="E58" s="52"/>
      <c r="F58" s="66">
        <v>46117</v>
      </c>
      <c r="G58" s="67"/>
      <c r="H58" s="68" t="s">
        <v>6</v>
      </c>
    </row>
    <row r="59" spans="1:8" ht="14.25" customHeight="1">
      <c r="A59" s="69" t="s">
        <v>87</v>
      </c>
      <c r="B59" s="52" t="s">
        <v>305</v>
      </c>
      <c r="C59" s="52" t="s">
        <v>74</v>
      </c>
      <c r="D59" s="52">
        <v>2</v>
      </c>
      <c r="E59" s="52"/>
      <c r="F59" s="66">
        <v>46117</v>
      </c>
      <c r="G59" s="67"/>
      <c r="H59" s="68" t="s">
        <v>6</v>
      </c>
    </row>
    <row r="60" spans="1:8" ht="14.25" customHeight="1">
      <c r="A60" s="69" t="s">
        <v>87</v>
      </c>
      <c r="B60" s="52" t="s">
        <v>305</v>
      </c>
      <c r="C60" s="52" t="s">
        <v>80</v>
      </c>
      <c r="D60" s="52">
        <v>1</v>
      </c>
      <c r="E60" s="52"/>
      <c r="F60" s="66">
        <v>46118</v>
      </c>
      <c r="G60" s="67"/>
      <c r="H60" s="68" t="s">
        <v>6</v>
      </c>
    </row>
    <row r="61" spans="1:8" ht="14.25" customHeight="1">
      <c r="A61" s="69" t="s">
        <v>87</v>
      </c>
      <c r="B61" s="52" t="s">
        <v>305</v>
      </c>
      <c r="C61" s="52" t="s">
        <v>90</v>
      </c>
      <c r="D61" s="52">
        <v>1</v>
      </c>
      <c r="E61" s="52"/>
      <c r="F61" s="66">
        <v>46118</v>
      </c>
      <c r="G61" s="67"/>
      <c r="H61" s="68" t="s">
        <v>6</v>
      </c>
    </row>
    <row r="62" spans="1:8" ht="14.25" customHeight="1">
      <c r="A62" s="69" t="s">
        <v>87</v>
      </c>
      <c r="B62" s="52" t="s">
        <v>308</v>
      </c>
      <c r="C62" s="52" t="s">
        <v>74</v>
      </c>
      <c r="D62" s="52">
        <v>1</v>
      </c>
      <c r="E62" s="52"/>
      <c r="F62" s="66">
        <v>46118</v>
      </c>
      <c r="G62" s="67"/>
      <c r="H62" s="68" t="s">
        <v>6</v>
      </c>
    </row>
    <row r="63" spans="1:8" ht="14.25" customHeight="1">
      <c r="A63" s="69" t="s">
        <v>87</v>
      </c>
      <c r="B63" s="52" t="s">
        <v>308</v>
      </c>
      <c r="C63" s="52" t="s">
        <v>80</v>
      </c>
      <c r="D63" s="52">
        <v>1</v>
      </c>
      <c r="E63" s="52"/>
      <c r="F63" s="66">
        <v>46118</v>
      </c>
      <c r="G63" s="67"/>
      <c r="H63" s="68" t="s">
        <v>6</v>
      </c>
    </row>
    <row r="64" spans="1:8" ht="14.25" customHeight="1">
      <c r="A64" s="69" t="s">
        <v>87</v>
      </c>
      <c r="B64" s="52" t="s">
        <v>308</v>
      </c>
      <c r="C64" s="52" t="s">
        <v>90</v>
      </c>
      <c r="D64" s="52">
        <v>1</v>
      </c>
      <c r="E64" s="52"/>
      <c r="F64" s="66">
        <v>46118</v>
      </c>
      <c r="G64" s="67"/>
      <c r="H64" s="68" t="s">
        <v>6</v>
      </c>
    </row>
    <row r="65" spans="1:8" ht="14.25" customHeight="1">
      <c r="A65" s="69" t="s">
        <v>87</v>
      </c>
      <c r="B65" s="52" t="s">
        <v>311</v>
      </c>
      <c r="C65" s="52" t="s">
        <v>74</v>
      </c>
      <c r="D65" s="52">
        <v>2</v>
      </c>
      <c r="E65" s="52"/>
      <c r="F65" s="66">
        <v>46119</v>
      </c>
      <c r="G65" s="67"/>
      <c r="H65" s="68" t="s">
        <v>6</v>
      </c>
    </row>
    <row r="66" spans="1:8" ht="14.25" customHeight="1">
      <c r="A66" s="69" t="s">
        <v>87</v>
      </c>
      <c r="B66" s="52" t="s">
        <v>311</v>
      </c>
      <c r="C66" s="52" t="s">
        <v>80</v>
      </c>
      <c r="D66" s="52">
        <v>1</v>
      </c>
      <c r="E66" s="52"/>
      <c r="F66" s="66">
        <v>46119</v>
      </c>
      <c r="G66" s="67"/>
      <c r="H66" s="68" t="s">
        <v>6</v>
      </c>
    </row>
    <row r="67" spans="1:8" ht="14.25" customHeight="1">
      <c r="A67" s="69" t="s">
        <v>87</v>
      </c>
      <c r="B67" s="52" t="s">
        <v>311</v>
      </c>
      <c r="C67" s="52" t="s">
        <v>118</v>
      </c>
      <c r="D67" s="52">
        <v>1</v>
      </c>
      <c r="E67" s="52"/>
      <c r="F67" s="66">
        <v>46119</v>
      </c>
      <c r="G67" s="67"/>
      <c r="H67" s="68" t="s">
        <v>6</v>
      </c>
    </row>
    <row r="68" spans="1:8" ht="14.25" customHeight="1">
      <c r="A68" s="69" t="s">
        <v>87</v>
      </c>
      <c r="B68" s="52" t="s">
        <v>20</v>
      </c>
      <c r="C68" s="52" t="s">
        <v>74</v>
      </c>
      <c r="D68" s="52">
        <v>7</v>
      </c>
      <c r="E68" s="52"/>
      <c r="F68" s="66">
        <v>46119</v>
      </c>
      <c r="G68" s="67"/>
      <c r="H68" s="68" t="s">
        <v>6</v>
      </c>
    </row>
    <row r="69" spans="1:8" ht="14.25" customHeight="1">
      <c r="A69" s="69" t="s">
        <v>87</v>
      </c>
      <c r="B69" s="52" t="s">
        <v>20</v>
      </c>
      <c r="C69" s="52" t="s">
        <v>80</v>
      </c>
      <c r="D69" s="52">
        <v>1</v>
      </c>
      <c r="E69" s="52"/>
      <c r="F69" s="66">
        <v>46120</v>
      </c>
      <c r="G69" s="67"/>
      <c r="H69" s="68" t="s">
        <v>6</v>
      </c>
    </row>
    <row r="70" spans="1:8" ht="14.25" customHeight="1">
      <c r="A70" s="69" t="s">
        <v>87</v>
      </c>
      <c r="B70" s="52" t="s">
        <v>20</v>
      </c>
      <c r="C70" s="52" t="s">
        <v>90</v>
      </c>
      <c r="D70" s="52">
        <v>3</v>
      </c>
      <c r="E70" s="52"/>
      <c r="F70" s="66">
        <v>46120</v>
      </c>
      <c r="G70" s="67"/>
      <c r="H70" s="68" t="s">
        <v>6</v>
      </c>
    </row>
    <row r="71" spans="1:8" ht="14.25" customHeight="1">
      <c r="A71" s="69" t="s">
        <v>87</v>
      </c>
      <c r="B71" s="52" t="s">
        <v>20</v>
      </c>
      <c r="C71" s="52" t="s">
        <v>118</v>
      </c>
      <c r="D71" s="52">
        <v>1</v>
      </c>
      <c r="E71" s="52"/>
      <c r="F71" s="66">
        <v>46120</v>
      </c>
      <c r="G71" s="67"/>
      <c r="H71" s="68" t="s">
        <v>6</v>
      </c>
    </row>
    <row r="72" spans="1:8" ht="14.25" customHeight="1">
      <c r="A72" s="69" t="s">
        <v>87</v>
      </c>
      <c r="B72" s="52" t="s">
        <v>20</v>
      </c>
      <c r="C72" s="52" t="s">
        <v>314</v>
      </c>
      <c r="D72" s="52">
        <v>2</v>
      </c>
      <c r="E72" s="52"/>
      <c r="F72" s="66">
        <v>46120</v>
      </c>
      <c r="G72" s="67"/>
      <c r="H72" s="68" t="s">
        <v>6</v>
      </c>
    </row>
    <row r="73" spans="1:8" ht="14.25" customHeight="1">
      <c r="A73" s="69" t="s">
        <v>87</v>
      </c>
      <c r="B73" s="52" t="s">
        <v>20</v>
      </c>
      <c r="C73" s="52" t="s">
        <v>84</v>
      </c>
      <c r="D73" s="52">
        <v>2</v>
      </c>
      <c r="E73" s="52"/>
      <c r="F73" s="66">
        <v>46120</v>
      </c>
      <c r="G73" s="67"/>
      <c r="H73" s="68" t="s">
        <v>6</v>
      </c>
    </row>
    <row r="74" spans="1:8" ht="14.25" customHeight="1">
      <c r="A74" s="69" t="s">
        <v>87</v>
      </c>
      <c r="B74" s="52" t="s">
        <v>20</v>
      </c>
      <c r="C74" s="52" t="s">
        <v>313</v>
      </c>
      <c r="D74" s="52">
        <v>1</v>
      </c>
      <c r="E74" s="52"/>
      <c r="F74" s="66">
        <v>46121</v>
      </c>
      <c r="G74" s="67"/>
      <c r="H74" s="68" t="s">
        <v>6</v>
      </c>
    </row>
    <row r="75" spans="1:8" ht="14.25" customHeight="1">
      <c r="A75" s="69" t="s">
        <v>87</v>
      </c>
      <c r="B75" s="52" t="s">
        <v>20</v>
      </c>
      <c r="C75" s="52" t="s">
        <v>312</v>
      </c>
      <c r="D75" s="52">
        <v>2</v>
      </c>
      <c r="E75" s="52"/>
      <c r="F75" s="66">
        <v>46121</v>
      </c>
      <c r="G75" s="67"/>
      <c r="H75" s="68" t="s">
        <v>6</v>
      </c>
    </row>
    <row r="76" spans="1:8" ht="14.25" customHeight="1">
      <c r="A76" s="69" t="s">
        <v>87</v>
      </c>
      <c r="B76" s="52" t="s">
        <v>20</v>
      </c>
      <c r="C76" s="52" t="s">
        <v>83</v>
      </c>
      <c r="D76" s="52">
        <v>2</v>
      </c>
      <c r="E76" s="52"/>
      <c r="F76" s="66">
        <v>46121</v>
      </c>
      <c r="G76" s="67"/>
      <c r="H76" s="68" t="s">
        <v>6</v>
      </c>
    </row>
    <row r="77" spans="1:8" ht="14.25" customHeight="1">
      <c r="A77" s="69" t="s">
        <v>87</v>
      </c>
      <c r="B77" s="52" t="s">
        <v>318</v>
      </c>
      <c r="C77" s="52" t="s">
        <v>74</v>
      </c>
      <c r="D77" s="52">
        <v>1</v>
      </c>
      <c r="E77" s="52"/>
      <c r="F77" s="66">
        <v>46121</v>
      </c>
      <c r="G77" s="67"/>
      <c r="H77" s="68" t="s">
        <v>6</v>
      </c>
    </row>
    <row r="78" spans="1:8" ht="14.25" customHeight="1">
      <c r="A78" s="69" t="s">
        <v>87</v>
      </c>
      <c r="B78" s="52" t="s">
        <v>318</v>
      </c>
      <c r="C78" s="52" t="s">
        <v>80</v>
      </c>
      <c r="D78" s="52">
        <v>1</v>
      </c>
      <c r="E78" s="52"/>
      <c r="F78" s="66">
        <v>46121</v>
      </c>
      <c r="G78" s="67"/>
      <c r="H78" s="68" t="s">
        <v>6</v>
      </c>
    </row>
    <row r="79" spans="1:8" ht="14.25" customHeight="1">
      <c r="A79" s="69" t="s">
        <v>87</v>
      </c>
      <c r="B79" s="52" t="s">
        <v>318</v>
      </c>
      <c r="C79" s="52" t="s">
        <v>118</v>
      </c>
      <c r="D79" s="52">
        <v>1</v>
      </c>
      <c r="E79" s="52"/>
      <c r="F79" s="66">
        <v>46122</v>
      </c>
      <c r="G79" s="67"/>
      <c r="H79" s="68" t="s">
        <v>6</v>
      </c>
    </row>
    <row r="80" spans="1:8" ht="14.25" customHeight="1">
      <c r="A80" s="69" t="s">
        <v>87</v>
      </c>
      <c r="B80" s="52" t="s">
        <v>321</v>
      </c>
      <c r="C80" s="52" t="s">
        <v>74</v>
      </c>
      <c r="D80" s="52">
        <v>1</v>
      </c>
      <c r="E80" s="52"/>
      <c r="F80" s="66">
        <v>46122</v>
      </c>
      <c r="G80" s="67"/>
      <c r="H80" s="68" t="s">
        <v>6</v>
      </c>
    </row>
    <row r="81" spans="1:8" ht="14.25" customHeight="1">
      <c r="A81" s="69" t="s">
        <v>87</v>
      </c>
      <c r="B81" s="52" t="s">
        <v>321</v>
      </c>
      <c r="C81" s="52" t="s">
        <v>80</v>
      </c>
      <c r="D81" s="52">
        <v>1</v>
      </c>
      <c r="E81" s="52"/>
      <c r="F81" s="66">
        <v>46122</v>
      </c>
      <c r="G81" s="67"/>
      <c r="H81" s="68" t="s">
        <v>6</v>
      </c>
    </row>
    <row r="82" spans="1:8" ht="14.25" customHeight="1">
      <c r="A82" s="69" t="s">
        <v>87</v>
      </c>
      <c r="B82" s="52" t="s">
        <v>321</v>
      </c>
      <c r="C82" s="52" t="s">
        <v>118</v>
      </c>
      <c r="D82" s="52">
        <v>1</v>
      </c>
      <c r="E82" s="52"/>
      <c r="F82" s="66">
        <v>46122</v>
      </c>
      <c r="G82" s="67"/>
      <c r="H82" s="68" t="s">
        <v>6</v>
      </c>
    </row>
    <row r="83" spans="1:8" ht="14.25" customHeight="1">
      <c r="A83" s="69" t="s">
        <v>87</v>
      </c>
      <c r="B83" s="52" t="s">
        <v>23</v>
      </c>
      <c r="C83" s="52" t="s">
        <v>74</v>
      </c>
      <c r="D83" s="52">
        <v>6</v>
      </c>
      <c r="E83" s="52"/>
      <c r="F83" s="66">
        <v>46122</v>
      </c>
      <c r="G83" s="67"/>
      <c r="H83" s="68" t="s">
        <v>6</v>
      </c>
    </row>
    <row r="84" spans="1:8" ht="14.25" customHeight="1">
      <c r="A84" s="69" t="s">
        <v>87</v>
      </c>
      <c r="B84" s="52" t="s">
        <v>23</v>
      </c>
      <c r="C84" s="52" t="s">
        <v>80</v>
      </c>
      <c r="D84" s="52">
        <v>1</v>
      </c>
      <c r="E84" s="52"/>
      <c r="F84" s="66">
        <v>46123</v>
      </c>
      <c r="G84" s="67"/>
      <c r="H84" s="68" t="s">
        <v>6</v>
      </c>
    </row>
    <row r="85" spans="1:8" ht="14.25" customHeight="1">
      <c r="A85" s="69" t="s">
        <v>87</v>
      </c>
      <c r="B85" s="52" t="s">
        <v>23</v>
      </c>
      <c r="C85" s="52" t="s">
        <v>90</v>
      </c>
      <c r="D85" s="52">
        <v>2</v>
      </c>
      <c r="E85" s="52"/>
      <c r="F85" s="66">
        <v>46123</v>
      </c>
      <c r="G85" s="67"/>
      <c r="H85" s="68" t="s">
        <v>6</v>
      </c>
    </row>
    <row r="86" spans="1:8" ht="14.25" customHeight="1">
      <c r="A86" s="69" t="s">
        <v>87</v>
      </c>
      <c r="B86" s="52" t="s">
        <v>23</v>
      </c>
      <c r="C86" s="52" t="s">
        <v>118</v>
      </c>
      <c r="D86" s="52">
        <v>1</v>
      </c>
      <c r="E86" s="52"/>
      <c r="F86" s="66">
        <v>46123</v>
      </c>
      <c r="G86" s="67"/>
      <c r="H86" s="68" t="s">
        <v>6</v>
      </c>
    </row>
    <row r="87" spans="1:8" ht="14.25" customHeight="1">
      <c r="A87" s="69" t="s">
        <v>87</v>
      </c>
      <c r="B87" s="52" t="s">
        <v>23</v>
      </c>
      <c r="C87" s="52" t="s">
        <v>314</v>
      </c>
      <c r="D87" s="52">
        <v>2</v>
      </c>
      <c r="E87" s="52"/>
      <c r="F87" s="66">
        <v>46123</v>
      </c>
      <c r="G87" s="67"/>
      <c r="H87" s="68" t="s">
        <v>6</v>
      </c>
    </row>
    <row r="88" spans="1:8" ht="14.25" customHeight="1">
      <c r="A88" s="69" t="s">
        <v>87</v>
      </c>
      <c r="B88" s="52" t="s">
        <v>23</v>
      </c>
      <c r="C88" s="52" t="s">
        <v>84</v>
      </c>
      <c r="D88" s="52">
        <v>2</v>
      </c>
      <c r="E88" s="52"/>
      <c r="F88" s="66">
        <v>46124</v>
      </c>
      <c r="G88" s="67"/>
      <c r="H88" s="68" t="s">
        <v>6</v>
      </c>
    </row>
    <row r="89" spans="1:8" ht="14.25" customHeight="1">
      <c r="A89" s="69" t="s">
        <v>87</v>
      </c>
      <c r="B89" s="52" t="s">
        <v>23</v>
      </c>
      <c r="C89" s="52" t="s">
        <v>313</v>
      </c>
      <c r="D89" s="52">
        <v>1</v>
      </c>
      <c r="E89" s="52"/>
      <c r="F89" s="66">
        <v>46124</v>
      </c>
      <c r="G89" s="67"/>
      <c r="H89" s="68" t="s">
        <v>6</v>
      </c>
    </row>
    <row r="90" spans="1:8" ht="14.25" customHeight="1">
      <c r="A90" s="69" t="s">
        <v>87</v>
      </c>
      <c r="B90" s="52" t="s">
        <v>23</v>
      </c>
      <c r="C90" s="52" t="s">
        <v>83</v>
      </c>
      <c r="D90" s="52">
        <v>2</v>
      </c>
      <c r="E90" s="52"/>
      <c r="F90" s="66">
        <v>46124</v>
      </c>
      <c r="G90" s="67"/>
      <c r="H90" s="68" t="s">
        <v>6</v>
      </c>
    </row>
    <row r="91" spans="1:8" ht="14.25" customHeight="1">
      <c r="A91" s="69" t="s">
        <v>87</v>
      </c>
      <c r="B91" s="52" t="s">
        <v>277</v>
      </c>
      <c r="C91" s="52" t="s">
        <v>74</v>
      </c>
      <c r="D91" s="52">
        <v>2</v>
      </c>
      <c r="E91" s="52"/>
      <c r="F91" s="66">
        <v>46071</v>
      </c>
      <c r="G91" s="67"/>
      <c r="H91" s="68" t="s">
        <v>4</v>
      </c>
    </row>
    <row r="92" spans="1:8" ht="14.25" customHeight="1">
      <c r="A92" s="69" t="s">
        <v>87</v>
      </c>
      <c r="B92" s="52" t="s">
        <v>277</v>
      </c>
      <c r="C92" s="52" t="s">
        <v>80</v>
      </c>
      <c r="D92" s="52">
        <v>1</v>
      </c>
      <c r="E92" s="52"/>
      <c r="F92" s="66">
        <v>46071</v>
      </c>
      <c r="G92" s="67"/>
      <c r="H92" s="68" t="s">
        <v>4</v>
      </c>
    </row>
    <row r="93" spans="1:8" ht="14.25" customHeight="1">
      <c r="A93" s="69" t="s">
        <v>87</v>
      </c>
      <c r="B93" s="52" t="s">
        <v>348</v>
      </c>
      <c r="C93" s="52" t="s">
        <v>74</v>
      </c>
      <c r="D93" s="52">
        <v>1</v>
      </c>
      <c r="E93" s="52"/>
      <c r="F93" s="66">
        <v>46125</v>
      </c>
      <c r="G93" s="67"/>
      <c r="H93" s="68" t="s">
        <v>6</v>
      </c>
    </row>
    <row r="94" spans="1:8" ht="14.25" customHeight="1">
      <c r="A94" s="69" t="s">
        <v>87</v>
      </c>
      <c r="B94" s="52" t="s">
        <v>348</v>
      </c>
      <c r="C94" s="52" t="s">
        <v>80</v>
      </c>
      <c r="D94" s="52">
        <v>1</v>
      </c>
      <c r="E94" s="52"/>
      <c r="F94" s="66">
        <v>46125</v>
      </c>
      <c r="G94" s="67"/>
      <c r="H94" s="68" t="s">
        <v>6</v>
      </c>
    </row>
    <row r="95" spans="1:8" ht="14.25" customHeight="1">
      <c r="A95" s="69" t="s">
        <v>87</v>
      </c>
      <c r="B95" s="52" t="s">
        <v>350</v>
      </c>
      <c r="C95" s="52" t="s">
        <v>74</v>
      </c>
      <c r="D95" s="52">
        <v>1</v>
      </c>
      <c r="E95" s="52"/>
      <c r="F95" s="66">
        <v>46125</v>
      </c>
      <c r="G95" s="67"/>
      <c r="H95" s="68" t="s">
        <v>6</v>
      </c>
    </row>
    <row r="96" spans="1:8" ht="14.25" customHeight="1">
      <c r="A96" s="69" t="s">
        <v>87</v>
      </c>
      <c r="B96" s="52" t="s">
        <v>350</v>
      </c>
      <c r="C96" s="52" t="s">
        <v>80</v>
      </c>
      <c r="D96" s="52">
        <v>1</v>
      </c>
      <c r="E96" s="52"/>
      <c r="F96" s="66">
        <v>46125</v>
      </c>
      <c r="G96" s="67"/>
      <c r="H96" s="68" t="s">
        <v>6</v>
      </c>
    </row>
    <row r="97" spans="1:8" ht="14.25" customHeight="1">
      <c r="A97" s="69" t="s">
        <v>87</v>
      </c>
      <c r="B97" s="52" t="s">
        <v>353</v>
      </c>
      <c r="C97" s="52" t="s">
        <v>74</v>
      </c>
      <c r="D97" s="52">
        <v>1</v>
      </c>
      <c r="E97" s="52"/>
      <c r="F97" s="66">
        <v>46125</v>
      </c>
      <c r="G97" s="67"/>
      <c r="H97" s="68" t="s">
        <v>6</v>
      </c>
    </row>
    <row r="98" spans="1:8" ht="14.25" customHeight="1">
      <c r="A98" s="69" t="s">
        <v>87</v>
      </c>
      <c r="B98" s="52" t="s">
        <v>353</v>
      </c>
      <c r="C98" s="52" t="s">
        <v>80</v>
      </c>
      <c r="D98" s="52">
        <v>1</v>
      </c>
      <c r="E98" s="52"/>
      <c r="F98" s="66">
        <v>46126</v>
      </c>
      <c r="G98" s="67"/>
      <c r="H98" s="68" t="s">
        <v>6</v>
      </c>
    </row>
    <row r="99" spans="1:8" ht="14.25" customHeight="1">
      <c r="A99" s="69" t="s">
        <v>87</v>
      </c>
      <c r="B99" s="52" t="s">
        <v>354</v>
      </c>
      <c r="C99" s="52" t="s">
        <v>74</v>
      </c>
      <c r="D99" s="52">
        <v>1</v>
      </c>
      <c r="E99" s="52"/>
      <c r="F99" s="66">
        <v>46126</v>
      </c>
      <c r="G99" s="67"/>
      <c r="H99" s="68" t="s">
        <v>6</v>
      </c>
    </row>
    <row r="100" spans="1:8" ht="14.25" customHeight="1">
      <c r="A100" s="69" t="s">
        <v>87</v>
      </c>
      <c r="B100" s="52" t="s">
        <v>354</v>
      </c>
      <c r="C100" s="52" t="s">
        <v>80</v>
      </c>
      <c r="D100" s="52">
        <v>1</v>
      </c>
      <c r="E100" s="52"/>
      <c r="F100" s="66">
        <v>46126</v>
      </c>
      <c r="G100" s="67"/>
      <c r="H100" s="68" t="s">
        <v>6</v>
      </c>
    </row>
    <row r="101" spans="1:8" ht="14.25" customHeight="1">
      <c r="A101" s="69" t="s">
        <v>87</v>
      </c>
      <c r="B101" s="52" t="s">
        <v>357</v>
      </c>
      <c r="C101" s="52" t="s">
        <v>74</v>
      </c>
      <c r="D101" s="52">
        <v>1</v>
      </c>
      <c r="E101" s="52"/>
      <c r="F101" s="66">
        <v>46126</v>
      </c>
      <c r="G101" s="67"/>
      <c r="H101" s="68" t="s">
        <v>6</v>
      </c>
    </row>
    <row r="102" spans="1:8" ht="14.25" customHeight="1">
      <c r="A102" s="69" t="s">
        <v>87</v>
      </c>
      <c r="B102" s="52" t="s">
        <v>357</v>
      </c>
      <c r="C102" s="52" t="s">
        <v>80</v>
      </c>
      <c r="D102" s="52">
        <v>1</v>
      </c>
      <c r="E102" s="52"/>
      <c r="F102" s="66">
        <v>46126</v>
      </c>
      <c r="G102" s="67"/>
      <c r="H102" s="68" t="s">
        <v>6</v>
      </c>
    </row>
    <row r="103" spans="1:8" ht="14.25" customHeight="1">
      <c r="A103" s="69" t="s">
        <v>87</v>
      </c>
      <c r="B103" s="52" t="s">
        <v>358</v>
      </c>
      <c r="C103" s="52" t="s">
        <v>74</v>
      </c>
      <c r="D103" s="52">
        <v>1</v>
      </c>
      <c r="E103" s="52"/>
      <c r="F103" s="66">
        <v>46127</v>
      </c>
      <c r="G103" s="67"/>
      <c r="H103" s="68" t="s">
        <v>6</v>
      </c>
    </row>
    <row r="104" spans="1:8" ht="14.25" customHeight="1">
      <c r="A104" s="69" t="s">
        <v>87</v>
      </c>
      <c r="B104" s="52" t="s">
        <v>358</v>
      </c>
      <c r="C104" s="52" t="s">
        <v>80</v>
      </c>
      <c r="D104" s="52">
        <v>1</v>
      </c>
      <c r="E104" s="52"/>
      <c r="F104" s="66">
        <v>46127</v>
      </c>
      <c r="G104" s="67"/>
      <c r="H104" s="68" t="s">
        <v>6</v>
      </c>
    </row>
    <row r="105" spans="1:8" ht="14.25" customHeight="1">
      <c r="A105" s="69" t="s">
        <v>87</v>
      </c>
      <c r="B105" s="52" t="s">
        <v>359</v>
      </c>
      <c r="C105" s="52" t="s">
        <v>74</v>
      </c>
      <c r="D105" s="52">
        <v>1</v>
      </c>
      <c r="E105" s="52"/>
      <c r="F105" s="66">
        <v>46127</v>
      </c>
      <c r="G105" s="67"/>
      <c r="H105" s="68" t="s">
        <v>6</v>
      </c>
    </row>
    <row r="106" spans="1:8" ht="14.25" customHeight="1">
      <c r="A106" s="69" t="s">
        <v>87</v>
      </c>
      <c r="B106" s="52" t="s">
        <v>359</v>
      </c>
      <c r="C106" s="52" t="s">
        <v>80</v>
      </c>
      <c r="D106" s="52">
        <v>1</v>
      </c>
      <c r="E106" s="52"/>
      <c r="F106" s="66">
        <v>46127</v>
      </c>
      <c r="G106" s="67"/>
      <c r="H106" s="68" t="s">
        <v>6</v>
      </c>
    </row>
    <row r="107" spans="1:8" ht="14.25" customHeight="1">
      <c r="A107" s="69" t="s">
        <v>87</v>
      </c>
      <c r="B107" s="52" t="s">
        <v>360</v>
      </c>
      <c r="C107" s="52" t="s">
        <v>74</v>
      </c>
      <c r="D107" s="52">
        <v>1</v>
      </c>
      <c r="E107" s="52"/>
      <c r="F107" s="66">
        <v>46128</v>
      </c>
      <c r="G107" s="67"/>
      <c r="H107" s="68" t="s">
        <v>6</v>
      </c>
    </row>
    <row r="108" spans="1:8" ht="14.25" customHeight="1">
      <c r="A108" s="69" t="s">
        <v>87</v>
      </c>
      <c r="B108" s="52" t="s">
        <v>360</v>
      </c>
      <c r="C108" s="52" t="s">
        <v>80</v>
      </c>
      <c r="D108" s="52">
        <v>1</v>
      </c>
      <c r="E108" s="52"/>
      <c r="F108" s="66">
        <v>46128</v>
      </c>
      <c r="G108" s="67"/>
      <c r="H108" s="68" t="s">
        <v>6</v>
      </c>
    </row>
    <row r="109" spans="1:8" ht="14.25" customHeight="1">
      <c r="A109" s="69" t="s">
        <v>87</v>
      </c>
      <c r="B109" s="52" t="s">
        <v>363</v>
      </c>
      <c r="C109" s="52" t="s">
        <v>74</v>
      </c>
      <c r="D109" s="52">
        <v>2</v>
      </c>
      <c r="E109" s="52"/>
      <c r="F109" s="66">
        <v>46128</v>
      </c>
      <c r="G109" s="67"/>
      <c r="H109" s="68" t="s">
        <v>6</v>
      </c>
    </row>
    <row r="110" spans="1:8" ht="14.25" customHeight="1">
      <c r="A110" s="69" t="s">
        <v>87</v>
      </c>
      <c r="B110" s="52" t="s">
        <v>363</v>
      </c>
      <c r="C110" s="52" t="s">
        <v>80</v>
      </c>
      <c r="D110" s="52">
        <v>1</v>
      </c>
      <c r="E110" s="52"/>
      <c r="F110" s="66">
        <v>46128</v>
      </c>
      <c r="G110" s="67"/>
      <c r="H110" s="68" t="s">
        <v>6</v>
      </c>
    </row>
    <row r="111" spans="1:8" ht="14.25" customHeight="1">
      <c r="A111" s="69" t="s">
        <v>87</v>
      </c>
      <c r="B111" s="52" t="s">
        <v>134</v>
      </c>
      <c r="C111" s="52" t="s">
        <v>74</v>
      </c>
      <c r="D111" s="52">
        <v>2</v>
      </c>
      <c r="E111" s="52"/>
      <c r="F111" s="66">
        <v>46128</v>
      </c>
      <c r="G111" s="67"/>
      <c r="H111" s="68" t="s">
        <v>6</v>
      </c>
    </row>
    <row r="112" spans="1:8" ht="14.25" customHeight="1">
      <c r="A112" s="69" t="s">
        <v>87</v>
      </c>
      <c r="B112" s="52" t="s">
        <v>134</v>
      </c>
      <c r="C112" s="52" t="s">
        <v>80</v>
      </c>
      <c r="D112" s="52">
        <v>1</v>
      </c>
      <c r="E112" s="52"/>
      <c r="F112" s="66">
        <v>46129</v>
      </c>
      <c r="G112" s="67"/>
      <c r="H112" s="68" t="s">
        <v>6</v>
      </c>
    </row>
    <row r="113" spans="1:8" ht="14.25" customHeight="1">
      <c r="A113" s="69" t="s">
        <v>87</v>
      </c>
      <c r="B113" s="52" t="s">
        <v>134</v>
      </c>
      <c r="C113" s="52" t="s">
        <v>90</v>
      </c>
      <c r="D113" s="52">
        <v>1</v>
      </c>
      <c r="E113" s="52"/>
      <c r="F113" s="66">
        <v>46129</v>
      </c>
      <c r="G113" s="67"/>
      <c r="H113" s="68" t="s">
        <v>6</v>
      </c>
    </row>
    <row r="114" spans="1:8" ht="14.25" customHeight="1">
      <c r="A114" s="69" t="s">
        <v>87</v>
      </c>
      <c r="B114" s="52" t="s">
        <v>343</v>
      </c>
      <c r="C114" s="52" t="s">
        <v>74</v>
      </c>
      <c r="D114" s="52">
        <v>2</v>
      </c>
      <c r="E114" s="52"/>
      <c r="F114" s="66">
        <v>46129</v>
      </c>
      <c r="G114" s="67"/>
      <c r="H114" s="68" t="s">
        <v>6</v>
      </c>
    </row>
    <row r="115" spans="1:8" ht="14.25" customHeight="1">
      <c r="A115" s="69" t="s">
        <v>87</v>
      </c>
      <c r="B115" s="52" t="s">
        <v>343</v>
      </c>
      <c r="C115" s="52" t="s">
        <v>80</v>
      </c>
      <c r="D115" s="52">
        <v>2</v>
      </c>
      <c r="E115" s="52"/>
      <c r="F115" s="66">
        <v>46129</v>
      </c>
      <c r="G115" s="67"/>
      <c r="H115" s="68" t="s">
        <v>6</v>
      </c>
    </row>
    <row r="116" spans="1:8" ht="14.25" customHeight="1">
      <c r="A116" s="69" t="s">
        <v>87</v>
      </c>
      <c r="B116" s="52" t="s">
        <v>343</v>
      </c>
      <c r="C116" s="52" t="s">
        <v>90</v>
      </c>
      <c r="D116" s="52">
        <v>1</v>
      </c>
      <c r="E116" s="52"/>
      <c r="F116" s="66">
        <v>46129</v>
      </c>
      <c r="G116" s="67"/>
      <c r="H116" s="68" t="s">
        <v>6</v>
      </c>
    </row>
    <row r="117" spans="1:8" ht="14.25" customHeight="1">
      <c r="A117" s="69" t="s">
        <v>87</v>
      </c>
      <c r="B117" s="52" t="s">
        <v>88</v>
      </c>
      <c r="C117" s="52" t="s">
        <v>74</v>
      </c>
      <c r="D117" s="52">
        <v>1</v>
      </c>
      <c r="E117" s="52"/>
      <c r="F117" s="66">
        <v>46130</v>
      </c>
      <c r="G117" s="67"/>
      <c r="H117" s="68" t="s">
        <v>6</v>
      </c>
    </row>
    <row r="118" spans="1:8" ht="14.25" customHeight="1">
      <c r="A118" s="69" t="s">
        <v>87</v>
      </c>
      <c r="B118" s="52" t="s">
        <v>88</v>
      </c>
      <c r="C118" s="52" t="s">
        <v>80</v>
      </c>
      <c r="D118" s="52">
        <v>1</v>
      </c>
      <c r="E118" s="52"/>
      <c r="F118" s="66">
        <v>46130</v>
      </c>
      <c r="G118" s="67"/>
      <c r="H118" s="68" t="s">
        <v>6</v>
      </c>
    </row>
    <row r="119" spans="1:8" ht="14.25" customHeight="1">
      <c r="A119" s="69" t="s">
        <v>87</v>
      </c>
      <c r="B119" s="52" t="s">
        <v>364</v>
      </c>
      <c r="C119" s="52" t="s">
        <v>74</v>
      </c>
      <c r="D119" s="52">
        <v>1</v>
      </c>
      <c r="E119" s="52"/>
      <c r="F119" s="66">
        <v>46130</v>
      </c>
      <c r="G119" s="67"/>
      <c r="H119" s="68" t="s">
        <v>6</v>
      </c>
    </row>
    <row r="120" spans="1:8" ht="14.25" customHeight="1">
      <c r="A120" s="69" t="s">
        <v>87</v>
      </c>
      <c r="B120" s="52" t="s">
        <v>364</v>
      </c>
      <c r="C120" s="52" t="s">
        <v>80</v>
      </c>
      <c r="D120" s="52">
        <v>1</v>
      </c>
      <c r="E120" s="52"/>
      <c r="F120" s="66">
        <v>46130</v>
      </c>
      <c r="G120" s="67"/>
      <c r="H120" s="68" t="s">
        <v>6</v>
      </c>
    </row>
    <row r="121" spans="1:8" ht="14.25" customHeight="1">
      <c r="A121" s="69" t="s">
        <v>87</v>
      </c>
      <c r="B121" s="52" t="s">
        <v>91</v>
      </c>
      <c r="C121" s="52" t="s">
        <v>74</v>
      </c>
      <c r="D121" s="52">
        <v>1</v>
      </c>
      <c r="E121" s="52"/>
      <c r="F121" s="66">
        <v>46130</v>
      </c>
      <c r="G121" s="67"/>
      <c r="H121" s="68" t="s">
        <v>6</v>
      </c>
    </row>
    <row r="122" spans="1:8" ht="14.25" customHeight="1">
      <c r="A122" s="69" t="s">
        <v>87</v>
      </c>
      <c r="B122" s="52" t="s">
        <v>365</v>
      </c>
      <c r="C122" s="52" t="s">
        <v>74</v>
      </c>
      <c r="D122" s="52">
        <v>1</v>
      </c>
      <c r="E122" s="52"/>
      <c r="F122" s="66">
        <v>46131</v>
      </c>
      <c r="G122" s="67"/>
      <c r="H122" s="68" t="s">
        <v>6</v>
      </c>
    </row>
    <row r="123" spans="1:8" ht="14.25" customHeight="1">
      <c r="A123" s="69" t="s">
        <v>87</v>
      </c>
      <c r="B123" s="52" t="s">
        <v>92</v>
      </c>
      <c r="C123" s="52" t="s">
        <v>74</v>
      </c>
      <c r="D123" s="52">
        <v>1</v>
      </c>
      <c r="E123" s="52"/>
      <c r="F123" s="66">
        <v>46131</v>
      </c>
      <c r="G123" s="67"/>
      <c r="H123" s="68" t="s">
        <v>6</v>
      </c>
    </row>
    <row r="124" spans="1:8" ht="14.25" customHeight="1">
      <c r="A124" s="69" t="s">
        <v>87</v>
      </c>
      <c r="B124" s="52" t="s">
        <v>366</v>
      </c>
      <c r="C124" s="52" t="s">
        <v>74</v>
      </c>
      <c r="D124" s="52">
        <v>1</v>
      </c>
      <c r="E124" s="52"/>
      <c r="F124" s="66">
        <v>46131</v>
      </c>
      <c r="G124" s="67"/>
      <c r="H124" s="68" t="s">
        <v>6</v>
      </c>
    </row>
    <row r="125" spans="1:8" ht="14.25" customHeight="1">
      <c r="A125" s="69" t="s">
        <v>87</v>
      </c>
      <c r="B125" s="52" t="s">
        <v>368</v>
      </c>
      <c r="C125" s="52" t="s">
        <v>74</v>
      </c>
      <c r="D125" s="52">
        <v>1</v>
      </c>
      <c r="E125" s="52"/>
      <c r="F125" s="66">
        <v>46131</v>
      </c>
      <c r="G125" s="67"/>
      <c r="H125" s="68" t="s">
        <v>6</v>
      </c>
    </row>
    <row r="126" spans="1:8" ht="14.25" customHeight="1">
      <c r="A126" s="69" t="s">
        <v>93</v>
      </c>
      <c r="B126" s="52" t="s">
        <v>143</v>
      </c>
      <c r="C126" s="52" t="s">
        <v>74</v>
      </c>
      <c r="D126" s="52">
        <v>2</v>
      </c>
      <c r="E126" s="52"/>
      <c r="F126" s="66">
        <v>46132</v>
      </c>
      <c r="G126" s="67"/>
      <c r="H126" s="68" t="s">
        <v>6</v>
      </c>
    </row>
    <row r="127" spans="1:8" ht="14.25" customHeight="1">
      <c r="A127" s="69" t="s">
        <v>93</v>
      </c>
      <c r="B127" s="52" t="s">
        <v>143</v>
      </c>
      <c r="C127" s="52" t="s">
        <v>80</v>
      </c>
      <c r="D127" s="52">
        <v>1</v>
      </c>
      <c r="E127" s="52"/>
      <c r="F127" s="66">
        <v>46132</v>
      </c>
      <c r="G127" s="67"/>
      <c r="H127" s="68" t="s">
        <v>6</v>
      </c>
    </row>
    <row r="128" spans="1:8" ht="14.25" customHeight="1">
      <c r="A128" s="69" t="s">
        <v>93</v>
      </c>
      <c r="B128" s="52" t="s">
        <v>143</v>
      </c>
      <c r="C128" s="52" t="s">
        <v>90</v>
      </c>
      <c r="D128" s="52">
        <v>1</v>
      </c>
      <c r="E128" s="52"/>
      <c r="F128" s="66">
        <v>46132</v>
      </c>
      <c r="G128" s="67"/>
      <c r="H128" s="68" t="s">
        <v>6</v>
      </c>
    </row>
    <row r="129" spans="1:8" ht="14.25" customHeight="1">
      <c r="A129" s="69" t="s">
        <v>93</v>
      </c>
      <c r="B129" s="52" t="s">
        <v>144</v>
      </c>
      <c r="C129" s="52" t="s">
        <v>74</v>
      </c>
      <c r="D129" s="52">
        <v>1</v>
      </c>
      <c r="E129" s="52"/>
      <c r="F129" s="66">
        <v>46132</v>
      </c>
      <c r="G129" s="67"/>
      <c r="H129" s="68" t="s">
        <v>6</v>
      </c>
    </row>
    <row r="130" spans="1:8" ht="14.25" customHeight="1">
      <c r="A130" s="69" t="s">
        <v>93</v>
      </c>
      <c r="B130" s="52" t="s">
        <v>144</v>
      </c>
      <c r="C130" s="52" t="s">
        <v>80</v>
      </c>
      <c r="D130" s="52">
        <v>1</v>
      </c>
      <c r="E130" s="52"/>
      <c r="F130" s="66">
        <v>46132</v>
      </c>
      <c r="G130" s="67"/>
      <c r="H130" s="68" t="s">
        <v>6</v>
      </c>
    </row>
    <row r="131" spans="1:8" ht="14.25" customHeight="1">
      <c r="A131" s="69" t="s">
        <v>93</v>
      </c>
      <c r="B131" s="52" t="s">
        <v>144</v>
      </c>
      <c r="C131" s="52" t="s">
        <v>90</v>
      </c>
      <c r="D131" s="52">
        <v>1</v>
      </c>
      <c r="E131" s="52"/>
      <c r="F131" s="66">
        <v>46132</v>
      </c>
      <c r="G131" s="67"/>
      <c r="H131" s="68" t="s">
        <v>6</v>
      </c>
    </row>
    <row r="132" spans="1:8" ht="14.25" customHeight="1">
      <c r="A132" s="69" t="s">
        <v>93</v>
      </c>
      <c r="B132" s="52" t="s">
        <v>204</v>
      </c>
      <c r="C132" s="52" t="s">
        <v>74</v>
      </c>
      <c r="D132" s="52">
        <v>1</v>
      </c>
      <c r="E132" s="52"/>
      <c r="F132" s="66">
        <v>46133</v>
      </c>
      <c r="G132" s="67"/>
      <c r="H132" s="68" t="s">
        <v>6</v>
      </c>
    </row>
    <row r="133" spans="1:8" ht="14.25" customHeight="1">
      <c r="A133" s="69" t="s">
        <v>93</v>
      </c>
      <c r="B133" s="52" t="s">
        <v>205</v>
      </c>
      <c r="C133" s="52" t="s">
        <v>74</v>
      </c>
      <c r="D133" s="52">
        <v>1</v>
      </c>
      <c r="E133" s="52"/>
      <c r="F133" s="66">
        <v>46133</v>
      </c>
      <c r="G133" s="67"/>
      <c r="H133" s="68" t="s">
        <v>6</v>
      </c>
    </row>
    <row r="134" spans="1:8" ht="14.25" customHeight="1">
      <c r="A134" s="69" t="s">
        <v>93</v>
      </c>
      <c r="B134" s="52" t="s">
        <v>205</v>
      </c>
      <c r="C134" s="52" t="s">
        <v>80</v>
      </c>
      <c r="D134" s="52">
        <v>1</v>
      </c>
      <c r="E134" s="52"/>
      <c r="F134" s="66">
        <v>46133</v>
      </c>
      <c r="G134" s="67"/>
      <c r="H134" s="68" t="s">
        <v>6</v>
      </c>
    </row>
    <row r="135" spans="1:8" ht="14.25" customHeight="1">
      <c r="A135" s="69" t="s">
        <v>93</v>
      </c>
      <c r="B135" s="52" t="s">
        <v>186</v>
      </c>
      <c r="C135" s="52" t="s">
        <v>74</v>
      </c>
      <c r="D135" s="52">
        <v>1</v>
      </c>
      <c r="E135" s="52"/>
      <c r="F135" s="66">
        <v>46133</v>
      </c>
      <c r="G135" s="67"/>
      <c r="H135" s="68" t="s">
        <v>6</v>
      </c>
    </row>
    <row r="136" spans="1:8" ht="14.25" customHeight="1">
      <c r="A136" s="69" t="s">
        <v>93</v>
      </c>
      <c r="B136" s="52" t="s">
        <v>186</v>
      </c>
      <c r="C136" s="52" t="s">
        <v>80</v>
      </c>
      <c r="D136" s="52">
        <v>1</v>
      </c>
      <c r="E136" s="52"/>
      <c r="F136" s="66">
        <v>46133</v>
      </c>
      <c r="G136" s="67"/>
      <c r="H136" s="68" t="s">
        <v>6</v>
      </c>
    </row>
    <row r="137" spans="1:8" ht="14.25" customHeight="1">
      <c r="A137" s="69" t="s">
        <v>93</v>
      </c>
      <c r="B137" s="52" t="s">
        <v>186</v>
      </c>
      <c r="C137" s="52" t="s">
        <v>118</v>
      </c>
      <c r="D137" s="52">
        <v>1</v>
      </c>
      <c r="E137" s="52"/>
      <c r="F137" s="66">
        <v>46133</v>
      </c>
      <c r="G137" s="67"/>
      <c r="H137" s="68" t="s">
        <v>6</v>
      </c>
    </row>
    <row r="138" spans="1:8" ht="14.25" customHeight="1">
      <c r="A138" s="69" t="s">
        <v>93</v>
      </c>
      <c r="B138" s="52" t="s">
        <v>188</v>
      </c>
      <c r="C138" s="52" t="s">
        <v>74</v>
      </c>
      <c r="D138" s="52">
        <v>1</v>
      </c>
      <c r="E138" s="52"/>
      <c r="F138" s="66">
        <v>46134</v>
      </c>
      <c r="G138" s="67"/>
      <c r="H138" s="68" t="s">
        <v>6</v>
      </c>
    </row>
    <row r="139" spans="1:8" ht="14.25" customHeight="1">
      <c r="A139" s="69" t="s">
        <v>93</v>
      </c>
      <c r="B139" s="52" t="s">
        <v>188</v>
      </c>
      <c r="C139" s="52" t="s">
        <v>80</v>
      </c>
      <c r="D139" s="52">
        <v>1</v>
      </c>
      <c r="E139" s="52"/>
      <c r="F139" s="66">
        <v>46134</v>
      </c>
      <c r="G139" s="67"/>
      <c r="H139" s="68" t="s">
        <v>6</v>
      </c>
    </row>
    <row r="140" spans="1:8" ht="14.25" customHeight="1">
      <c r="A140" s="69" t="s">
        <v>93</v>
      </c>
      <c r="B140" s="52" t="s">
        <v>188</v>
      </c>
      <c r="C140" s="52" t="s">
        <v>90</v>
      </c>
      <c r="D140" s="52">
        <v>1</v>
      </c>
      <c r="E140" s="52"/>
      <c r="F140" s="66">
        <v>46134</v>
      </c>
      <c r="G140" s="67"/>
      <c r="H140" s="68" t="s">
        <v>6</v>
      </c>
    </row>
    <row r="141" spans="1:8" ht="14.25" customHeight="1">
      <c r="A141" s="69" t="s">
        <v>93</v>
      </c>
      <c r="B141" s="52" t="s">
        <v>195</v>
      </c>
      <c r="C141" s="52" t="s">
        <v>74</v>
      </c>
      <c r="D141" s="52">
        <v>1</v>
      </c>
      <c r="E141" s="52"/>
      <c r="F141" s="66">
        <v>46134</v>
      </c>
      <c r="G141" s="67"/>
      <c r="H141" s="68" t="s">
        <v>6</v>
      </c>
    </row>
    <row r="142" spans="1:8" ht="14.25" customHeight="1">
      <c r="A142" s="69" t="s">
        <v>93</v>
      </c>
      <c r="B142" s="52" t="s">
        <v>197</v>
      </c>
      <c r="C142" s="52" t="s">
        <v>74</v>
      </c>
      <c r="D142" s="52">
        <v>1</v>
      </c>
      <c r="E142" s="52"/>
      <c r="F142" s="66">
        <v>46134</v>
      </c>
      <c r="G142" s="67"/>
      <c r="H142" s="68" t="s">
        <v>6</v>
      </c>
    </row>
    <row r="143" spans="1:8" ht="14.25" customHeight="1">
      <c r="A143" s="69" t="s">
        <v>93</v>
      </c>
      <c r="B143" s="52" t="s">
        <v>189</v>
      </c>
      <c r="C143" s="52" t="s">
        <v>74</v>
      </c>
      <c r="D143" s="52">
        <v>1</v>
      </c>
      <c r="E143" s="52"/>
      <c r="F143" s="66">
        <v>46134</v>
      </c>
      <c r="G143" s="67"/>
      <c r="H143" s="68" t="s">
        <v>6</v>
      </c>
    </row>
    <row r="144" spans="1:8" ht="14.25" customHeight="1">
      <c r="A144" s="69" t="s">
        <v>93</v>
      </c>
      <c r="B144" s="52" t="s">
        <v>189</v>
      </c>
      <c r="C144" s="52" t="s">
        <v>80</v>
      </c>
      <c r="D144" s="52">
        <v>1</v>
      </c>
      <c r="E144" s="52"/>
      <c r="F144" s="66">
        <v>46135</v>
      </c>
      <c r="G144" s="67"/>
      <c r="H144" s="68" t="s">
        <v>6</v>
      </c>
    </row>
    <row r="145" spans="1:8" ht="14.25" customHeight="1">
      <c r="A145" s="69" t="s">
        <v>93</v>
      </c>
      <c r="B145" s="52" t="s">
        <v>189</v>
      </c>
      <c r="C145" s="52" t="s">
        <v>90</v>
      </c>
      <c r="D145" s="52">
        <v>1</v>
      </c>
      <c r="E145" s="52"/>
      <c r="F145" s="66">
        <v>46135</v>
      </c>
      <c r="G145" s="67"/>
      <c r="H145" s="68" t="s">
        <v>6</v>
      </c>
    </row>
    <row r="146" spans="1:8" ht="14.25" customHeight="1">
      <c r="A146" s="69" t="s">
        <v>93</v>
      </c>
      <c r="B146" s="52" t="s">
        <v>190</v>
      </c>
      <c r="C146" s="52" t="s">
        <v>74</v>
      </c>
      <c r="D146" s="52">
        <v>1</v>
      </c>
      <c r="E146" s="52"/>
      <c r="F146" s="66">
        <v>46135</v>
      </c>
      <c r="G146" s="67"/>
      <c r="H146" s="68" t="s">
        <v>6</v>
      </c>
    </row>
    <row r="147" spans="1:8" ht="14.25" customHeight="1">
      <c r="A147" s="69" t="s">
        <v>93</v>
      </c>
      <c r="B147" s="52" t="s">
        <v>190</v>
      </c>
      <c r="C147" s="52" t="s">
        <v>80</v>
      </c>
      <c r="D147" s="52">
        <v>1</v>
      </c>
      <c r="E147" s="52"/>
      <c r="F147" s="66">
        <v>46135</v>
      </c>
      <c r="G147" s="67"/>
      <c r="H147" s="68" t="s">
        <v>6</v>
      </c>
    </row>
    <row r="148" spans="1:8" ht="14.25" customHeight="1">
      <c r="A148" s="69" t="s">
        <v>93</v>
      </c>
      <c r="B148" s="52" t="s">
        <v>94</v>
      </c>
      <c r="C148" s="52" t="s">
        <v>74</v>
      </c>
      <c r="D148" s="52">
        <v>2</v>
      </c>
      <c r="E148" s="52"/>
      <c r="F148" s="66">
        <v>46135</v>
      </c>
      <c r="G148" s="67"/>
      <c r="H148" s="68" t="s">
        <v>6</v>
      </c>
    </row>
    <row r="149" spans="1:8" ht="14.25" customHeight="1">
      <c r="A149" s="69" t="s">
        <v>93</v>
      </c>
      <c r="B149" s="52" t="s">
        <v>94</v>
      </c>
      <c r="C149" s="52" t="s">
        <v>80</v>
      </c>
      <c r="D149" s="52">
        <v>1</v>
      </c>
      <c r="E149" s="52"/>
      <c r="F149" s="66">
        <v>46135</v>
      </c>
      <c r="G149" s="67"/>
      <c r="H149" s="68" t="s">
        <v>6</v>
      </c>
    </row>
    <row r="150" spans="1:8" ht="14.25" customHeight="1">
      <c r="A150" s="69" t="s">
        <v>93</v>
      </c>
      <c r="B150" s="52" t="s">
        <v>198</v>
      </c>
      <c r="C150" s="52" t="s">
        <v>74</v>
      </c>
      <c r="D150" s="52">
        <v>1</v>
      </c>
      <c r="E150" s="52"/>
      <c r="F150" s="66">
        <v>46136</v>
      </c>
      <c r="G150" s="67"/>
      <c r="H150" s="68" t="s">
        <v>6</v>
      </c>
    </row>
    <row r="151" spans="1:8" ht="14.25" customHeight="1">
      <c r="A151" s="69" t="s">
        <v>93</v>
      </c>
      <c r="B151" s="52" t="s">
        <v>198</v>
      </c>
      <c r="C151" s="52" t="s">
        <v>80</v>
      </c>
      <c r="D151" s="52">
        <v>1</v>
      </c>
      <c r="E151" s="52"/>
      <c r="F151" s="66">
        <v>46136</v>
      </c>
      <c r="G151" s="67"/>
      <c r="H151" s="68" t="s">
        <v>6</v>
      </c>
    </row>
    <row r="152" spans="1:8" ht="14.25" customHeight="1">
      <c r="A152" s="69" t="s">
        <v>93</v>
      </c>
      <c r="B152" s="52" t="s">
        <v>199</v>
      </c>
      <c r="C152" s="52" t="s">
        <v>74</v>
      </c>
      <c r="D152" s="52">
        <v>1</v>
      </c>
      <c r="E152" s="52"/>
      <c r="F152" s="66">
        <v>46136</v>
      </c>
      <c r="G152" s="67"/>
      <c r="H152" s="68" t="s">
        <v>6</v>
      </c>
    </row>
    <row r="153" spans="1:8" ht="14.25" customHeight="1">
      <c r="A153" s="69" t="s">
        <v>93</v>
      </c>
      <c r="B153" s="52" t="s">
        <v>199</v>
      </c>
      <c r="C153" s="52" t="s">
        <v>80</v>
      </c>
      <c r="D153" s="52">
        <v>1</v>
      </c>
      <c r="E153" s="52"/>
      <c r="F153" s="66">
        <v>46136</v>
      </c>
      <c r="G153" s="67"/>
      <c r="H153" s="68" t="s">
        <v>6</v>
      </c>
    </row>
    <row r="154" spans="1:8" ht="14.25" customHeight="1">
      <c r="A154" s="69" t="s">
        <v>93</v>
      </c>
      <c r="B154" s="52" t="s">
        <v>200</v>
      </c>
      <c r="C154" s="52" t="s">
        <v>74</v>
      </c>
      <c r="D154" s="52">
        <v>1</v>
      </c>
      <c r="E154" s="52"/>
      <c r="F154" s="66">
        <v>46136</v>
      </c>
      <c r="G154" s="67"/>
      <c r="H154" s="68" t="s">
        <v>6</v>
      </c>
    </row>
    <row r="155" spans="1:8" ht="14.25" customHeight="1">
      <c r="A155" s="69" t="s">
        <v>93</v>
      </c>
      <c r="B155" s="52" t="s">
        <v>200</v>
      </c>
      <c r="C155" s="52" t="s">
        <v>80</v>
      </c>
      <c r="D155" s="52">
        <v>1</v>
      </c>
      <c r="E155" s="52"/>
      <c r="F155" s="66">
        <v>46136</v>
      </c>
      <c r="G155" s="67"/>
      <c r="H155" s="68" t="s">
        <v>6</v>
      </c>
    </row>
    <row r="156" spans="1:8" ht="14.25" customHeight="1">
      <c r="A156" s="69" t="s">
        <v>93</v>
      </c>
      <c r="B156" s="52" t="s">
        <v>201</v>
      </c>
      <c r="C156" s="52" t="s">
        <v>74</v>
      </c>
      <c r="D156" s="52">
        <v>1</v>
      </c>
      <c r="E156" s="52"/>
      <c r="F156" s="66">
        <v>46137</v>
      </c>
      <c r="G156" s="67"/>
      <c r="H156" s="68" t="s">
        <v>6</v>
      </c>
    </row>
    <row r="157" spans="1:8" ht="14.25" customHeight="1">
      <c r="A157" s="69" t="s">
        <v>93</v>
      </c>
      <c r="B157" s="52" t="s">
        <v>201</v>
      </c>
      <c r="C157" s="52" t="s">
        <v>80</v>
      </c>
      <c r="D157" s="52">
        <v>1</v>
      </c>
      <c r="E157" s="52"/>
      <c r="F157" s="66">
        <v>46137</v>
      </c>
      <c r="G157" s="67"/>
      <c r="H157" s="68" t="s">
        <v>6</v>
      </c>
    </row>
    <row r="158" spans="1:8" ht="14.25" customHeight="1">
      <c r="A158" s="69" t="s">
        <v>93</v>
      </c>
      <c r="B158" s="52" t="s">
        <v>202</v>
      </c>
      <c r="C158" s="52" t="s">
        <v>74</v>
      </c>
      <c r="D158" s="52">
        <v>1</v>
      </c>
      <c r="E158" s="52"/>
      <c r="F158" s="66">
        <v>46137</v>
      </c>
      <c r="G158" s="67"/>
      <c r="H158" s="68" t="s">
        <v>6</v>
      </c>
    </row>
    <row r="159" spans="1:8" ht="14.25" customHeight="1">
      <c r="A159" s="69" t="s">
        <v>93</v>
      </c>
      <c r="B159" s="52" t="s">
        <v>202</v>
      </c>
      <c r="C159" s="52" t="s">
        <v>80</v>
      </c>
      <c r="D159" s="52">
        <v>1</v>
      </c>
      <c r="E159" s="52"/>
      <c r="F159" s="66">
        <v>46137</v>
      </c>
      <c r="G159" s="67"/>
      <c r="H159" s="68" t="s">
        <v>6</v>
      </c>
    </row>
    <row r="160" spans="1:8" ht="14.25" customHeight="1">
      <c r="A160" s="69" t="s">
        <v>93</v>
      </c>
      <c r="B160" s="52" t="s">
        <v>203</v>
      </c>
      <c r="C160" s="52" t="s">
        <v>74</v>
      </c>
      <c r="D160" s="52">
        <v>1</v>
      </c>
      <c r="E160" s="52"/>
      <c r="F160" s="66">
        <v>46137</v>
      </c>
      <c r="G160" s="67"/>
      <c r="H160" s="68" t="s">
        <v>6</v>
      </c>
    </row>
    <row r="161" spans="1:8" ht="14.25" customHeight="1">
      <c r="A161" s="69" t="s">
        <v>93</v>
      </c>
      <c r="B161" s="52" t="s">
        <v>203</v>
      </c>
      <c r="C161" s="52" t="s">
        <v>80</v>
      </c>
      <c r="D161" s="52">
        <v>1</v>
      </c>
      <c r="E161" s="52"/>
      <c r="F161" s="66">
        <v>46137</v>
      </c>
      <c r="G161" s="67"/>
      <c r="H161" s="68" t="s">
        <v>6</v>
      </c>
    </row>
    <row r="162" spans="1:8" ht="14.25" customHeight="1">
      <c r="A162" s="69" t="s">
        <v>93</v>
      </c>
      <c r="B162" s="52" t="s">
        <v>340</v>
      </c>
      <c r="C162" s="52" t="s">
        <v>74</v>
      </c>
      <c r="D162" s="52">
        <v>1</v>
      </c>
      <c r="E162" s="52"/>
      <c r="F162" s="66">
        <v>46138</v>
      </c>
      <c r="G162" s="67"/>
      <c r="H162" s="68" t="s">
        <v>6</v>
      </c>
    </row>
    <row r="163" spans="1:8" ht="14.25" customHeight="1">
      <c r="A163" s="69" t="s">
        <v>93</v>
      </c>
      <c r="B163" s="52" t="s">
        <v>145</v>
      </c>
      <c r="C163" s="52" t="s">
        <v>74</v>
      </c>
      <c r="D163" s="52">
        <v>1</v>
      </c>
      <c r="E163" s="52"/>
      <c r="F163" s="66">
        <v>46138</v>
      </c>
      <c r="G163" s="67"/>
      <c r="H163" s="68" t="s">
        <v>6</v>
      </c>
    </row>
    <row r="164" spans="1:8" ht="14.25" customHeight="1">
      <c r="A164" s="69" t="s">
        <v>93</v>
      </c>
      <c r="B164" s="52" t="s">
        <v>145</v>
      </c>
      <c r="C164" s="52" t="s">
        <v>80</v>
      </c>
      <c r="D164" s="52">
        <v>1</v>
      </c>
      <c r="E164" s="52"/>
      <c r="F164" s="66">
        <v>46138</v>
      </c>
      <c r="G164" s="67"/>
      <c r="H164" s="68" t="s">
        <v>6</v>
      </c>
    </row>
    <row r="165" spans="1:8" ht="14.25" customHeight="1">
      <c r="A165" s="69" t="s">
        <v>93</v>
      </c>
      <c r="B165" s="52" t="s">
        <v>147</v>
      </c>
      <c r="C165" s="52" t="s">
        <v>74</v>
      </c>
      <c r="D165" s="52">
        <v>2</v>
      </c>
      <c r="E165" s="52"/>
      <c r="F165" s="66">
        <v>46138</v>
      </c>
      <c r="G165" s="67"/>
      <c r="H165" s="68" t="s">
        <v>6</v>
      </c>
    </row>
    <row r="166" spans="1:8" ht="14.25" customHeight="1">
      <c r="A166" s="69" t="s">
        <v>93</v>
      </c>
      <c r="B166" s="52" t="s">
        <v>147</v>
      </c>
      <c r="C166" s="52" t="s">
        <v>80</v>
      </c>
      <c r="D166" s="52">
        <v>2</v>
      </c>
      <c r="E166" s="52"/>
      <c r="F166" s="66">
        <v>46138</v>
      </c>
      <c r="G166" s="67"/>
      <c r="H166" s="68" t="s">
        <v>6</v>
      </c>
    </row>
    <row r="167" spans="1:8" ht="14.25" customHeight="1">
      <c r="A167" s="69" t="s">
        <v>93</v>
      </c>
      <c r="B167" s="52" t="s">
        <v>119</v>
      </c>
      <c r="C167" s="52" t="s">
        <v>74</v>
      </c>
      <c r="D167" s="52">
        <v>1</v>
      </c>
      <c r="E167" s="52"/>
      <c r="F167" s="66">
        <v>46138</v>
      </c>
      <c r="G167" s="67"/>
      <c r="H167" s="68" t="s">
        <v>6</v>
      </c>
    </row>
    <row r="168" spans="1:8" ht="14.25" customHeight="1">
      <c r="A168" s="69" t="s">
        <v>93</v>
      </c>
      <c r="B168" s="52" t="s">
        <v>119</v>
      </c>
      <c r="C168" s="52" t="s">
        <v>80</v>
      </c>
      <c r="D168" s="52">
        <v>1</v>
      </c>
      <c r="E168" s="52"/>
      <c r="F168" s="66">
        <v>46139</v>
      </c>
      <c r="G168" s="67"/>
      <c r="H168" s="68" t="s">
        <v>6</v>
      </c>
    </row>
    <row r="169" spans="1:8" ht="14.25" customHeight="1">
      <c r="A169" s="69" t="s">
        <v>93</v>
      </c>
      <c r="B169" s="52" t="s">
        <v>119</v>
      </c>
      <c r="C169" s="52" t="s">
        <v>90</v>
      </c>
      <c r="D169" s="52">
        <v>1</v>
      </c>
      <c r="E169" s="52"/>
      <c r="F169" s="66">
        <v>46139</v>
      </c>
      <c r="G169" s="67"/>
      <c r="H169" s="68" t="s">
        <v>6</v>
      </c>
    </row>
    <row r="170" spans="1:8" ht="14.25" customHeight="1">
      <c r="A170" s="69" t="s">
        <v>93</v>
      </c>
      <c r="B170" s="52" t="s">
        <v>148</v>
      </c>
      <c r="C170" s="52" t="s">
        <v>74</v>
      </c>
      <c r="D170" s="52">
        <v>1</v>
      </c>
      <c r="E170" s="52"/>
      <c r="F170" s="66">
        <v>46139</v>
      </c>
      <c r="G170" s="67"/>
      <c r="H170" s="68" t="s">
        <v>6</v>
      </c>
    </row>
    <row r="171" spans="1:8" ht="14.25" customHeight="1">
      <c r="A171" s="69" t="s">
        <v>93</v>
      </c>
      <c r="B171" s="52" t="s">
        <v>148</v>
      </c>
      <c r="C171" s="52" t="s">
        <v>90</v>
      </c>
      <c r="D171" s="52">
        <v>1</v>
      </c>
      <c r="E171" s="52"/>
      <c r="F171" s="66">
        <v>46139</v>
      </c>
      <c r="G171" s="67"/>
      <c r="H171" s="68" t="s">
        <v>6</v>
      </c>
    </row>
    <row r="172" spans="1:8" ht="14.25" customHeight="1">
      <c r="A172" s="69" t="s">
        <v>93</v>
      </c>
      <c r="B172" s="52" t="s">
        <v>149</v>
      </c>
      <c r="C172" s="52" t="s">
        <v>74</v>
      </c>
      <c r="D172" s="52">
        <v>1</v>
      </c>
      <c r="E172" s="52"/>
      <c r="F172" s="66">
        <v>46139</v>
      </c>
      <c r="G172" s="67"/>
      <c r="H172" s="68" t="s">
        <v>6</v>
      </c>
    </row>
    <row r="173" spans="1:8" ht="14.25" customHeight="1">
      <c r="A173" s="69" t="s">
        <v>93</v>
      </c>
      <c r="B173" s="52" t="s">
        <v>149</v>
      </c>
      <c r="C173" s="52" t="s">
        <v>90</v>
      </c>
      <c r="D173" s="52">
        <v>1</v>
      </c>
      <c r="E173" s="52"/>
      <c r="F173" s="66">
        <v>46139</v>
      </c>
      <c r="G173" s="67"/>
      <c r="H173" s="68" t="s">
        <v>6</v>
      </c>
    </row>
    <row r="174" spans="1:8" ht="14.25" customHeight="1">
      <c r="A174" s="69" t="s">
        <v>93</v>
      </c>
      <c r="B174" s="52" t="s">
        <v>341</v>
      </c>
      <c r="C174" s="52" t="s">
        <v>74</v>
      </c>
      <c r="D174" s="52">
        <v>2</v>
      </c>
      <c r="E174" s="52"/>
      <c r="F174" s="66">
        <v>46140</v>
      </c>
      <c r="G174" s="67"/>
      <c r="H174" s="68" t="s">
        <v>6</v>
      </c>
    </row>
    <row r="175" spans="1:8" ht="14.25" customHeight="1">
      <c r="A175" s="69" t="s">
        <v>93</v>
      </c>
      <c r="B175" s="52" t="s">
        <v>341</v>
      </c>
      <c r="C175" s="52" t="s">
        <v>80</v>
      </c>
      <c r="D175" s="52">
        <v>1</v>
      </c>
      <c r="E175" s="52"/>
      <c r="F175" s="66">
        <v>46140</v>
      </c>
      <c r="G175" s="67"/>
      <c r="H175" s="68" t="s">
        <v>6</v>
      </c>
    </row>
    <row r="176" spans="1:8" ht="14.25" customHeight="1">
      <c r="A176" s="69" t="s">
        <v>93</v>
      </c>
      <c r="B176" s="52" t="s">
        <v>342</v>
      </c>
      <c r="C176" s="52" t="s">
        <v>74</v>
      </c>
      <c r="D176" s="52">
        <v>1</v>
      </c>
      <c r="E176" s="52"/>
      <c r="F176" s="66">
        <v>46140</v>
      </c>
      <c r="G176" s="67"/>
      <c r="H176" s="68" t="s">
        <v>6</v>
      </c>
    </row>
    <row r="177" spans="1:8" ht="14.25" customHeight="1">
      <c r="A177" s="69" t="s">
        <v>93</v>
      </c>
      <c r="B177" s="52" t="s">
        <v>342</v>
      </c>
      <c r="C177" s="52" t="s">
        <v>80</v>
      </c>
      <c r="D177" s="52">
        <v>1</v>
      </c>
      <c r="E177" s="52"/>
      <c r="F177" s="66">
        <v>46140</v>
      </c>
      <c r="G177" s="67"/>
      <c r="H177" s="68" t="s">
        <v>6</v>
      </c>
    </row>
    <row r="178" spans="1:8" ht="14.25" customHeight="1">
      <c r="A178" s="69" t="s">
        <v>93</v>
      </c>
      <c r="B178" s="52" t="s">
        <v>245</v>
      </c>
      <c r="C178" s="52" t="s">
        <v>74</v>
      </c>
      <c r="D178" s="52">
        <v>1</v>
      </c>
      <c r="E178" s="52"/>
      <c r="F178" s="66">
        <v>46140</v>
      </c>
      <c r="G178" s="67"/>
      <c r="H178" s="68" t="s">
        <v>6</v>
      </c>
    </row>
    <row r="179" spans="1:8" ht="14.25" customHeight="1">
      <c r="A179" s="69" t="s">
        <v>93</v>
      </c>
      <c r="B179" s="52" t="s">
        <v>245</v>
      </c>
      <c r="C179" s="52" t="s">
        <v>80</v>
      </c>
      <c r="D179" s="52">
        <v>1</v>
      </c>
      <c r="E179" s="52"/>
      <c r="F179" s="66">
        <v>46140</v>
      </c>
      <c r="G179" s="67"/>
      <c r="H179" s="68" t="s">
        <v>6</v>
      </c>
    </row>
    <row r="180" spans="1:8" ht="14.25" customHeight="1">
      <c r="A180" s="69" t="s">
        <v>93</v>
      </c>
      <c r="B180" s="52" t="s">
        <v>245</v>
      </c>
      <c r="C180" s="52" t="s">
        <v>90</v>
      </c>
      <c r="D180" s="52">
        <v>1</v>
      </c>
      <c r="E180" s="52"/>
      <c r="F180" s="66">
        <v>46141</v>
      </c>
      <c r="G180" s="67"/>
      <c r="H180" s="68" t="s">
        <v>6</v>
      </c>
    </row>
    <row r="181" spans="1:8" ht="14.25" customHeight="1">
      <c r="A181" s="69" t="s">
        <v>93</v>
      </c>
      <c r="B181" s="52" t="s">
        <v>250</v>
      </c>
      <c r="C181" s="52" t="s">
        <v>74</v>
      </c>
      <c r="D181" s="52">
        <v>1</v>
      </c>
      <c r="E181" s="52"/>
      <c r="F181" s="66">
        <v>46141</v>
      </c>
      <c r="G181" s="67"/>
      <c r="H181" s="68" t="s">
        <v>6</v>
      </c>
    </row>
    <row r="182" spans="1:8" ht="14.25" customHeight="1">
      <c r="A182" s="69" t="s">
        <v>93</v>
      </c>
      <c r="B182" s="52" t="s">
        <v>250</v>
      </c>
      <c r="C182" s="52" t="s">
        <v>80</v>
      </c>
      <c r="D182" s="52">
        <v>1</v>
      </c>
      <c r="E182" s="52"/>
      <c r="F182" s="66">
        <v>46141</v>
      </c>
      <c r="G182" s="67"/>
      <c r="H182" s="68" t="s">
        <v>6</v>
      </c>
    </row>
    <row r="183" spans="1:8" ht="14.25" customHeight="1">
      <c r="A183" s="69" t="s">
        <v>93</v>
      </c>
      <c r="B183" s="52" t="s">
        <v>250</v>
      </c>
      <c r="C183" s="52" t="s">
        <v>90</v>
      </c>
      <c r="D183" s="52">
        <v>1</v>
      </c>
      <c r="E183" s="52"/>
      <c r="F183" s="66">
        <v>46141</v>
      </c>
      <c r="G183" s="67"/>
      <c r="H183" s="68" t="s">
        <v>6</v>
      </c>
    </row>
    <row r="184" spans="1:8" ht="14.25" customHeight="1">
      <c r="A184" s="69" t="s">
        <v>93</v>
      </c>
      <c r="B184" s="52" t="s">
        <v>120</v>
      </c>
      <c r="C184" s="52" t="s">
        <v>80</v>
      </c>
      <c r="D184" s="52">
        <v>1</v>
      </c>
      <c r="E184" s="52"/>
      <c r="F184" s="66">
        <v>46141</v>
      </c>
      <c r="G184" s="67"/>
      <c r="H184" s="68" t="s">
        <v>6</v>
      </c>
    </row>
    <row r="185" spans="1:8" ht="14.25" customHeight="1">
      <c r="A185" s="69" t="s">
        <v>93</v>
      </c>
      <c r="B185" s="52" t="s">
        <v>123</v>
      </c>
      <c r="C185" s="52" t="s">
        <v>74</v>
      </c>
      <c r="D185" s="52">
        <v>1</v>
      </c>
      <c r="E185" s="52"/>
      <c r="F185" s="66">
        <v>46141</v>
      </c>
      <c r="G185" s="67"/>
      <c r="H185" s="68" t="s">
        <v>6</v>
      </c>
    </row>
    <row r="186" spans="1:8" ht="14.25" customHeight="1">
      <c r="A186" s="69" t="s">
        <v>93</v>
      </c>
      <c r="B186" s="52" t="s">
        <v>123</v>
      </c>
      <c r="C186" s="52" t="s">
        <v>80</v>
      </c>
      <c r="D186" s="52">
        <v>1</v>
      </c>
      <c r="E186" s="52"/>
      <c r="F186" s="66">
        <v>46142</v>
      </c>
      <c r="G186" s="67"/>
      <c r="H186" s="68" t="s">
        <v>6</v>
      </c>
    </row>
    <row r="187" spans="1:8" ht="14.25" customHeight="1">
      <c r="A187" s="69" t="s">
        <v>93</v>
      </c>
      <c r="B187" s="52" t="s">
        <v>128</v>
      </c>
      <c r="C187" s="52" t="s">
        <v>74</v>
      </c>
      <c r="D187" s="52">
        <v>1</v>
      </c>
      <c r="E187" s="52"/>
      <c r="F187" s="66">
        <v>46142</v>
      </c>
      <c r="G187" s="67"/>
      <c r="H187" s="68" t="s">
        <v>6</v>
      </c>
    </row>
    <row r="188" spans="1:8" ht="14.25" customHeight="1">
      <c r="A188" s="69" t="s">
        <v>93</v>
      </c>
      <c r="B188" s="52" t="s">
        <v>129</v>
      </c>
      <c r="C188" s="52" t="s">
        <v>74</v>
      </c>
      <c r="D188" s="52">
        <v>1</v>
      </c>
      <c r="E188" s="52"/>
      <c r="F188" s="66">
        <v>46142</v>
      </c>
      <c r="G188" s="67"/>
      <c r="H188" s="68" t="s">
        <v>6</v>
      </c>
    </row>
    <row r="189" spans="1:8" ht="14.25" customHeight="1">
      <c r="A189" s="69" t="s">
        <v>93</v>
      </c>
      <c r="B189" s="52" t="s">
        <v>130</v>
      </c>
      <c r="C189" s="52" t="s">
        <v>74</v>
      </c>
      <c r="D189" s="52">
        <v>1</v>
      </c>
      <c r="E189" s="52"/>
      <c r="F189" s="66">
        <v>46142</v>
      </c>
      <c r="G189" s="67"/>
      <c r="H189" s="68" t="s">
        <v>6</v>
      </c>
    </row>
    <row r="190" spans="1:8" ht="14.25" customHeight="1">
      <c r="A190" s="69" t="s">
        <v>93</v>
      </c>
      <c r="B190" s="52" t="s">
        <v>130</v>
      </c>
      <c r="C190" s="52" t="s">
        <v>80</v>
      </c>
      <c r="D190" s="52">
        <v>1</v>
      </c>
      <c r="E190" s="52"/>
      <c r="F190" s="66">
        <v>46142</v>
      </c>
      <c r="G190" s="67"/>
      <c r="H190" s="68" t="s">
        <v>6</v>
      </c>
    </row>
    <row r="191" spans="1:8" ht="14.25" customHeight="1">
      <c r="A191" s="69" t="s">
        <v>93</v>
      </c>
      <c r="B191" s="52" t="s">
        <v>131</v>
      </c>
      <c r="C191" s="52" t="s">
        <v>74</v>
      </c>
      <c r="D191" s="52">
        <v>1</v>
      </c>
      <c r="E191" s="52"/>
      <c r="F191" s="66">
        <v>46142</v>
      </c>
      <c r="G191" s="67"/>
      <c r="H191" s="68" t="s">
        <v>6</v>
      </c>
    </row>
    <row r="192" spans="1:8" ht="14.25" customHeight="1">
      <c r="A192" s="69" t="s">
        <v>103</v>
      </c>
      <c r="B192" s="52" t="s">
        <v>77</v>
      </c>
      <c r="C192" s="52" t="s">
        <v>78</v>
      </c>
      <c r="D192" s="52">
        <v>19</v>
      </c>
      <c r="E192" s="52"/>
      <c r="F192" s="66">
        <v>46143</v>
      </c>
      <c r="G192" s="67"/>
      <c r="H192" s="68" t="s">
        <v>6</v>
      </c>
    </row>
    <row r="193" spans="1:8" ht="14.25" customHeight="1">
      <c r="A193" s="69" t="s">
        <v>103</v>
      </c>
      <c r="B193" s="52" t="s">
        <v>288</v>
      </c>
      <c r="C193" s="52" t="s">
        <v>74</v>
      </c>
      <c r="D193" s="52">
        <v>2</v>
      </c>
      <c r="E193" s="52"/>
      <c r="F193" s="66">
        <v>46143</v>
      </c>
      <c r="G193" s="67"/>
      <c r="H193" s="68" t="s">
        <v>6</v>
      </c>
    </row>
    <row r="194" spans="1:8" ht="14.25" customHeight="1">
      <c r="A194" s="69" t="s">
        <v>103</v>
      </c>
      <c r="B194" s="52" t="s">
        <v>288</v>
      </c>
      <c r="C194" s="52" t="s">
        <v>80</v>
      </c>
      <c r="D194" s="52">
        <v>1</v>
      </c>
      <c r="E194" s="52"/>
      <c r="F194" s="66">
        <v>46143</v>
      </c>
      <c r="G194" s="67"/>
      <c r="H194" s="68" t="s">
        <v>6</v>
      </c>
    </row>
    <row r="195" spans="1:8" ht="14.25" customHeight="1">
      <c r="A195" s="69" t="s">
        <v>103</v>
      </c>
      <c r="B195" s="52" t="s">
        <v>336</v>
      </c>
      <c r="C195" s="52" t="s">
        <v>74</v>
      </c>
      <c r="D195" s="52">
        <v>2</v>
      </c>
      <c r="E195" s="52"/>
      <c r="F195" s="66">
        <v>46144</v>
      </c>
      <c r="G195" s="67"/>
      <c r="H195" s="68" t="s">
        <v>6</v>
      </c>
    </row>
    <row r="196" spans="1:8" ht="14.25" customHeight="1">
      <c r="A196" s="69" t="s">
        <v>103</v>
      </c>
      <c r="B196" s="52" t="s">
        <v>337</v>
      </c>
      <c r="C196" s="52" t="s">
        <v>74</v>
      </c>
      <c r="D196" s="52">
        <v>1</v>
      </c>
      <c r="E196" s="52"/>
      <c r="F196" s="66">
        <v>46144</v>
      </c>
      <c r="G196" s="67"/>
      <c r="H196" s="68" t="s">
        <v>6</v>
      </c>
    </row>
    <row r="197" spans="1:8" ht="14.25" customHeight="1">
      <c r="A197" s="69" t="s">
        <v>103</v>
      </c>
      <c r="B197" s="52" t="s">
        <v>337</v>
      </c>
      <c r="C197" s="52" t="s">
        <v>80</v>
      </c>
      <c r="D197" s="52">
        <v>1</v>
      </c>
      <c r="E197" s="52"/>
      <c r="F197" s="66">
        <v>46145</v>
      </c>
      <c r="G197" s="67"/>
      <c r="H197" s="68" t="s">
        <v>6</v>
      </c>
    </row>
    <row r="198" spans="1:8" ht="14.25" customHeight="1">
      <c r="A198" s="69" t="s">
        <v>103</v>
      </c>
      <c r="B198" s="52" t="s">
        <v>153</v>
      </c>
      <c r="C198" s="52" t="s">
        <v>196</v>
      </c>
      <c r="D198" s="52">
        <v>4</v>
      </c>
      <c r="E198" s="52"/>
      <c r="F198" s="66">
        <v>46145</v>
      </c>
      <c r="G198" s="67"/>
      <c r="H198" s="68" t="s">
        <v>6</v>
      </c>
    </row>
    <row r="199" spans="1:8" ht="14.25" customHeight="1">
      <c r="A199" s="69" t="s">
        <v>103</v>
      </c>
      <c r="B199" s="52" t="s">
        <v>153</v>
      </c>
      <c r="C199" s="52" t="s">
        <v>74</v>
      </c>
      <c r="D199" s="52">
        <v>10</v>
      </c>
      <c r="E199" s="52"/>
      <c r="F199" s="66">
        <v>46146</v>
      </c>
      <c r="G199" s="67"/>
      <c r="H199" s="68" t="s">
        <v>6</v>
      </c>
    </row>
    <row r="200" spans="1:8" ht="14.25" customHeight="1">
      <c r="A200" s="69" t="s">
        <v>103</v>
      </c>
      <c r="B200" s="52" t="s">
        <v>153</v>
      </c>
      <c r="C200" s="52" t="s">
        <v>80</v>
      </c>
      <c r="D200" s="52">
        <v>2</v>
      </c>
      <c r="E200" s="52"/>
      <c r="F200" s="66">
        <v>46146</v>
      </c>
      <c r="G200" s="67"/>
      <c r="H200" s="68" t="s">
        <v>6</v>
      </c>
    </row>
    <row r="201" spans="1:8" ht="14.25" customHeight="1">
      <c r="A201" s="69" t="s">
        <v>103</v>
      </c>
      <c r="B201" s="52" t="s">
        <v>153</v>
      </c>
      <c r="C201" s="52" t="s">
        <v>90</v>
      </c>
      <c r="D201" s="52">
        <v>2</v>
      </c>
      <c r="E201" s="52"/>
      <c r="F201" s="66">
        <v>46147</v>
      </c>
      <c r="G201" s="67"/>
      <c r="H201" s="68" t="s">
        <v>6</v>
      </c>
    </row>
    <row r="202" spans="1:8" ht="14.25" customHeight="1">
      <c r="A202" s="69" t="s">
        <v>103</v>
      </c>
      <c r="B202" s="52" t="s">
        <v>153</v>
      </c>
      <c r="C202" s="52" t="s">
        <v>194</v>
      </c>
      <c r="D202" s="52">
        <v>2</v>
      </c>
      <c r="E202" s="52"/>
      <c r="F202" s="66">
        <v>46147</v>
      </c>
      <c r="G202" s="67"/>
      <c r="H202" s="68" t="s">
        <v>6</v>
      </c>
    </row>
    <row r="203" spans="1:8" ht="14.25" customHeight="1">
      <c r="A203" s="69" t="s">
        <v>103</v>
      </c>
      <c r="B203" s="52" t="s">
        <v>153</v>
      </c>
      <c r="C203" s="52" t="s">
        <v>193</v>
      </c>
      <c r="D203" s="52">
        <v>3</v>
      </c>
      <c r="E203" s="52"/>
      <c r="F203" s="66">
        <v>46148</v>
      </c>
      <c r="G203" s="67"/>
      <c r="H203" s="68" t="s">
        <v>6</v>
      </c>
    </row>
    <row r="204" spans="1:8" ht="14.25" customHeight="1">
      <c r="A204" s="69" t="s">
        <v>103</v>
      </c>
      <c r="B204" s="52" t="s">
        <v>153</v>
      </c>
      <c r="C204" s="52" t="s">
        <v>191</v>
      </c>
      <c r="D204" s="52">
        <v>1</v>
      </c>
      <c r="E204" s="52"/>
      <c r="F204" s="66">
        <v>46148</v>
      </c>
      <c r="G204" s="67"/>
      <c r="H204" s="68" t="s">
        <v>6</v>
      </c>
    </row>
    <row r="205" spans="1:8" ht="14.25" customHeight="1">
      <c r="A205" s="69" t="s">
        <v>103</v>
      </c>
      <c r="B205" s="52" t="s">
        <v>106</v>
      </c>
      <c r="C205" s="52" t="s">
        <v>74</v>
      </c>
      <c r="D205" s="52">
        <v>1</v>
      </c>
      <c r="E205" s="52"/>
      <c r="F205" s="66">
        <v>46149</v>
      </c>
      <c r="G205" s="67"/>
      <c r="H205" s="68" t="s">
        <v>6</v>
      </c>
    </row>
    <row r="206" spans="1:8" ht="14.25" customHeight="1">
      <c r="A206" s="69" t="s">
        <v>103</v>
      </c>
      <c r="B206" s="52" t="s">
        <v>106</v>
      </c>
      <c r="C206" s="52" t="s">
        <v>80</v>
      </c>
      <c r="D206" s="52">
        <v>1</v>
      </c>
      <c r="E206" s="52"/>
      <c r="F206" s="66">
        <v>46149</v>
      </c>
      <c r="G206" s="67"/>
      <c r="H206" s="68" t="s">
        <v>6</v>
      </c>
    </row>
    <row r="207" spans="1:8" ht="14.25" customHeight="1">
      <c r="A207" s="69" t="s">
        <v>103</v>
      </c>
      <c r="B207" s="52" t="s">
        <v>338</v>
      </c>
      <c r="C207" s="52" t="s">
        <v>74</v>
      </c>
      <c r="D207" s="52">
        <v>1</v>
      </c>
      <c r="E207" s="52"/>
      <c r="F207" s="66">
        <v>46150</v>
      </c>
      <c r="G207" s="67"/>
      <c r="H207" s="68" t="s">
        <v>6</v>
      </c>
    </row>
    <row r="208" spans="1:8" ht="14.25" customHeight="1">
      <c r="A208" s="69" t="s">
        <v>103</v>
      </c>
      <c r="B208" s="52" t="s">
        <v>338</v>
      </c>
      <c r="C208" s="52" t="s">
        <v>80</v>
      </c>
      <c r="D208" s="52">
        <v>1</v>
      </c>
      <c r="E208" s="52"/>
      <c r="F208" s="66">
        <v>46150</v>
      </c>
      <c r="G208" s="67"/>
      <c r="H208" s="68" t="s">
        <v>6</v>
      </c>
    </row>
    <row r="209" spans="1:8" ht="14.25" customHeight="1">
      <c r="A209" s="69" t="s">
        <v>103</v>
      </c>
      <c r="B209" s="52" t="s">
        <v>339</v>
      </c>
      <c r="C209" s="52" t="s">
        <v>74</v>
      </c>
      <c r="D209" s="52">
        <v>1</v>
      </c>
      <c r="E209" s="52"/>
      <c r="F209" s="66">
        <v>46151</v>
      </c>
      <c r="G209" s="67"/>
      <c r="H209" s="68" t="s">
        <v>6</v>
      </c>
    </row>
    <row r="210" spans="1:8" ht="14.25" customHeight="1">
      <c r="A210" s="69" t="s">
        <v>103</v>
      </c>
      <c r="B210" s="52" t="s">
        <v>339</v>
      </c>
      <c r="C210" s="52" t="s">
        <v>80</v>
      </c>
      <c r="D210" s="52">
        <v>1</v>
      </c>
      <c r="E210" s="52"/>
      <c r="F210" s="66">
        <v>46151</v>
      </c>
      <c r="G210" s="67"/>
      <c r="H210" s="68" t="s">
        <v>6</v>
      </c>
    </row>
    <row r="211" spans="1:8" ht="14.25" customHeight="1">
      <c r="A211" s="69" t="s">
        <v>103</v>
      </c>
      <c r="B211" s="59" t="s">
        <v>104</v>
      </c>
      <c r="C211" s="52" t="s">
        <v>74</v>
      </c>
      <c r="D211" s="52">
        <v>4</v>
      </c>
      <c r="E211" s="52"/>
      <c r="F211" s="66">
        <v>46152</v>
      </c>
      <c r="G211" s="67"/>
      <c r="H211" s="68" t="s">
        <v>6</v>
      </c>
    </row>
    <row r="212" spans="1:8" ht="14.25" customHeight="1">
      <c r="A212" s="69" t="s">
        <v>103</v>
      </c>
      <c r="B212" s="59" t="s">
        <v>104</v>
      </c>
      <c r="C212" s="52" t="s">
        <v>80</v>
      </c>
      <c r="D212" s="52">
        <v>4</v>
      </c>
      <c r="E212" s="52"/>
      <c r="F212" s="66">
        <v>46152</v>
      </c>
      <c r="G212" s="67"/>
      <c r="H212" s="68" t="s">
        <v>6</v>
      </c>
    </row>
    <row r="213" spans="1:8" ht="14.25" customHeight="1">
      <c r="A213" s="69" t="s">
        <v>100</v>
      </c>
      <c r="B213" s="52" t="s">
        <v>155</v>
      </c>
      <c r="C213" s="52" t="s">
        <v>74</v>
      </c>
      <c r="D213" s="52">
        <v>2</v>
      </c>
      <c r="E213" s="52"/>
      <c r="F213" s="66">
        <v>46153</v>
      </c>
      <c r="G213" s="67"/>
      <c r="H213" s="68" t="s">
        <v>6</v>
      </c>
    </row>
    <row r="214" spans="1:8" ht="14.25" customHeight="1">
      <c r="A214" s="69" t="s">
        <v>100</v>
      </c>
      <c r="B214" s="52" t="s">
        <v>155</v>
      </c>
      <c r="C214" s="52" t="s">
        <v>80</v>
      </c>
      <c r="D214" s="52">
        <v>1</v>
      </c>
      <c r="E214" s="52"/>
      <c r="F214" s="66">
        <v>46153</v>
      </c>
      <c r="G214" s="67"/>
      <c r="H214" s="68" t="s">
        <v>6</v>
      </c>
    </row>
    <row r="215" spans="1:8" ht="14.25" customHeight="1">
      <c r="A215" s="69" t="s">
        <v>100</v>
      </c>
      <c r="B215" s="52" t="s">
        <v>155</v>
      </c>
      <c r="C215" s="52" t="s">
        <v>118</v>
      </c>
      <c r="D215" s="52">
        <v>1</v>
      </c>
      <c r="E215" s="52"/>
      <c r="F215" s="66">
        <v>46153</v>
      </c>
      <c r="G215" s="67"/>
      <c r="H215" s="68" t="s">
        <v>6</v>
      </c>
    </row>
    <row r="216" spans="1:8" ht="14.25" customHeight="1">
      <c r="A216" s="69" t="s">
        <v>100</v>
      </c>
      <c r="B216" s="52" t="s">
        <v>159</v>
      </c>
      <c r="C216" s="52" t="s">
        <v>74</v>
      </c>
      <c r="D216" s="52">
        <v>1</v>
      </c>
      <c r="E216" s="52"/>
      <c r="F216" s="66">
        <v>46153</v>
      </c>
      <c r="G216" s="67"/>
      <c r="H216" s="68" t="s">
        <v>6</v>
      </c>
    </row>
    <row r="217" spans="1:8" ht="14.25" customHeight="1">
      <c r="A217" s="69" t="s">
        <v>100</v>
      </c>
      <c r="B217" s="52" t="s">
        <v>159</v>
      </c>
      <c r="C217" s="52" t="s">
        <v>80</v>
      </c>
      <c r="D217" s="52">
        <v>1</v>
      </c>
      <c r="E217" s="52"/>
      <c r="F217" s="66">
        <v>46153</v>
      </c>
      <c r="G217" s="67"/>
      <c r="H217" s="68" t="s">
        <v>6</v>
      </c>
    </row>
    <row r="218" spans="1:8" ht="14.25" customHeight="1">
      <c r="A218" s="69" t="s">
        <v>100</v>
      </c>
      <c r="B218" s="52" t="s">
        <v>159</v>
      </c>
      <c r="C218" s="52" t="s">
        <v>118</v>
      </c>
      <c r="D218" s="52">
        <v>1</v>
      </c>
      <c r="E218" s="52"/>
      <c r="F218" s="66">
        <v>46153</v>
      </c>
      <c r="G218" s="67"/>
      <c r="H218" s="68" t="s">
        <v>6</v>
      </c>
    </row>
    <row r="219" spans="1:8" ht="14.25" customHeight="1">
      <c r="A219" s="69" t="s">
        <v>100</v>
      </c>
      <c r="B219" s="52" t="s">
        <v>137</v>
      </c>
      <c r="C219" s="52" t="s">
        <v>74</v>
      </c>
      <c r="D219" s="52">
        <v>2</v>
      </c>
      <c r="E219" s="52"/>
      <c r="F219" s="66">
        <v>46153</v>
      </c>
      <c r="G219" s="67"/>
      <c r="H219" s="68" t="s">
        <v>6</v>
      </c>
    </row>
    <row r="220" spans="1:8" ht="14.25" customHeight="1">
      <c r="A220" s="69" t="s">
        <v>100</v>
      </c>
      <c r="B220" s="52" t="s">
        <v>137</v>
      </c>
      <c r="C220" s="52" t="s">
        <v>80</v>
      </c>
      <c r="D220" s="52">
        <v>1</v>
      </c>
      <c r="E220" s="52"/>
      <c r="F220" s="66">
        <v>46154</v>
      </c>
      <c r="G220" s="67"/>
      <c r="H220" s="68" t="s">
        <v>6</v>
      </c>
    </row>
    <row r="221" spans="1:8" ht="14.25" customHeight="1">
      <c r="A221" s="69" t="s">
        <v>100</v>
      </c>
      <c r="B221" s="52" t="s">
        <v>137</v>
      </c>
      <c r="C221" s="52" t="s">
        <v>118</v>
      </c>
      <c r="D221" s="52">
        <v>1</v>
      </c>
      <c r="E221" s="52"/>
      <c r="F221" s="66">
        <v>46154</v>
      </c>
      <c r="G221" s="67"/>
      <c r="H221" s="68" t="s">
        <v>6</v>
      </c>
    </row>
    <row r="222" spans="1:8" ht="14.25" customHeight="1">
      <c r="A222" s="69" t="s">
        <v>100</v>
      </c>
      <c r="B222" s="52" t="s">
        <v>162</v>
      </c>
      <c r="C222" s="52" t="s">
        <v>74</v>
      </c>
      <c r="D222" s="52">
        <v>1</v>
      </c>
      <c r="E222" s="52"/>
      <c r="F222" s="66">
        <v>46154</v>
      </c>
      <c r="G222" s="67"/>
      <c r="H222" s="68" t="s">
        <v>6</v>
      </c>
    </row>
    <row r="223" spans="1:8" ht="14.25" customHeight="1">
      <c r="A223" s="69" t="s">
        <v>100</v>
      </c>
      <c r="B223" s="52" t="s">
        <v>162</v>
      </c>
      <c r="C223" s="52" t="s">
        <v>80</v>
      </c>
      <c r="D223" s="52">
        <v>1</v>
      </c>
      <c r="E223" s="52"/>
      <c r="F223" s="66">
        <v>46154</v>
      </c>
      <c r="G223" s="67"/>
      <c r="H223" s="68" t="s">
        <v>6</v>
      </c>
    </row>
    <row r="224" spans="1:8" ht="14.25" customHeight="1">
      <c r="A224" s="69" t="s">
        <v>100</v>
      </c>
      <c r="B224" s="52" t="s">
        <v>162</v>
      </c>
      <c r="C224" s="52" t="s">
        <v>118</v>
      </c>
      <c r="D224" s="52">
        <v>1</v>
      </c>
      <c r="E224" s="52"/>
      <c r="F224" s="66">
        <v>46154</v>
      </c>
      <c r="G224" s="67"/>
      <c r="H224" s="68" t="s">
        <v>6</v>
      </c>
    </row>
    <row r="225" spans="1:8" ht="14.25" customHeight="1">
      <c r="A225" s="69" t="s">
        <v>100</v>
      </c>
      <c r="B225" s="52" t="s">
        <v>165</v>
      </c>
      <c r="C225" s="52" t="s">
        <v>74</v>
      </c>
      <c r="D225" s="52">
        <v>1</v>
      </c>
      <c r="E225" s="52"/>
      <c r="F225" s="66">
        <v>46154</v>
      </c>
      <c r="G225" s="67"/>
      <c r="H225" s="68" t="s">
        <v>6</v>
      </c>
    </row>
    <row r="226" spans="1:8" ht="14.25" customHeight="1">
      <c r="A226" s="69" t="s">
        <v>100</v>
      </c>
      <c r="B226" s="52" t="s">
        <v>165</v>
      </c>
      <c r="C226" s="52" t="s">
        <v>80</v>
      </c>
      <c r="D226" s="52">
        <v>2</v>
      </c>
      <c r="E226" s="52"/>
      <c r="F226" s="66">
        <v>46155</v>
      </c>
      <c r="G226" s="67"/>
      <c r="H226" s="68" t="s">
        <v>6</v>
      </c>
    </row>
    <row r="227" spans="1:8" ht="14.25" customHeight="1">
      <c r="A227" s="69" t="s">
        <v>100</v>
      </c>
      <c r="B227" s="52" t="s">
        <v>165</v>
      </c>
      <c r="C227" s="52" t="s">
        <v>118</v>
      </c>
      <c r="D227" s="52">
        <v>1</v>
      </c>
      <c r="E227" s="52"/>
      <c r="F227" s="66">
        <v>46155</v>
      </c>
      <c r="G227" s="67"/>
      <c r="H227" s="68" t="s">
        <v>6</v>
      </c>
    </row>
    <row r="228" spans="1:8" ht="14.25" customHeight="1">
      <c r="A228" s="69" t="s">
        <v>100</v>
      </c>
      <c r="B228" s="52" t="s">
        <v>276</v>
      </c>
      <c r="C228" s="52" t="s">
        <v>74</v>
      </c>
      <c r="D228" s="52">
        <v>1</v>
      </c>
      <c r="E228" s="52"/>
      <c r="F228" s="66">
        <v>46130</v>
      </c>
      <c r="G228" s="67"/>
      <c r="H228" s="68" t="s">
        <v>4</v>
      </c>
    </row>
    <row r="229" spans="1:8" ht="14.25" customHeight="1">
      <c r="A229" s="69" t="s">
        <v>100</v>
      </c>
      <c r="B229" s="52" t="s">
        <v>276</v>
      </c>
      <c r="C229" s="52" t="s">
        <v>80</v>
      </c>
      <c r="D229" s="52">
        <v>1</v>
      </c>
      <c r="E229" s="52"/>
      <c r="F229" s="66">
        <v>46130</v>
      </c>
      <c r="G229" s="67"/>
      <c r="H229" s="68" t="s">
        <v>4</v>
      </c>
    </row>
    <row r="230" spans="1:8" ht="14.25" customHeight="1">
      <c r="A230" s="69" t="s">
        <v>100</v>
      </c>
      <c r="B230" s="52" t="s">
        <v>101</v>
      </c>
      <c r="C230" s="52" t="s">
        <v>74</v>
      </c>
      <c r="D230" s="52">
        <v>1</v>
      </c>
      <c r="E230" s="52"/>
      <c r="F230" s="66">
        <v>46155</v>
      </c>
      <c r="G230" s="67"/>
      <c r="H230" s="68" t="s">
        <v>6</v>
      </c>
    </row>
    <row r="231" spans="1:8" ht="14.25" customHeight="1">
      <c r="A231" s="69" t="s">
        <v>100</v>
      </c>
      <c r="B231" s="52" t="s">
        <v>101</v>
      </c>
      <c r="C231" s="52" t="s">
        <v>80</v>
      </c>
      <c r="D231" s="52">
        <v>1</v>
      </c>
      <c r="E231" s="52"/>
      <c r="F231" s="66">
        <v>46155</v>
      </c>
      <c r="G231" s="67"/>
      <c r="H231" s="68" t="s">
        <v>6</v>
      </c>
    </row>
    <row r="232" spans="1:8" ht="14.25" customHeight="1">
      <c r="A232" s="69" t="s">
        <v>100</v>
      </c>
      <c r="B232" s="52" t="s">
        <v>132</v>
      </c>
      <c r="C232" s="52" t="s">
        <v>74</v>
      </c>
      <c r="D232" s="52">
        <v>1</v>
      </c>
      <c r="E232" s="52"/>
      <c r="F232" s="66">
        <v>46155</v>
      </c>
      <c r="G232" s="67"/>
      <c r="H232" s="68" t="s">
        <v>6</v>
      </c>
    </row>
    <row r="233" spans="1:8" ht="14.25" customHeight="1">
      <c r="A233" s="69" t="s">
        <v>100</v>
      </c>
      <c r="B233" s="52" t="s">
        <v>132</v>
      </c>
      <c r="C233" s="52" t="s">
        <v>80</v>
      </c>
      <c r="D233" s="52">
        <v>1</v>
      </c>
      <c r="E233" s="52"/>
      <c r="F233" s="66">
        <v>46156</v>
      </c>
      <c r="G233" s="67"/>
      <c r="H233" s="68" t="s">
        <v>6</v>
      </c>
    </row>
    <row r="234" spans="1:8" ht="14.25" customHeight="1">
      <c r="A234" s="69" t="s">
        <v>100</v>
      </c>
      <c r="B234" s="52" t="s">
        <v>133</v>
      </c>
      <c r="C234" s="52" t="s">
        <v>74</v>
      </c>
      <c r="D234" s="52">
        <v>1</v>
      </c>
      <c r="E234" s="52"/>
      <c r="F234" s="66">
        <v>46156</v>
      </c>
      <c r="G234" s="67"/>
      <c r="H234" s="68" t="s">
        <v>6</v>
      </c>
    </row>
    <row r="235" spans="1:8" ht="14.25" customHeight="1">
      <c r="A235" s="69" t="s">
        <v>100</v>
      </c>
      <c r="B235" s="52" t="s">
        <v>133</v>
      </c>
      <c r="C235" s="52" t="s">
        <v>80</v>
      </c>
      <c r="D235" s="52">
        <v>1</v>
      </c>
      <c r="E235" s="52"/>
      <c r="F235" s="66">
        <v>46156</v>
      </c>
      <c r="G235" s="67"/>
      <c r="H235" s="68" t="s">
        <v>6</v>
      </c>
    </row>
    <row r="236" spans="1:8" ht="14.25" customHeight="1">
      <c r="A236" s="69" t="s">
        <v>100</v>
      </c>
      <c r="B236" s="52" t="s">
        <v>110</v>
      </c>
      <c r="C236" s="52" t="s">
        <v>74</v>
      </c>
      <c r="D236" s="52">
        <v>1</v>
      </c>
      <c r="E236" s="52"/>
      <c r="F236" s="66">
        <v>46156</v>
      </c>
      <c r="G236" s="67"/>
      <c r="H236" s="68" t="s">
        <v>6</v>
      </c>
    </row>
    <row r="237" spans="1:8" ht="14.25" customHeight="1">
      <c r="A237" s="69" t="s">
        <v>100</v>
      </c>
      <c r="B237" s="52" t="s">
        <v>110</v>
      </c>
      <c r="C237" s="52" t="s">
        <v>80</v>
      </c>
      <c r="D237" s="52">
        <v>1</v>
      </c>
      <c r="E237" s="52"/>
      <c r="F237" s="66">
        <v>46156</v>
      </c>
      <c r="G237" s="67"/>
      <c r="H237" s="68" t="s">
        <v>6</v>
      </c>
    </row>
    <row r="238" spans="1:8" ht="14.25" customHeight="1">
      <c r="A238" s="69" t="s">
        <v>100</v>
      </c>
      <c r="B238" s="52" t="s">
        <v>112</v>
      </c>
      <c r="C238" s="52" t="s">
        <v>74</v>
      </c>
      <c r="D238" s="52">
        <v>1</v>
      </c>
      <c r="E238" s="52"/>
      <c r="F238" s="66">
        <v>46156</v>
      </c>
      <c r="G238" s="67"/>
      <c r="H238" s="68" t="s">
        <v>6</v>
      </c>
    </row>
    <row r="239" spans="1:8" ht="14.25" customHeight="1">
      <c r="A239" s="69" t="s">
        <v>100</v>
      </c>
      <c r="B239" s="52" t="s">
        <v>112</v>
      </c>
      <c r="C239" s="52" t="s">
        <v>80</v>
      </c>
      <c r="D239" s="52">
        <v>1</v>
      </c>
      <c r="E239" s="52"/>
      <c r="F239" s="66">
        <v>46157</v>
      </c>
      <c r="G239" s="67"/>
      <c r="H239" s="68" t="s">
        <v>6</v>
      </c>
    </row>
    <row r="240" spans="1:8" ht="14.25" customHeight="1">
      <c r="A240" s="69" t="s">
        <v>100</v>
      </c>
      <c r="B240" s="52" t="s">
        <v>113</v>
      </c>
      <c r="C240" s="52" t="s">
        <v>74</v>
      </c>
      <c r="D240" s="52">
        <v>1</v>
      </c>
      <c r="E240" s="52"/>
      <c r="F240" s="66">
        <v>46157</v>
      </c>
      <c r="G240" s="67"/>
      <c r="H240" s="68" t="s">
        <v>6</v>
      </c>
    </row>
    <row r="241" spans="1:8" ht="14.25" customHeight="1">
      <c r="A241" s="69" t="s">
        <v>100</v>
      </c>
      <c r="B241" s="52" t="s">
        <v>113</v>
      </c>
      <c r="C241" s="52" t="s">
        <v>80</v>
      </c>
      <c r="D241" s="52">
        <v>1</v>
      </c>
      <c r="E241" s="52"/>
      <c r="F241" s="66">
        <v>46157</v>
      </c>
      <c r="G241" s="67"/>
      <c r="H241" s="68" t="s">
        <v>6</v>
      </c>
    </row>
    <row r="242" spans="1:8" ht="14.25" customHeight="1">
      <c r="A242" s="69" t="s">
        <v>100</v>
      </c>
      <c r="B242" s="52" t="s">
        <v>113</v>
      </c>
      <c r="C242" s="52" t="s">
        <v>118</v>
      </c>
      <c r="D242" s="52">
        <v>1</v>
      </c>
      <c r="E242" s="52"/>
      <c r="F242" s="66">
        <v>46157</v>
      </c>
      <c r="G242" s="67"/>
      <c r="H242" s="68" t="s">
        <v>6</v>
      </c>
    </row>
    <row r="243" spans="1:8" ht="14.25" customHeight="1">
      <c r="A243" s="69" t="s">
        <v>100</v>
      </c>
      <c r="B243" s="52" t="s">
        <v>115</v>
      </c>
      <c r="C243" s="52" t="s">
        <v>74</v>
      </c>
      <c r="D243" s="52">
        <v>1</v>
      </c>
      <c r="E243" s="52"/>
      <c r="F243" s="66">
        <v>46157</v>
      </c>
      <c r="G243" s="67"/>
      <c r="H243" s="68" t="s">
        <v>6</v>
      </c>
    </row>
    <row r="244" spans="1:8" ht="14.25" customHeight="1">
      <c r="A244" s="69" t="s">
        <v>100</v>
      </c>
      <c r="B244" s="52" t="s">
        <v>115</v>
      </c>
      <c r="C244" s="52" t="s">
        <v>80</v>
      </c>
      <c r="D244" s="52">
        <v>1</v>
      </c>
      <c r="E244" s="52"/>
      <c r="F244" s="66">
        <v>46157</v>
      </c>
      <c r="G244" s="67"/>
      <c r="H244" s="68" t="s">
        <v>6</v>
      </c>
    </row>
    <row r="245" spans="1:8" ht="14.25" customHeight="1">
      <c r="A245" s="69" t="s">
        <v>96</v>
      </c>
      <c r="B245" s="52" t="s">
        <v>263</v>
      </c>
      <c r="C245" s="52" t="s">
        <v>74</v>
      </c>
      <c r="D245" s="52">
        <v>1</v>
      </c>
      <c r="E245" s="52"/>
      <c r="F245" s="66">
        <v>46070</v>
      </c>
      <c r="G245" s="67"/>
      <c r="H245" s="68" t="s">
        <v>4</v>
      </c>
    </row>
    <row r="246" spans="1:8" ht="14.25" customHeight="1">
      <c r="A246" s="69" t="s">
        <v>96</v>
      </c>
      <c r="B246" s="52" t="s">
        <v>263</v>
      </c>
      <c r="C246" s="52" t="s">
        <v>80</v>
      </c>
      <c r="D246" s="52">
        <v>1</v>
      </c>
      <c r="E246" s="52"/>
      <c r="F246" s="66">
        <v>46070</v>
      </c>
      <c r="G246" s="67"/>
      <c r="H246" s="68" t="s">
        <v>4</v>
      </c>
    </row>
    <row r="247" spans="1:8" ht="14.25" customHeight="1">
      <c r="A247" s="69" t="s">
        <v>96</v>
      </c>
      <c r="B247" s="52" t="s">
        <v>263</v>
      </c>
      <c r="C247" s="52" t="s">
        <v>90</v>
      </c>
      <c r="D247" s="52">
        <v>2</v>
      </c>
      <c r="E247" s="52"/>
      <c r="F247" s="66">
        <v>46158</v>
      </c>
      <c r="G247" s="66">
        <v>46062</v>
      </c>
      <c r="H247" s="68" t="s">
        <v>75</v>
      </c>
    </row>
    <row r="248" spans="1:8" ht="14.25" customHeight="1">
      <c r="A248" s="69" t="s">
        <v>96</v>
      </c>
      <c r="B248" s="52" t="s">
        <v>135</v>
      </c>
      <c r="C248" s="52" t="s">
        <v>74</v>
      </c>
      <c r="D248" s="52">
        <v>1</v>
      </c>
      <c r="E248" s="52"/>
      <c r="F248" s="66">
        <v>46158</v>
      </c>
      <c r="G248" s="67"/>
      <c r="H248" s="68" t="s">
        <v>6</v>
      </c>
    </row>
    <row r="249" spans="1:8" ht="14.25" customHeight="1">
      <c r="A249" s="69" t="s">
        <v>96</v>
      </c>
      <c r="B249" s="52" t="s">
        <v>135</v>
      </c>
      <c r="C249" s="52" t="s">
        <v>80</v>
      </c>
      <c r="D249" s="52">
        <v>1</v>
      </c>
      <c r="E249" s="52"/>
      <c r="F249" s="66">
        <v>46158</v>
      </c>
      <c r="G249" s="67"/>
      <c r="H249" s="68" t="s">
        <v>6</v>
      </c>
    </row>
    <row r="250" spans="1:8" ht="14.25" customHeight="1">
      <c r="A250" s="69" t="s">
        <v>96</v>
      </c>
      <c r="B250" s="52" t="s">
        <v>135</v>
      </c>
      <c r="C250" s="52" t="s">
        <v>118</v>
      </c>
      <c r="D250" s="52">
        <v>1</v>
      </c>
      <c r="E250" s="52"/>
      <c r="F250" s="66">
        <v>46158</v>
      </c>
      <c r="G250" s="67"/>
      <c r="H250" s="68" t="s">
        <v>6</v>
      </c>
    </row>
    <row r="251" spans="1:8" ht="14.25" customHeight="1">
      <c r="A251" s="69" t="s">
        <v>96</v>
      </c>
      <c r="B251" s="52" t="s">
        <v>136</v>
      </c>
      <c r="C251" s="52" t="s">
        <v>74</v>
      </c>
      <c r="D251" s="52">
        <v>1</v>
      </c>
      <c r="E251" s="52"/>
      <c r="F251" s="66">
        <v>46158</v>
      </c>
      <c r="G251" s="67"/>
      <c r="H251" s="68" t="s">
        <v>6</v>
      </c>
    </row>
    <row r="252" spans="1:8" ht="14.25" customHeight="1">
      <c r="A252" s="69" t="s">
        <v>96</v>
      </c>
      <c r="B252" s="52" t="s">
        <v>136</v>
      </c>
      <c r="C252" s="52" t="s">
        <v>80</v>
      </c>
      <c r="D252" s="52">
        <v>1</v>
      </c>
      <c r="E252" s="52"/>
      <c r="F252" s="66">
        <v>46158</v>
      </c>
      <c r="G252" s="67"/>
      <c r="H252" s="68" t="s">
        <v>6</v>
      </c>
    </row>
    <row r="253" spans="1:8" ht="14.25" customHeight="1">
      <c r="A253" s="69" t="s">
        <v>96</v>
      </c>
      <c r="B253" s="52" t="s">
        <v>136</v>
      </c>
      <c r="C253" s="52" t="s">
        <v>118</v>
      </c>
      <c r="D253" s="52">
        <v>1</v>
      </c>
      <c r="E253" s="52"/>
      <c r="F253" s="66">
        <v>46159</v>
      </c>
      <c r="G253" s="67"/>
      <c r="H253" s="68" t="s">
        <v>6</v>
      </c>
    </row>
    <row r="254" spans="1:8" ht="14.25" customHeight="1">
      <c r="A254" s="69" t="s">
        <v>96</v>
      </c>
      <c r="B254" s="52" t="s">
        <v>275</v>
      </c>
      <c r="C254" s="52" t="s">
        <v>74</v>
      </c>
      <c r="D254" s="52">
        <v>2</v>
      </c>
      <c r="E254" s="52"/>
      <c r="F254" s="66">
        <v>46069</v>
      </c>
      <c r="G254" s="67"/>
      <c r="H254" s="68" t="s">
        <v>4</v>
      </c>
    </row>
    <row r="255" spans="1:8" ht="14.25" customHeight="1">
      <c r="A255" s="69" t="s">
        <v>96</v>
      </c>
      <c r="B255" s="52" t="s">
        <v>275</v>
      </c>
      <c r="C255" s="52" t="s">
        <v>80</v>
      </c>
      <c r="D255" s="52">
        <v>1</v>
      </c>
      <c r="E255" s="52"/>
      <c r="F255" s="66">
        <v>46069</v>
      </c>
      <c r="G255" s="67"/>
      <c r="H255" s="68" t="s">
        <v>4</v>
      </c>
    </row>
    <row r="256" spans="1:8" ht="14.25" customHeight="1">
      <c r="A256" s="69" t="s">
        <v>96</v>
      </c>
      <c r="B256" s="52" t="s">
        <v>97</v>
      </c>
      <c r="C256" s="52" t="s">
        <v>74</v>
      </c>
      <c r="D256" s="52">
        <v>1</v>
      </c>
      <c r="E256" s="52"/>
      <c r="F256" s="66">
        <v>46069</v>
      </c>
      <c r="G256" s="67"/>
      <c r="H256" s="68" t="s">
        <v>4</v>
      </c>
    </row>
    <row r="257" spans="1:8" ht="14.25" customHeight="1">
      <c r="A257" s="69" t="s">
        <v>96</v>
      </c>
      <c r="B257" s="52" t="s">
        <v>97</v>
      </c>
      <c r="C257" s="52" t="s">
        <v>80</v>
      </c>
      <c r="D257" s="52">
        <v>1</v>
      </c>
      <c r="E257" s="52"/>
      <c r="F257" s="66">
        <v>46069</v>
      </c>
      <c r="G257" s="67"/>
      <c r="H257" s="68" t="s">
        <v>4</v>
      </c>
    </row>
    <row r="258" spans="1:8" ht="14.25" customHeight="1">
      <c r="A258" s="69" t="s">
        <v>96</v>
      </c>
      <c r="B258" s="52" t="s">
        <v>150</v>
      </c>
      <c r="C258" s="52" t="s">
        <v>74</v>
      </c>
      <c r="D258" s="52">
        <v>1</v>
      </c>
      <c r="E258" s="52"/>
      <c r="F258" s="66">
        <v>46159</v>
      </c>
      <c r="G258" s="67"/>
      <c r="H258" s="68" t="s">
        <v>6</v>
      </c>
    </row>
    <row r="259" spans="1:8" ht="14.25" customHeight="1">
      <c r="A259" s="69" t="s">
        <v>96</v>
      </c>
      <c r="B259" s="52" t="s">
        <v>150</v>
      </c>
      <c r="C259" s="52" t="s">
        <v>80</v>
      </c>
      <c r="D259" s="52">
        <v>1</v>
      </c>
      <c r="E259" s="52"/>
      <c r="F259" s="66">
        <v>46159</v>
      </c>
      <c r="G259" s="67"/>
      <c r="H259" s="68" t="s">
        <v>6</v>
      </c>
    </row>
    <row r="260" spans="1:8" ht="14.25" customHeight="1">
      <c r="A260" s="69" t="s">
        <v>96</v>
      </c>
      <c r="B260" s="52" t="s">
        <v>151</v>
      </c>
      <c r="C260" s="52" t="s">
        <v>74</v>
      </c>
      <c r="D260" s="52">
        <v>1</v>
      </c>
      <c r="E260" s="52"/>
      <c r="F260" s="66">
        <v>46160</v>
      </c>
      <c r="G260" s="67"/>
      <c r="H260" s="68" t="s">
        <v>6</v>
      </c>
    </row>
    <row r="261" spans="1:8" ht="14.25" customHeight="1">
      <c r="A261" s="69" t="s">
        <v>96</v>
      </c>
      <c r="B261" s="52" t="s">
        <v>151</v>
      </c>
      <c r="C261" s="52" t="s">
        <v>80</v>
      </c>
      <c r="D261" s="52">
        <v>1</v>
      </c>
      <c r="E261" s="52"/>
      <c r="F261" s="66">
        <v>46160</v>
      </c>
      <c r="G261" s="67"/>
      <c r="H261" s="68" t="s">
        <v>6</v>
      </c>
    </row>
    <row r="262" spans="1:8" ht="14.25" customHeight="1">
      <c r="A262" s="69" t="s">
        <v>96</v>
      </c>
      <c r="B262" s="52" t="s">
        <v>107</v>
      </c>
      <c r="C262" s="52" t="s">
        <v>74</v>
      </c>
      <c r="D262" s="52">
        <v>2</v>
      </c>
      <c r="E262" s="52"/>
      <c r="F262" s="66">
        <v>46160</v>
      </c>
      <c r="G262" s="67"/>
      <c r="H262" s="68" t="s">
        <v>6</v>
      </c>
    </row>
    <row r="263" spans="1:8" ht="14.25" customHeight="1">
      <c r="A263" s="69" t="s">
        <v>96</v>
      </c>
      <c r="B263" s="52" t="s">
        <v>107</v>
      </c>
      <c r="C263" s="52" t="s">
        <v>80</v>
      </c>
      <c r="D263" s="52">
        <v>2</v>
      </c>
      <c r="E263" s="52"/>
      <c r="F263" s="66">
        <v>46160</v>
      </c>
      <c r="G263" s="67"/>
      <c r="H263" s="68" t="s">
        <v>6</v>
      </c>
    </row>
    <row r="264" spans="1:8" ht="14.25" customHeight="1">
      <c r="A264" s="69" t="s">
        <v>96</v>
      </c>
      <c r="B264" s="52" t="s">
        <v>107</v>
      </c>
      <c r="C264" s="52" t="s">
        <v>118</v>
      </c>
      <c r="D264" s="52">
        <v>1</v>
      </c>
      <c r="E264" s="52"/>
      <c r="F264" s="66">
        <v>46160</v>
      </c>
      <c r="G264" s="67"/>
      <c r="H264" s="68" t="s">
        <v>6</v>
      </c>
    </row>
    <row r="265" spans="1:8" ht="14.25" customHeight="1">
      <c r="A265" s="69" t="s">
        <v>96</v>
      </c>
      <c r="B265" s="52" t="s">
        <v>108</v>
      </c>
      <c r="C265" s="52" t="s">
        <v>74</v>
      </c>
      <c r="D265" s="52">
        <v>1</v>
      </c>
      <c r="E265" s="52"/>
      <c r="F265" s="66">
        <v>46160</v>
      </c>
      <c r="G265" s="67"/>
      <c r="H265" s="68" t="s">
        <v>6</v>
      </c>
    </row>
    <row r="266" spans="1:8" ht="14.25" customHeight="1">
      <c r="A266" s="69" t="s">
        <v>96</v>
      </c>
      <c r="B266" s="52" t="s">
        <v>108</v>
      </c>
      <c r="C266" s="52" t="s">
        <v>80</v>
      </c>
      <c r="D266" s="52">
        <v>1</v>
      </c>
      <c r="E266" s="52"/>
      <c r="F266" s="66">
        <v>46160</v>
      </c>
      <c r="G266" s="67"/>
      <c r="H266" s="68" t="s">
        <v>6</v>
      </c>
    </row>
    <row r="267" spans="1:8" ht="14.25" customHeight="1">
      <c r="A267" s="65" t="s">
        <v>355</v>
      </c>
      <c r="B267" s="52" t="s">
        <v>77</v>
      </c>
      <c r="C267" s="52" t="s">
        <v>78</v>
      </c>
      <c r="D267" s="52">
        <v>11</v>
      </c>
      <c r="E267" s="52"/>
      <c r="F267" s="66">
        <v>46161</v>
      </c>
      <c r="G267" s="67"/>
      <c r="H267" s="68" t="s">
        <v>6</v>
      </c>
    </row>
    <row r="268" spans="1:8" ht="14.25" customHeight="1">
      <c r="A268" s="65" t="s">
        <v>355</v>
      </c>
      <c r="B268" s="52" t="s">
        <v>356</v>
      </c>
      <c r="C268" s="52" t="s">
        <v>118</v>
      </c>
      <c r="D268" s="52">
        <v>1</v>
      </c>
      <c r="E268" s="52"/>
      <c r="F268" s="66">
        <v>46161</v>
      </c>
      <c r="G268" s="67"/>
      <c r="H268" s="68" t="s">
        <v>6</v>
      </c>
    </row>
    <row r="269" spans="1:8" ht="14.25" customHeight="1">
      <c r="A269" s="65" t="s">
        <v>355</v>
      </c>
      <c r="B269" s="52" t="s">
        <v>381</v>
      </c>
      <c r="C269" s="52" t="s">
        <v>80</v>
      </c>
      <c r="D269" s="52">
        <v>1</v>
      </c>
      <c r="E269" s="52"/>
      <c r="F269" s="66">
        <v>46161</v>
      </c>
      <c r="G269" s="67"/>
      <c r="H269" s="68" t="s">
        <v>6</v>
      </c>
    </row>
    <row r="270" spans="1:8" ht="14.25" customHeight="1">
      <c r="A270" s="65" t="s">
        <v>355</v>
      </c>
      <c r="B270" s="59" t="s">
        <v>382</v>
      </c>
      <c r="C270" s="52" t="s">
        <v>74</v>
      </c>
      <c r="D270" s="52">
        <v>1</v>
      </c>
      <c r="E270" s="52"/>
      <c r="F270" s="66">
        <v>46161</v>
      </c>
      <c r="G270" s="67"/>
      <c r="H270" s="68" t="s">
        <v>6</v>
      </c>
    </row>
    <row r="271" spans="1:8" ht="14.25" customHeight="1">
      <c r="A271" s="65" t="s">
        <v>355</v>
      </c>
      <c r="B271" s="59" t="s">
        <v>382</v>
      </c>
      <c r="C271" s="52" t="s">
        <v>80</v>
      </c>
      <c r="D271" s="52">
        <v>1</v>
      </c>
      <c r="E271" s="52"/>
      <c r="F271" s="66">
        <v>46162</v>
      </c>
      <c r="G271" s="67"/>
      <c r="H271" s="68" t="s">
        <v>6</v>
      </c>
    </row>
    <row r="272" spans="1:8" ht="14.25" customHeight="1">
      <c r="A272" s="65" t="s">
        <v>355</v>
      </c>
      <c r="B272" s="59" t="s">
        <v>384</v>
      </c>
      <c r="C272" s="52" t="s">
        <v>74</v>
      </c>
      <c r="D272" s="52">
        <v>1</v>
      </c>
      <c r="E272" s="52"/>
      <c r="F272" s="66">
        <v>46162</v>
      </c>
      <c r="G272" s="67"/>
      <c r="H272" s="68" t="s">
        <v>6</v>
      </c>
    </row>
    <row r="273" spans="1:8" ht="14.25" customHeight="1">
      <c r="A273" s="65" t="s">
        <v>355</v>
      </c>
      <c r="B273" s="59" t="s">
        <v>383</v>
      </c>
      <c r="C273" s="52" t="s">
        <v>74</v>
      </c>
      <c r="D273" s="52">
        <v>1</v>
      </c>
      <c r="E273" s="52"/>
      <c r="F273" s="66">
        <v>46162</v>
      </c>
      <c r="G273" s="67"/>
      <c r="H273" s="68" t="s">
        <v>6</v>
      </c>
    </row>
    <row r="274" spans="1:8" ht="14.25" customHeight="1">
      <c r="A274" s="65" t="s">
        <v>355</v>
      </c>
      <c r="B274" s="59" t="s">
        <v>383</v>
      </c>
      <c r="C274" s="52" t="s">
        <v>80</v>
      </c>
      <c r="D274" s="52">
        <v>1</v>
      </c>
      <c r="E274" s="52"/>
      <c r="F274" s="66">
        <v>46162</v>
      </c>
      <c r="G274" s="67"/>
      <c r="H274" s="68" t="s">
        <v>6</v>
      </c>
    </row>
    <row r="275" spans="1:8" ht="14.25" customHeight="1">
      <c r="A275" s="65" t="s">
        <v>352</v>
      </c>
      <c r="B275" s="52" t="s">
        <v>77</v>
      </c>
      <c r="C275" s="52" t="s">
        <v>78</v>
      </c>
      <c r="D275" s="52">
        <v>4</v>
      </c>
      <c r="E275" s="52"/>
      <c r="F275" s="66">
        <v>46163</v>
      </c>
      <c r="G275" s="67"/>
      <c r="H275" s="68" t="s">
        <v>6</v>
      </c>
    </row>
    <row r="276" spans="1:8" ht="14.25" customHeight="1">
      <c r="A276" s="65" t="s">
        <v>352</v>
      </c>
      <c r="B276" s="52" t="s">
        <v>377</v>
      </c>
      <c r="C276" s="52" t="s">
        <v>74</v>
      </c>
      <c r="D276" s="52">
        <v>6</v>
      </c>
      <c r="E276" s="52"/>
      <c r="F276" s="66">
        <v>46163</v>
      </c>
      <c r="G276" s="67"/>
      <c r="H276" s="68" t="s">
        <v>6</v>
      </c>
    </row>
    <row r="277" spans="1:8" ht="14.25" customHeight="1">
      <c r="A277" s="65" t="s">
        <v>352</v>
      </c>
      <c r="B277" s="52" t="s">
        <v>377</v>
      </c>
      <c r="C277" s="52" t="s">
        <v>80</v>
      </c>
      <c r="D277" s="52">
        <v>4</v>
      </c>
      <c r="E277" s="52"/>
      <c r="F277" s="66">
        <v>46163</v>
      </c>
      <c r="G277" s="67"/>
      <c r="H277" s="68" t="s">
        <v>6</v>
      </c>
    </row>
    <row r="278" spans="1:8" ht="14.25" customHeight="1">
      <c r="A278" s="65" t="s">
        <v>346</v>
      </c>
      <c r="B278" s="52" t="s">
        <v>77</v>
      </c>
      <c r="C278" s="52" t="s">
        <v>78</v>
      </c>
      <c r="D278" s="52">
        <v>9</v>
      </c>
      <c r="E278" s="52"/>
      <c r="F278" s="66">
        <v>46164</v>
      </c>
      <c r="G278" s="67"/>
      <c r="H278" s="68" t="s">
        <v>6</v>
      </c>
    </row>
    <row r="279" spans="1:8" ht="14.25" customHeight="1">
      <c r="A279" s="65" t="s">
        <v>346</v>
      </c>
      <c r="B279" s="59" t="s">
        <v>345</v>
      </c>
      <c r="C279" s="52" t="s">
        <v>140</v>
      </c>
      <c r="D279" s="52">
        <v>2</v>
      </c>
      <c r="E279" s="52"/>
      <c r="F279" s="66">
        <v>46164</v>
      </c>
      <c r="G279" s="67"/>
      <c r="H279" s="68" t="s">
        <v>6</v>
      </c>
    </row>
    <row r="280" spans="1:8" ht="14.25" customHeight="1">
      <c r="A280" s="65" t="s">
        <v>346</v>
      </c>
      <c r="B280" s="59" t="s">
        <v>345</v>
      </c>
      <c r="C280" s="52" t="s">
        <v>142</v>
      </c>
      <c r="D280" s="52">
        <v>2</v>
      </c>
      <c r="E280" s="52"/>
      <c r="F280" s="66">
        <v>46164</v>
      </c>
      <c r="G280" s="67"/>
      <c r="H280" s="68" t="s">
        <v>6</v>
      </c>
    </row>
    <row r="281" spans="1:8" ht="14.25" customHeight="1">
      <c r="A281" s="65" t="s">
        <v>347</v>
      </c>
      <c r="B281" s="52" t="s">
        <v>77</v>
      </c>
      <c r="C281" s="52" t="s">
        <v>78</v>
      </c>
      <c r="D281" s="52">
        <v>9</v>
      </c>
      <c r="E281" s="52"/>
      <c r="F281" s="66">
        <v>46165</v>
      </c>
      <c r="G281" s="67"/>
      <c r="H281" s="68" t="s">
        <v>6</v>
      </c>
    </row>
    <row r="282" spans="1:8" ht="14.25" customHeight="1">
      <c r="A282" s="65" t="s">
        <v>347</v>
      </c>
      <c r="B282" s="52" t="s">
        <v>375</v>
      </c>
      <c r="C282" s="52" t="s">
        <v>140</v>
      </c>
      <c r="D282" s="52">
        <v>1</v>
      </c>
      <c r="E282" s="52"/>
      <c r="F282" s="66">
        <v>46165</v>
      </c>
      <c r="G282" s="67"/>
      <c r="H282" s="68" t="s">
        <v>6</v>
      </c>
    </row>
    <row r="283" spans="1:8" ht="14.25" customHeight="1">
      <c r="A283" s="65" t="s">
        <v>347</v>
      </c>
      <c r="B283" s="52" t="s">
        <v>375</v>
      </c>
      <c r="C283" s="52" t="s">
        <v>80</v>
      </c>
      <c r="D283" s="52">
        <v>2</v>
      </c>
      <c r="E283" s="52"/>
      <c r="F283" s="66">
        <v>46165</v>
      </c>
      <c r="G283" s="67"/>
      <c r="H283" s="68" t="s">
        <v>6</v>
      </c>
    </row>
    <row r="284" spans="1:8" ht="14.25" customHeight="1">
      <c r="A284" s="65" t="s">
        <v>351</v>
      </c>
      <c r="B284" s="52" t="s">
        <v>77</v>
      </c>
      <c r="C284" s="52" t="s">
        <v>78</v>
      </c>
      <c r="D284" s="52">
        <v>10</v>
      </c>
      <c r="E284" s="52"/>
      <c r="F284" s="66">
        <v>46166</v>
      </c>
      <c r="G284" s="67"/>
      <c r="H284" s="68" t="s">
        <v>6</v>
      </c>
    </row>
    <row r="285" spans="1:8" ht="14.25" customHeight="1">
      <c r="A285" s="65" t="s">
        <v>344</v>
      </c>
      <c r="B285" s="52" t="s">
        <v>77</v>
      </c>
      <c r="C285" s="52" t="s">
        <v>78</v>
      </c>
      <c r="D285" s="52">
        <v>6</v>
      </c>
      <c r="E285" s="52"/>
      <c r="F285" s="66">
        <v>46167</v>
      </c>
      <c r="G285" s="67"/>
      <c r="H285" s="68" t="s">
        <v>6</v>
      </c>
    </row>
    <row r="286" spans="1:8" ht="14.25" customHeight="1">
      <c r="A286" s="65" t="s">
        <v>344</v>
      </c>
      <c r="B286" s="59" t="s">
        <v>345</v>
      </c>
      <c r="C286" s="52" t="s">
        <v>140</v>
      </c>
      <c r="D286" s="52">
        <v>1</v>
      </c>
      <c r="E286" s="52"/>
      <c r="F286" s="66">
        <v>46167</v>
      </c>
      <c r="G286" s="67"/>
      <c r="H286" s="68" t="s">
        <v>6</v>
      </c>
    </row>
    <row r="287" spans="1:8" ht="14.25" customHeight="1">
      <c r="A287" s="65" t="s">
        <v>344</v>
      </c>
      <c r="B287" s="59" t="s">
        <v>345</v>
      </c>
      <c r="C287" s="52" t="s">
        <v>142</v>
      </c>
      <c r="D287" s="52">
        <v>1</v>
      </c>
      <c r="E287" s="52"/>
      <c r="F287" s="66">
        <v>46167</v>
      </c>
      <c r="G287" s="67"/>
      <c r="H287" s="68" t="s">
        <v>6</v>
      </c>
    </row>
    <row r="288" spans="1:8" ht="14.25" customHeight="1">
      <c r="A288" s="65" t="s">
        <v>344</v>
      </c>
      <c r="B288" s="59" t="s">
        <v>345</v>
      </c>
      <c r="C288" s="52" t="s">
        <v>90</v>
      </c>
      <c r="D288" s="52">
        <v>1</v>
      </c>
      <c r="E288" s="52"/>
      <c r="F288" s="66">
        <v>46167</v>
      </c>
      <c r="G288" s="67"/>
      <c r="H288" s="68" t="s">
        <v>6</v>
      </c>
    </row>
    <row r="289" spans="1:8" ht="14.25" customHeight="1">
      <c r="A289" s="65" t="s">
        <v>344</v>
      </c>
      <c r="B289" s="59" t="s">
        <v>345</v>
      </c>
      <c r="C289" s="52" t="s">
        <v>118</v>
      </c>
      <c r="D289" s="52">
        <v>1</v>
      </c>
      <c r="E289" s="52"/>
      <c r="F289" s="66">
        <v>46167</v>
      </c>
      <c r="G289" s="67"/>
      <c r="H289" s="68" t="s">
        <v>6</v>
      </c>
    </row>
    <row r="290" spans="1:8" ht="14.25" customHeight="1">
      <c r="A290" s="65" t="s">
        <v>349</v>
      </c>
      <c r="B290" s="52" t="s">
        <v>77</v>
      </c>
      <c r="C290" s="52" t="s">
        <v>78</v>
      </c>
      <c r="D290" s="52">
        <v>3</v>
      </c>
      <c r="E290" s="52"/>
      <c r="F290" s="66">
        <v>46168</v>
      </c>
      <c r="G290" s="67"/>
      <c r="H290" s="68" t="s">
        <v>6</v>
      </c>
    </row>
    <row r="291" spans="1:8" ht="14.25" customHeight="1">
      <c r="A291" s="65" t="s">
        <v>349</v>
      </c>
      <c r="B291" s="59" t="s">
        <v>376</v>
      </c>
      <c r="C291" s="52" t="s">
        <v>140</v>
      </c>
      <c r="D291" s="52">
        <v>1</v>
      </c>
      <c r="E291" s="52"/>
      <c r="F291" s="66">
        <v>46168</v>
      </c>
      <c r="G291" s="67"/>
      <c r="H291" s="68" t="s">
        <v>6</v>
      </c>
    </row>
    <row r="292" spans="1:8" ht="14.25" customHeight="1">
      <c r="A292" s="65" t="s">
        <v>349</v>
      </c>
      <c r="B292" s="59" t="s">
        <v>376</v>
      </c>
      <c r="C292" s="52" t="s">
        <v>80</v>
      </c>
      <c r="D292" s="52">
        <v>2</v>
      </c>
      <c r="E292" s="52"/>
      <c r="F292" s="66">
        <v>46168</v>
      </c>
      <c r="G292" s="67"/>
      <c r="H292" s="68" t="s">
        <v>6</v>
      </c>
    </row>
    <row r="293" spans="1:8" ht="14.25" customHeight="1">
      <c r="A293" s="69" t="s">
        <v>371</v>
      </c>
      <c r="B293" s="52" t="s">
        <v>371</v>
      </c>
      <c r="C293" s="52" t="s">
        <v>74</v>
      </c>
      <c r="D293" s="52">
        <v>1</v>
      </c>
      <c r="E293" s="52"/>
      <c r="F293" s="66">
        <v>46169</v>
      </c>
      <c r="G293" s="67"/>
      <c r="H293" s="68" t="s">
        <v>6</v>
      </c>
    </row>
    <row r="294" spans="1:8" ht="14.25" customHeight="1">
      <c r="A294" s="69" t="s">
        <v>371</v>
      </c>
      <c r="B294" s="52" t="s">
        <v>371</v>
      </c>
      <c r="C294" s="52" t="s">
        <v>80</v>
      </c>
      <c r="D294" s="52">
        <v>1</v>
      </c>
      <c r="E294" s="52"/>
      <c r="F294" s="66">
        <v>46169</v>
      </c>
      <c r="G294" s="67"/>
      <c r="H294" s="68" t="s">
        <v>6</v>
      </c>
    </row>
    <row r="295" spans="1:8" ht="14.25" customHeight="1">
      <c r="A295" s="69" t="s">
        <v>370</v>
      </c>
      <c r="B295" s="52" t="s">
        <v>370</v>
      </c>
      <c r="C295" s="52" t="s">
        <v>74</v>
      </c>
      <c r="D295" s="52">
        <v>1</v>
      </c>
      <c r="E295" s="52"/>
      <c r="F295" s="66">
        <v>46170</v>
      </c>
      <c r="G295" s="67"/>
      <c r="H295" s="68" t="s">
        <v>6</v>
      </c>
    </row>
    <row r="296" spans="1:8" ht="14.25" customHeight="1">
      <c r="A296" s="69" t="s">
        <v>370</v>
      </c>
      <c r="B296" s="52" t="s">
        <v>370</v>
      </c>
      <c r="C296" s="52" t="s">
        <v>80</v>
      </c>
      <c r="D296" s="52">
        <v>1</v>
      </c>
      <c r="E296" s="52"/>
      <c r="F296" s="66">
        <v>46170</v>
      </c>
      <c r="G296" s="67"/>
      <c r="H296" s="68" t="s">
        <v>6</v>
      </c>
    </row>
    <row r="297" spans="1:8" ht="14.25" customHeight="1">
      <c r="A297" s="69" t="s">
        <v>369</v>
      </c>
      <c r="B297" s="52" t="s">
        <v>369</v>
      </c>
      <c r="C297" s="52" t="s">
        <v>74</v>
      </c>
      <c r="D297" s="52">
        <v>1</v>
      </c>
      <c r="E297" s="52"/>
      <c r="F297" s="66">
        <v>46171</v>
      </c>
      <c r="G297" s="67"/>
      <c r="H297" s="68" t="s">
        <v>6</v>
      </c>
    </row>
    <row r="298" spans="1:8" ht="14.25" customHeight="1">
      <c r="A298" s="69" t="s">
        <v>369</v>
      </c>
      <c r="B298" s="52" t="s">
        <v>369</v>
      </c>
      <c r="C298" s="52" t="s">
        <v>80</v>
      </c>
      <c r="D298" s="52">
        <v>1</v>
      </c>
      <c r="E298" s="52"/>
      <c r="F298" s="66">
        <v>46171</v>
      </c>
      <c r="G298" s="67"/>
      <c r="H298" s="68" t="s">
        <v>6</v>
      </c>
    </row>
    <row r="299" spans="1:8" ht="14.25" customHeight="1">
      <c r="A299" s="69" t="s">
        <v>372</v>
      </c>
      <c r="B299" s="59" t="s">
        <v>373</v>
      </c>
      <c r="C299" s="52" t="s">
        <v>74</v>
      </c>
      <c r="D299" s="52">
        <v>1</v>
      </c>
      <c r="E299" s="52"/>
      <c r="F299" s="66">
        <v>46172</v>
      </c>
      <c r="G299" s="67"/>
      <c r="H299" s="68" t="s">
        <v>6</v>
      </c>
    </row>
    <row r="300" spans="1:8" ht="14.25" customHeight="1">
      <c r="A300" s="65" t="s">
        <v>378</v>
      </c>
      <c r="B300" s="59" t="s">
        <v>379</v>
      </c>
      <c r="C300" s="52" t="s">
        <v>140</v>
      </c>
      <c r="D300" s="52">
        <v>1</v>
      </c>
      <c r="E300" s="52"/>
      <c r="F300" s="66">
        <v>46173</v>
      </c>
      <c r="G300" s="67"/>
      <c r="H300" s="68" t="s">
        <v>6</v>
      </c>
    </row>
    <row r="301" spans="1:8" ht="14.25" customHeight="1">
      <c r="A301" s="70" t="s">
        <v>380</v>
      </c>
      <c r="B301" s="71" t="s">
        <v>375</v>
      </c>
      <c r="C301" s="71" t="s">
        <v>74</v>
      </c>
      <c r="D301" s="71">
        <v>1</v>
      </c>
      <c r="E301" s="71"/>
      <c r="F301" s="72">
        <v>46174</v>
      </c>
      <c r="G301" s="73"/>
      <c r="H301" s="74" t="s">
        <v>6</v>
      </c>
    </row>
    <row r="302" spans="1:8" ht="14.25" customHeight="1">
      <c r="F302" s="75"/>
      <c r="G302" s="75"/>
    </row>
    <row r="303" spans="1:8" ht="14.25" customHeight="1">
      <c r="F303" s="75"/>
      <c r="G303" s="75"/>
    </row>
    <row r="304" spans="1:8" ht="14.25" customHeight="1">
      <c r="A304" s="7" t="s">
        <v>731</v>
      </c>
      <c r="F304" s="75"/>
      <c r="G304" s="75"/>
    </row>
    <row r="305" spans="1:7" ht="14.25" customHeight="1">
      <c r="A305" t="s">
        <v>78</v>
      </c>
      <c r="B305">
        <v>290</v>
      </c>
      <c r="F305" s="75"/>
      <c r="G305" s="75"/>
    </row>
    <row r="306" spans="1:7" ht="14.25" customHeight="1">
      <c r="A306" t="s">
        <v>74</v>
      </c>
      <c r="B306">
        <v>164</v>
      </c>
      <c r="F306" s="75"/>
      <c r="G306" s="75"/>
    </row>
    <row r="307" spans="1:7" ht="14.25" customHeight="1">
      <c r="A307" t="s">
        <v>80</v>
      </c>
      <c r="B307">
        <v>128</v>
      </c>
      <c r="F307" s="75"/>
      <c r="G307" s="75"/>
    </row>
    <row r="308" spans="1:7" ht="14.25" customHeight="1">
      <c r="A308" t="s">
        <v>140</v>
      </c>
      <c r="B308">
        <v>34</v>
      </c>
      <c r="F308" s="75"/>
      <c r="G308" s="75"/>
    </row>
    <row r="309" spans="1:7" ht="14.25" customHeight="1">
      <c r="A309" t="s">
        <v>142</v>
      </c>
      <c r="B309">
        <v>25</v>
      </c>
      <c r="F309" s="75"/>
      <c r="G309" s="75"/>
    </row>
    <row r="310" spans="1:7" ht="14.25" customHeight="1">
      <c r="A310" t="s">
        <v>90</v>
      </c>
      <c r="B310">
        <v>25</v>
      </c>
      <c r="F310" s="75"/>
      <c r="G310" s="75"/>
    </row>
    <row r="311" spans="1:7" ht="14.25" customHeight="1">
      <c r="A311" t="s">
        <v>118</v>
      </c>
      <c r="B311">
        <v>18</v>
      </c>
      <c r="F311" s="75"/>
      <c r="G311" s="75"/>
    </row>
    <row r="312" spans="1:7" ht="14.25" customHeight="1">
      <c r="A312" t="s">
        <v>314</v>
      </c>
      <c r="B312">
        <v>4</v>
      </c>
      <c r="F312" s="75"/>
      <c r="G312" s="75"/>
    </row>
    <row r="313" spans="1:7" ht="14.25" customHeight="1">
      <c r="A313" t="s">
        <v>84</v>
      </c>
      <c r="B313">
        <v>4</v>
      </c>
      <c r="F313" s="75"/>
      <c r="G313" s="75"/>
    </row>
    <row r="314" spans="1:7" ht="14.25" customHeight="1">
      <c r="A314" t="s">
        <v>196</v>
      </c>
      <c r="B314">
        <v>4</v>
      </c>
      <c r="F314" s="75"/>
      <c r="G314" s="75"/>
    </row>
    <row r="315" spans="1:7" ht="14.25" customHeight="1">
      <c r="A315" t="s">
        <v>83</v>
      </c>
      <c r="B315">
        <v>4</v>
      </c>
      <c r="F315" s="75"/>
      <c r="G315" s="75"/>
    </row>
    <row r="316" spans="1:7" ht="14.25" customHeight="1">
      <c r="A316" t="s">
        <v>193</v>
      </c>
      <c r="B316">
        <v>3</v>
      </c>
      <c r="F316" s="75"/>
      <c r="G316" s="75"/>
    </row>
    <row r="317" spans="1:7" ht="14.25" customHeight="1">
      <c r="A317" t="s">
        <v>362</v>
      </c>
      <c r="B317">
        <v>2</v>
      </c>
      <c r="F317" s="75"/>
      <c r="G317" s="75"/>
    </row>
    <row r="318" spans="1:7" ht="14.25" customHeight="1">
      <c r="A318" t="s">
        <v>313</v>
      </c>
      <c r="B318">
        <v>2</v>
      </c>
      <c r="F318" s="75"/>
      <c r="G318" s="75"/>
    </row>
    <row r="319" spans="1:7" ht="14.25" customHeight="1">
      <c r="A319" t="s">
        <v>194</v>
      </c>
      <c r="B319">
        <v>2</v>
      </c>
      <c r="F319" s="75"/>
      <c r="G319" s="75"/>
    </row>
    <row r="320" spans="1:7" ht="14.25" customHeight="1">
      <c r="A320" t="s">
        <v>312</v>
      </c>
      <c r="B320">
        <v>2</v>
      </c>
      <c r="F320" s="75"/>
      <c r="G320" s="75"/>
    </row>
    <row r="321" spans="1:7" ht="14.25" customHeight="1">
      <c r="A321" t="s">
        <v>191</v>
      </c>
      <c r="B321">
        <v>1</v>
      </c>
      <c r="F321" s="75"/>
      <c r="G321" s="75"/>
    </row>
  </sheetData>
  <conditionalFormatting sqref="H5:H321">
    <cfRule type="containsText" dxfId="2" priority="2" operator="containsText" text="Pending">
      <formula>NOT(ISERROR(SEARCH("Pending",H5)))</formula>
    </cfRule>
    <cfRule type="containsText" dxfId="1" priority="3" operator="containsText" text="On Plan">
      <formula>NOT(ISERROR(SEARCH("On Plan",H5)))</formula>
    </cfRule>
    <cfRule type="containsText" dxfId="0" priority="4" operator="containsText" text="Success">
      <formula>NOT(ISERROR(SEARCH("Success",H5)))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6"/>
  <sheetViews>
    <sheetView zoomScaleNormal="100" workbookViewId="0">
      <selection activeCell="F13" sqref="F13"/>
    </sheetView>
  </sheetViews>
  <sheetFormatPr defaultColWidth="8.85546875" defaultRowHeight="14.25" customHeight="1"/>
  <cols>
    <col min="1" max="1" width="50" customWidth="1"/>
    <col min="2" max="2" width="40" customWidth="1"/>
    <col min="3" max="3" width="27" customWidth="1"/>
    <col min="4" max="4" width="5" customWidth="1"/>
    <col min="5" max="5" width="16" customWidth="1"/>
    <col min="6" max="6" width="9" customWidth="1"/>
  </cols>
  <sheetData>
    <row r="1" spans="1:6" ht="18" customHeight="1">
      <c r="A1" s="90" t="s">
        <v>732</v>
      </c>
    </row>
    <row r="2" spans="1:6" ht="14.25" customHeight="1">
      <c r="A2" t="s">
        <v>733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59" t="s">
        <v>152</v>
      </c>
      <c r="B5" s="52" t="s">
        <v>171</v>
      </c>
      <c r="C5" s="52" t="s">
        <v>74</v>
      </c>
      <c r="D5" s="52">
        <v>4</v>
      </c>
      <c r="E5" s="52" t="s">
        <v>579</v>
      </c>
      <c r="F5" s="52" t="s">
        <v>6</v>
      </c>
    </row>
    <row r="6" spans="1:6" ht="14.25" customHeight="1">
      <c r="A6" s="61" t="s">
        <v>152</v>
      </c>
      <c r="B6" s="60" t="s">
        <v>171</v>
      </c>
      <c r="C6" s="60" t="s">
        <v>80</v>
      </c>
      <c r="D6" s="60">
        <v>2</v>
      </c>
      <c r="E6" s="60" t="s">
        <v>734</v>
      </c>
      <c r="F6" s="60" t="s">
        <v>6</v>
      </c>
    </row>
    <row r="7" spans="1:6" ht="14.25" customHeight="1">
      <c r="A7" s="59" t="s">
        <v>152</v>
      </c>
      <c r="B7" s="52" t="s">
        <v>172</v>
      </c>
      <c r="C7" s="52" t="s">
        <v>74</v>
      </c>
      <c r="D7" s="52">
        <v>8</v>
      </c>
      <c r="E7" s="52" t="s">
        <v>735</v>
      </c>
      <c r="F7" s="52" t="s">
        <v>6</v>
      </c>
    </row>
    <row r="8" spans="1:6" ht="14.25" customHeight="1">
      <c r="A8" s="61" t="s">
        <v>152</v>
      </c>
      <c r="B8" s="60" t="s">
        <v>172</v>
      </c>
      <c r="C8" s="60" t="s">
        <v>80</v>
      </c>
      <c r="D8" s="60">
        <v>4</v>
      </c>
      <c r="E8" s="60" t="s">
        <v>736</v>
      </c>
      <c r="F8" s="60" t="s">
        <v>6</v>
      </c>
    </row>
    <row r="9" spans="1:6" ht="14.25" customHeight="1">
      <c r="A9" s="59" t="s">
        <v>152</v>
      </c>
      <c r="B9" s="52" t="s">
        <v>77</v>
      </c>
      <c r="C9" s="52" t="s">
        <v>78</v>
      </c>
      <c r="D9" s="52">
        <v>24</v>
      </c>
      <c r="E9" s="52" t="s">
        <v>737</v>
      </c>
      <c r="F9" s="52" t="s">
        <v>6</v>
      </c>
    </row>
    <row r="10" spans="1:6" ht="14.25" customHeight="1">
      <c r="A10" s="61" t="s">
        <v>152</v>
      </c>
      <c r="B10" s="60" t="s">
        <v>173</v>
      </c>
      <c r="C10" s="60" t="s">
        <v>80</v>
      </c>
      <c r="D10" s="60">
        <v>2</v>
      </c>
      <c r="E10" s="60" t="s">
        <v>685</v>
      </c>
      <c r="F10" s="60" t="s">
        <v>6</v>
      </c>
    </row>
    <row r="11" spans="1:6" ht="14.25" customHeight="1">
      <c r="A11" s="59" t="s">
        <v>152</v>
      </c>
      <c r="B11" s="52" t="s">
        <v>177</v>
      </c>
      <c r="C11" s="52" t="s">
        <v>74</v>
      </c>
      <c r="D11" s="52">
        <v>4</v>
      </c>
      <c r="E11" s="52" t="s">
        <v>686</v>
      </c>
      <c r="F11" s="52" t="s">
        <v>6</v>
      </c>
    </row>
    <row r="12" spans="1:6" ht="14.25" customHeight="1">
      <c r="A12" s="61" t="s">
        <v>152</v>
      </c>
      <c r="B12" s="60" t="s">
        <v>178</v>
      </c>
      <c r="C12" s="60" t="s">
        <v>74</v>
      </c>
      <c r="D12" s="60">
        <v>1</v>
      </c>
      <c r="E12" s="60" t="s">
        <v>581</v>
      </c>
      <c r="F12" s="60" t="s">
        <v>6</v>
      </c>
    </row>
    <row r="13" spans="1:6" ht="14.25" customHeight="1">
      <c r="A13" s="59" t="s">
        <v>152</v>
      </c>
      <c r="B13" s="52" t="s">
        <v>153</v>
      </c>
      <c r="C13" s="52" t="s">
        <v>74</v>
      </c>
      <c r="D13" s="52">
        <v>7</v>
      </c>
      <c r="E13" s="52" t="s">
        <v>687</v>
      </c>
      <c r="F13" s="52" t="s">
        <v>6</v>
      </c>
    </row>
    <row r="14" spans="1:6" ht="14.25" customHeight="1">
      <c r="A14" s="61" t="s">
        <v>152</v>
      </c>
      <c r="B14" s="60" t="s">
        <v>153</v>
      </c>
      <c r="C14" s="60" t="s">
        <v>80</v>
      </c>
      <c r="D14" s="60">
        <v>1</v>
      </c>
      <c r="E14" s="60" t="s">
        <v>688</v>
      </c>
      <c r="F14" s="60" t="s">
        <v>6</v>
      </c>
    </row>
    <row r="15" spans="1:6" ht="14.25" customHeight="1">
      <c r="A15" s="59" t="s">
        <v>152</v>
      </c>
      <c r="B15" s="52" t="s">
        <v>153</v>
      </c>
      <c r="C15" s="52" t="s">
        <v>154</v>
      </c>
      <c r="D15" s="52">
        <v>2</v>
      </c>
      <c r="E15" s="52" t="s">
        <v>618</v>
      </c>
      <c r="F15" s="52" t="s">
        <v>6</v>
      </c>
    </row>
    <row r="16" spans="1:6" ht="14.25" customHeight="1">
      <c r="A16" s="61" t="s">
        <v>225</v>
      </c>
      <c r="B16" s="60" t="s">
        <v>258</v>
      </c>
      <c r="C16" s="60" t="s">
        <v>74</v>
      </c>
      <c r="D16" s="60">
        <v>4</v>
      </c>
      <c r="E16" s="60" t="s">
        <v>619</v>
      </c>
      <c r="F16" s="60" t="s">
        <v>6</v>
      </c>
    </row>
    <row r="17" spans="1:6" ht="14.25" customHeight="1">
      <c r="A17" s="59" t="s">
        <v>225</v>
      </c>
      <c r="B17" s="52" t="s">
        <v>333</v>
      </c>
      <c r="C17" s="52" t="s">
        <v>74</v>
      </c>
      <c r="D17" s="52">
        <v>1</v>
      </c>
      <c r="E17" s="52" t="s">
        <v>619</v>
      </c>
      <c r="F17" s="52" t="s">
        <v>6</v>
      </c>
    </row>
    <row r="18" spans="1:6" ht="14.25" customHeight="1">
      <c r="A18" s="61" t="s">
        <v>225</v>
      </c>
      <c r="B18" s="60" t="s">
        <v>226</v>
      </c>
      <c r="C18" s="60" t="s">
        <v>74</v>
      </c>
      <c r="D18" s="60">
        <v>2</v>
      </c>
      <c r="E18" s="60" t="s">
        <v>619</v>
      </c>
      <c r="F18" s="60" t="s">
        <v>6</v>
      </c>
    </row>
    <row r="19" spans="1:6" ht="14.25" customHeight="1">
      <c r="A19" s="59" t="s">
        <v>225</v>
      </c>
      <c r="B19" s="52" t="s">
        <v>260</v>
      </c>
      <c r="C19" s="52" t="s">
        <v>74</v>
      </c>
      <c r="D19" s="52">
        <v>4</v>
      </c>
      <c r="E19" s="52" t="s">
        <v>689</v>
      </c>
      <c r="F19" s="52" t="s">
        <v>6</v>
      </c>
    </row>
    <row r="20" spans="1:6" ht="14.25" customHeight="1">
      <c r="A20" s="61" t="s">
        <v>225</v>
      </c>
      <c r="B20" s="60" t="s">
        <v>259</v>
      </c>
      <c r="C20" s="60" t="s">
        <v>74</v>
      </c>
      <c r="D20" s="60">
        <v>2</v>
      </c>
      <c r="E20" s="60" t="s">
        <v>689</v>
      </c>
      <c r="F20" s="60" t="s">
        <v>6</v>
      </c>
    </row>
    <row r="21" spans="1:6" ht="14.25" customHeight="1">
      <c r="A21" s="59" t="s">
        <v>225</v>
      </c>
      <c r="B21" s="59" t="s">
        <v>227</v>
      </c>
      <c r="C21" s="52" t="s">
        <v>74</v>
      </c>
      <c r="D21" s="52">
        <v>2</v>
      </c>
      <c r="E21" s="52" t="s">
        <v>690</v>
      </c>
      <c r="F21" s="52" t="s">
        <v>6</v>
      </c>
    </row>
    <row r="22" spans="1:6" ht="14.25" customHeight="1">
      <c r="A22" s="61" t="s">
        <v>225</v>
      </c>
      <c r="B22" s="61" t="s">
        <v>228</v>
      </c>
      <c r="C22" s="60" t="s">
        <v>74</v>
      </c>
      <c r="D22" s="60">
        <v>2</v>
      </c>
      <c r="E22" s="60" t="s">
        <v>690</v>
      </c>
      <c r="F22" s="60" t="s">
        <v>6</v>
      </c>
    </row>
    <row r="23" spans="1:6" ht="14.25" customHeight="1">
      <c r="A23" s="59" t="s">
        <v>225</v>
      </c>
      <c r="B23" s="59" t="s">
        <v>229</v>
      </c>
      <c r="C23" s="52" t="s">
        <v>74</v>
      </c>
      <c r="D23" s="52">
        <v>1</v>
      </c>
      <c r="E23" s="52" t="s">
        <v>690</v>
      </c>
      <c r="F23" s="52" t="s">
        <v>6</v>
      </c>
    </row>
    <row r="24" spans="1:6" ht="14.25" customHeight="1">
      <c r="A24" s="61" t="s">
        <v>225</v>
      </c>
      <c r="B24" s="61" t="s">
        <v>230</v>
      </c>
      <c r="C24" s="60" t="s">
        <v>74</v>
      </c>
      <c r="D24" s="60">
        <v>1</v>
      </c>
      <c r="E24" s="60" t="s">
        <v>583</v>
      </c>
      <c r="F24" s="60" t="s">
        <v>6</v>
      </c>
    </row>
    <row r="25" spans="1:6" ht="14.25" customHeight="1">
      <c r="A25" s="59" t="s">
        <v>225</v>
      </c>
      <c r="B25" s="59" t="s">
        <v>231</v>
      </c>
      <c r="C25" s="52" t="s">
        <v>74</v>
      </c>
      <c r="D25" s="52">
        <v>1</v>
      </c>
      <c r="E25" s="52" t="s">
        <v>583</v>
      </c>
      <c r="F25" s="52" t="s">
        <v>6</v>
      </c>
    </row>
    <row r="26" spans="1:6" ht="14.25" customHeight="1">
      <c r="A26" s="61" t="s">
        <v>225</v>
      </c>
      <c r="B26" s="61" t="s">
        <v>255</v>
      </c>
      <c r="C26" s="60" t="s">
        <v>74</v>
      </c>
      <c r="D26" s="60">
        <v>4</v>
      </c>
      <c r="E26" s="60" t="s">
        <v>691</v>
      </c>
      <c r="F26" s="60" t="s">
        <v>6</v>
      </c>
    </row>
    <row r="27" spans="1:6" ht="14.25" customHeight="1">
      <c r="A27" s="59" t="s">
        <v>225</v>
      </c>
      <c r="B27" s="59" t="s">
        <v>255</v>
      </c>
      <c r="C27" s="52" t="s">
        <v>80</v>
      </c>
      <c r="D27" s="52">
        <v>1</v>
      </c>
      <c r="E27" s="52" t="s">
        <v>691</v>
      </c>
      <c r="F27" s="52" t="s">
        <v>6</v>
      </c>
    </row>
    <row r="28" spans="1:6" ht="14.25" customHeight="1">
      <c r="A28" s="61" t="s">
        <v>225</v>
      </c>
      <c r="B28" s="61" t="s">
        <v>261</v>
      </c>
      <c r="C28" s="60" t="s">
        <v>74</v>
      </c>
      <c r="D28" s="60">
        <v>4</v>
      </c>
      <c r="E28" s="60" t="s">
        <v>691</v>
      </c>
      <c r="F28" s="60" t="s">
        <v>6</v>
      </c>
    </row>
    <row r="29" spans="1:6" ht="14.25" customHeight="1">
      <c r="A29" s="59" t="s">
        <v>225</v>
      </c>
      <c r="B29" s="59" t="s">
        <v>256</v>
      </c>
      <c r="C29" s="52" t="s">
        <v>74</v>
      </c>
      <c r="D29" s="52">
        <v>5</v>
      </c>
      <c r="E29" s="52" t="s">
        <v>620</v>
      </c>
      <c r="F29" s="52" t="s">
        <v>6</v>
      </c>
    </row>
    <row r="30" spans="1:6" ht="14.25" customHeight="1">
      <c r="A30" s="61" t="s">
        <v>225</v>
      </c>
      <c r="B30" s="61" t="s">
        <v>693</v>
      </c>
      <c r="C30" s="60" t="s">
        <v>74</v>
      </c>
      <c r="D30" s="60">
        <v>1</v>
      </c>
      <c r="E30" s="60" t="s">
        <v>620</v>
      </c>
      <c r="F30" s="60" t="s">
        <v>6</v>
      </c>
    </row>
    <row r="31" spans="1:6" ht="14.25" customHeight="1">
      <c r="A31" s="59" t="s">
        <v>174</v>
      </c>
      <c r="B31" s="52" t="s">
        <v>694</v>
      </c>
      <c r="C31" s="52" t="s">
        <v>74</v>
      </c>
      <c r="D31" s="52">
        <v>3</v>
      </c>
      <c r="E31" s="52" t="s">
        <v>621</v>
      </c>
      <c r="F31" s="52" t="s">
        <v>6</v>
      </c>
    </row>
    <row r="32" spans="1:6" ht="14.25" customHeight="1">
      <c r="A32" s="61" t="s">
        <v>174</v>
      </c>
      <c r="B32" s="60" t="s">
        <v>694</v>
      </c>
      <c r="C32" s="60" t="s">
        <v>118</v>
      </c>
      <c r="D32" s="60">
        <v>2</v>
      </c>
      <c r="E32" s="60" t="s">
        <v>621</v>
      </c>
      <c r="F32" s="60" t="s">
        <v>6</v>
      </c>
    </row>
    <row r="33" spans="1:6" ht="14.25" customHeight="1">
      <c r="A33" s="59" t="s">
        <v>174</v>
      </c>
      <c r="B33" s="52" t="s">
        <v>694</v>
      </c>
      <c r="C33" s="52" t="s">
        <v>176</v>
      </c>
      <c r="D33" s="52">
        <v>2</v>
      </c>
      <c r="E33" s="52" t="s">
        <v>621</v>
      </c>
      <c r="F33" s="52" t="s">
        <v>6</v>
      </c>
    </row>
    <row r="34" spans="1:6" ht="14.25" customHeight="1">
      <c r="A34" s="61" t="s">
        <v>174</v>
      </c>
      <c r="B34" s="60" t="s">
        <v>694</v>
      </c>
      <c r="C34" s="60" t="s">
        <v>83</v>
      </c>
      <c r="D34" s="60">
        <v>2</v>
      </c>
      <c r="E34" s="60" t="s">
        <v>692</v>
      </c>
      <c r="F34" s="60" t="s">
        <v>6</v>
      </c>
    </row>
    <row r="35" spans="1:6" ht="14.25" customHeight="1">
      <c r="A35" s="59" t="s">
        <v>174</v>
      </c>
      <c r="B35" s="52" t="s">
        <v>219</v>
      </c>
      <c r="C35" s="52" t="s">
        <v>74</v>
      </c>
      <c r="D35" s="52">
        <v>4</v>
      </c>
      <c r="E35" s="52" t="s">
        <v>692</v>
      </c>
      <c r="F35" s="52" t="s">
        <v>6</v>
      </c>
    </row>
    <row r="36" spans="1:6" ht="14.25" customHeight="1">
      <c r="A36" s="61" t="s">
        <v>174</v>
      </c>
      <c r="B36" s="60" t="s">
        <v>219</v>
      </c>
      <c r="C36" s="60" t="s">
        <v>80</v>
      </c>
      <c r="D36" s="60">
        <v>3</v>
      </c>
      <c r="E36" s="60" t="s">
        <v>622</v>
      </c>
      <c r="F36" s="60" t="s">
        <v>6</v>
      </c>
    </row>
    <row r="37" spans="1:6" ht="14.25" customHeight="1">
      <c r="A37" s="59" t="s">
        <v>174</v>
      </c>
      <c r="B37" s="52" t="s">
        <v>220</v>
      </c>
      <c r="C37" s="52" t="s">
        <v>74</v>
      </c>
      <c r="D37" s="52">
        <v>1</v>
      </c>
      <c r="E37" s="52" t="s">
        <v>622</v>
      </c>
      <c r="F37" s="52" t="s">
        <v>6</v>
      </c>
    </row>
    <row r="38" spans="1:6" ht="14.25" customHeight="1">
      <c r="A38" s="61" t="s">
        <v>163</v>
      </c>
      <c r="B38" s="60" t="s">
        <v>221</v>
      </c>
      <c r="C38" s="60" t="s">
        <v>74</v>
      </c>
      <c r="D38" s="60">
        <v>1</v>
      </c>
      <c r="E38" s="60" t="s">
        <v>623</v>
      </c>
      <c r="F38" s="60" t="s">
        <v>6</v>
      </c>
    </row>
    <row r="39" spans="1:6" ht="14.25" customHeight="1">
      <c r="A39" s="59" t="s">
        <v>163</v>
      </c>
      <c r="B39" s="52" t="s">
        <v>164</v>
      </c>
      <c r="C39" s="52" t="s">
        <v>118</v>
      </c>
      <c r="D39" s="52">
        <v>2</v>
      </c>
      <c r="E39" s="52" t="s">
        <v>623</v>
      </c>
      <c r="F39" s="52" t="s">
        <v>6</v>
      </c>
    </row>
    <row r="40" spans="1:6" ht="14.25" customHeight="1">
      <c r="A40" s="61" t="s">
        <v>163</v>
      </c>
      <c r="B40" s="60" t="s">
        <v>223</v>
      </c>
      <c r="C40" s="60" t="s">
        <v>74</v>
      </c>
      <c r="D40" s="60">
        <v>7</v>
      </c>
      <c r="E40" s="60" t="s">
        <v>585</v>
      </c>
      <c r="F40" s="60" t="s">
        <v>6</v>
      </c>
    </row>
    <row r="41" spans="1:6" ht="14.25" customHeight="1">
      <c r="A41" s="59" t="s">
        <v>163</v>
      </c>
      <c r="B41" s="52" t="s">
        <v>224</v>
      </c>
      <c r="C41" s="52" t="s">
        <v>74</v>
      </c>
      <c r="D41" s="52">
        <v>4</v>
      </c>
      <c r="E41" s="52" t="s">
        <v>585</v>
      </c>
      <c r="F41" s="52" t="s">
        <v>6</v>
      </c>
    </row>
    <row r="42" spans="1:6" ht="14.25" customHeight="1">
      <c r="A42" s="61" t="s">
        <v>160</v>
      </c>
      <c r="B42" s="60" t="s">
        <v>221</v>
      </c>
      <c r="C42" s="60" t="s">
        <v>74</v>
      </c>
      <c r="D42" s="60">
        <v>8</v>
      </c>
      <c r="E42" s="60" t="s">
        <v>624</v>
      </c>
      <c r="F42" s="60" t="s">
        <v>6</v>
      </c>
    </row>
    <row r="43" spans="1:6" ht="14.25" customHeight="1">
      <c r="A43" s="59" t="s">
        <v>160</v>
      </c>
      <c r="B43" s="52" t="s">
        <v>161</v>
      </c>
      <c r="C43" s="52" t="s">
        <v>118</v>
      </c>
      <c r="D43" s="52">
        <v>2</v>
      </c>
      <c r="E43" s="52" t="s">
        <v>624</v>
      </c>
      <c r="F43" s="52" t="s">
        <v>6</v>
      </c>
    </row>
    <row r="44" spans="1:6" ht="14.25" customHeight="1">
      <c r="A44" s="61" t="s">
        <v>160</v>
      </c>
      <c r="B44" s="60" t="s">
        <v>222</v>
      </c>
      <c r="C44" s="60" t="s">
        <v>74</v>
      </c>
      <c r="D44" s="60">
        <v>1</v>
      </c>
      <c r="E44" s="60" t="s">
        <v>625</v>
      </c>
      <c r="F44" s="60" t="s">
        <v>6</v>
      </c>
    </row>
    <row r="45" spans="1:6" ht="14.25" customHeight="1">
      <c r="A45" s="59" t="s">
        <v>166</v>
      </c>
      <c r="B45" s="52" t="s">
        <v>167</v>
      </c>
      <c r="C45" s="52" t="s">
        <v>118</v>
      </c>
      <c r="D45" s="52">
        <v>2</v>
      </c>
      <c r="E45" s="52" t="s">
        <v>626</v>
      </c>
      <c r="F45" s="52" t="s">
        <v>6</v>
      </c>
    </row>
    <row r="46" spans="1:6" ht="14.25" customHeight="1">
      <c r="A46" s="61" t="s">
        <v>166</v>
      </c>
      <c r="B46" s="60" t="s">
        <v>213</v>
      </c>
      <c r="C46" s="60" t="s">
        <v>74</v>
      </c>
      <c r="D46" s="60">
        <v>4</v>
      </c>
      <c r="E46" s="60" t="s">
        <v>626</v>
      </c>
      <c r="F46" s="60" t="s">
        <v>6</v>
      </c>
    </row>
    <row r="47" spans="1:6" ht="14.25" customHeight="1">
      <c r="A47" s="59" t="s">
        <v>166</v>
      </c>
      <c r="B47" s="59" t="s">
        <v>214</v>
      </c>
      <c r="C47" s="52" t="s">
        <v>74</v>
      </c>
      <c r="D47" s="52">
        <v>1</v>
      </c>
      <c r="E47" s="52" t="s">
        <v>626</v>
      </c>
      <c r="F47" s="52" t="s">
        <v>6</v>
      </c>
    </row>
    <row r="48" spans="1:6" ht="14.25" customHeight="1">
      <c r="A48" s="61" t="s">
        <v>216</v>
      </c>
      <c r="B48" s="60" t="s">
        <v>217</v>
      </c>
      <c r="C48" s="60" t="s">
        <v>74</v>
      </c>
      <c r="D48" s="60">
        <v>2</v>
      </c>
      <c r="E48" s="60" t="s">
        <v>627</v>
      </c>
      <c r="F48" s="60" t="s">
        <v>6</v>
      </c>
    </row>
    <row r="49" spans="1:6" ht="14.25" customHeight="1">
      <c r="A49" s="59" t="s">
        <v>216</v>
      </c>
      <c r="B49" s="59" t="s">
        <v>218</v>
      </c>
      <c r="C49" s="52" t="s">
        <v>74</v>
      </c>
      <c r="D49" s="52">
        <v>2</v>
      </c>
      <c r="E49" s="52" t="s">
        <v>627</v>
      </c>
      <c r="F49" s="52" t="s">
        <v>6</v>
      </c>
    </row>
    <row r="50" spans="1:6" ht="14.25" customHeight="1">
      <c r="A50" s="61" t="s">
        <v>211</v>
      </c>
      <c r="B50" s="60" t="s">
        <v>212</v>
      </c>
      <c r="C50" s="60" t="s">
        <v>74</v>
      </c>
      <c r="D50" s="60">
        <v>3</v>
      </c>
      <c r="E50" s="60" t="s">
        <v>628</v>
      </c>
      <c r="F50" s="60" t="s">
        <v>6</v>
      </c>
    </row>
    <row r="51" spans="1:6" ht="14.25" customHeight="1">
      <c r="A51" s="52" t="s">
        <v>127</v>
      </c>
      <c r="B51" s="52" t="s">
        <v>77</v>
      </c>
      <c r="C51" s="52" t="s">
        <v>78</v>
      </c>
      <c r="D51" s="52">
        <v>1</v>
      </c>
      <c r="E51" s="52" t="s">
        <v>629</v>
      </c>
      <c r="F51" s="52" t="s">
        <v>6</v>
      </c>
    </row>
    <row r="52" spans="1:6" ht="14.25" customHeight="1">
      <c r="A52" s="60" t="s">
        <v>127</v>
      </c>
      <c r="B52" s="60" t="s">
        <v>328</v>
      </c>
      <c r="C52" s="60" t="s">
        <v>74</v>
      </c>
      <c r="D52" s="60">
        <v>2</v>
      </c>
      <c r="E52" s="60" t="s">
        <v>629</v>
      </c>
      <c r="F52" s="60" t="s">
        <v>6</v>
      </c>
    </row>
    <row r="53" spans="1:6" ht="14.25" customHeight="1">
      <c r="A53" s="59" t="s">
        <v>156</v>
      </c>
      <c r="B53" s="52" t="s">
        <v>157</v>
      </c>
      <c r="C53" s="52" t="s">
        <v>74</v>
      </c>
      <c r="D53" s="52">
        <v>2</v>
      </c>
      <c r="E53" s="52" t="s">
        <v>630</v>
      </c>
      <c r="F53" s="52" t="s">
        <v>6</v>
      </c>
    </row>
    <row r="54" spans="1:6" ht="14.25" customHeight="1">
      <c r="A54" s="61" t="s">
        <v>156</v>
      </c>
      <c r="B54" s="60" t="s">
        <v>157</v>
      </c>
      <c r="C54" s="60" t="s">
        <v>118</v>
      </c>
      <c r="D54" s="60">
        <v>1</v>
      </c>
      <c r="E54" s="60" t="s">
        <v>630</v>
      </c>
      <c r="F54" s="60" t="s">
        <v>6</v>
      </c>
    </row>
    <row r="55" spans="1:6" ht="14.25" customHeight="1">
      <c r="A55" s="59" t="s">
        <v>232</v>
      </c>
      <c r="B55" s="52" t="s">
        <v>233</v>
      </c>
      <c r="C55" s="52" t="s">
        <v>74</v>
      </c>
      <c r="D55" s="52">
        <v>1</v>
      </c>
      <c r="E55" s="52" t="s">
        <v>631</v>
      </c>
      <c r="F55" s="52" t="s">
        <v>6</v>
      </c>
    </row>
    <row r="56" spans="1:6" ht="14.25" customHeight="1">
      <c r="A56" s="61" t="s">
        <v>232</v>
      </c>
      <c r="B56" s="60" t="s">
        <v>234</v>
      </c>
      <c r="C56" s="60" t="s">
        <v>74</v>
      </c>
      <c r="D56" s="60">
        <v>2</v>
      </c>
      <c r="E56" s="60" t="s">
        <v>631</v>
      </c>
      <c r="F56" s="60" t="s">
        <v>6</v>
      </c>
    </row>
    <row r="57" spans="1:6" ht="14.25" customHeight="1">
      <c r="A57" s="59" t="s">
        <v>180</v>
      </c>
      <c r="B57" s="52" t="s">
        <v>181</v>
      </c>
      <c r="C57" s="52" t="s">
        <v>74</v>
      </c>
      <c r="D57" s="52">
        <v>2</v>
      </c>
      <c r="E57" s="52" t="s">
        <v>632</v>
      </c>
      <c r="F57" s="52" t="s">
        <v>6</v>
      </c>
    </row>
    <row r="58" spans="1:6" ht="14.25" customHeight="1">
      <c r="A58" s="60" t="s">
        <v>326</v>
      </c>
      <c r="B58" s="60" t="s">
        <v>327</v>
      </c>
      <c r="C58" s="60" t="s">
        <v>74</v>
      </c>
      <c r="D58" s="60">
        <v>2</v>
      </c>
      <c r="E58" s="60" t="s">
        <v>633</v>
      </c>
      <c r="F58" s="60" t="s">
        <v>6</v>
      </c>
    </row>
    <row r="59" spans="1:6" ht="14.25" customHeight="1">
      <c r="A59" s="52" t="s">
        <v>324</v>
      </c>
      <c r="B59" s="52" t="s">
        <v>325</v>
      </c>
      <c r="C59" s="52" t="s">
        <v>74</v>
      </c>
      <c r="D59" s="52">
        <v>2</v>
      </c>
      <c r="E59" s="52" t="s">
        <v>634</v>
      </c>
      <c r="F59" s="52" t="s">
        <v>6</v>
      </c>
    </row>
    <row r="60" spans="1:6" ht="14.25" customHeight="1">
      <c r="A60" s="61" t="s">
        <v>334</v>
      </c>
      <c r="B60" s="60" t="s">
        <v>335</v>
      </c>
      <c r="C60" s="60" t="s">
        <v>74</v>
      </c>
      <c r="D60" s="60">
        <v>2</v>
      </c>
      <c r="E60" s="60" t="s">
        <v>635</v>
      </c>
      <c r="F60" s="60" t="s">
        <v>6</v>
      </c>
    </row>
    <row r="61" spans="1:6" ht="14.25" customHeight="1">
      <c r="A61" s="52" t="s">
        <v>329</v>
      </c>
      <c r="B61" s="52" t="s">
        <v>330</v>
      </c>
      <c r="C61" s="52" t="s">
        <v>74</v>
      </c>
      <c r="D61" s="52">
        <v>2</v>
      </c>
      <c r="E61" s="52" t="s">
        <v>636</v>
      </c>
      <c r="F61" s="52" t="s">
        <v>6</v>
      </c>
    </row>
    <row r="62" spans="1:6" ht="14.25" customHeight="1">
      <c r="A62" s="60" t="s">
        <v>124</v>
      </c>
      <c r="B62" s="60" t="s">
        <v>694</v>
      </c>
      <c r="C62" s="60" t="s">
        <v>118</v>
      </c>
      <c r="D62" s="60">
        <v>2</v>
      </c>
      <c r="E62" s="60" t="s">
        <v>637</v>
      </c>
      <c r="F62" s="60" t="s">
        <v>6</v>
      </c>
    </row>
    <row r="63" spans="1:6" ht="14.25" customHeight="1">
      <c r="A63" s="52" t="s">
        <v>331</v>
      </c>
      <c r="B63" s="52" t="s">
        <v>332</v>
      </c>
      <c r="C63" s="52" t="s">
        <v>74</v>
      </c>
      <c r="D63" s="52">
        <v>2</v>
      </c>
      <c r="E63" s="52" t="s">
        <v>638</v>
      </c>
      <c r="F63" s="52" t="s">
        <v>6</v>
      </c>
    </row>
    <row r="64" spans="1:6" ht="14.25" customHeight="1">
      <c r="A64" s="61" t="s">
        <v>187</v>
      </c>
      <c r="B64" s="60" t="s">
        <v>153</v>
      </c>
      <c r="C64" s="60" t="s">
        <v>154</v>
      </c>
      <c r="D64" s="60">
        <v>2</v>
      </c>
      <c r="E64" s="60" t="s">
        <v>639</v>
      </c>
      <c r="F64" s="60" t="s">
        <v>6</v>
      </c>
    </row>
    <row r="65" spans="1:6" ht="14.25" customHeight="1">
      <c r="A65" s="59" t="s">
        <v>246</v>
      </c>
      <c r="B65" s="52" t="s">
        <v>247</v>
      </c>
      <c r="C65" s="52" t="s">
        <v>74</v>
      </c>
      <c r="D65" s="52">
        <v>1</v>
      </c>
      <c r="E65" s="52" t="s">
        <v>588</v>
      </c>
      <c r="F65" s="52" t="s">
        <v>6</v>
      </c>
    </row>
    <row r="66" spans="1:6" ht="14.25" customHeight="1">
      <c r="A66" s="61" t="s">
        <v>184</v>
      </c>
      <c r="B66" s="60" t="s">
        <v>185</v>
      </c>
      <c r="C66" s="60" t="s">
        <v>74</v>
      </c>
      <c r="D66" s="60">
        <v>1</v>
      </c>
      <c r="E66" s="60" t="s">
        <v>640</v>
      </c>
      <c r="F66" s="60" t="s">
        <v>6</v>
      </c>
    </row>
    <row r="67" spans="1:6" ht="14.25" customHeight="1">
      <c r="A67" s="59" t="s">
        <v>248</v>
      </c>
      <c r="B67" s="52" t="s">
        <v>249</v>
      </c>
      <c r="C67" s="52" t="s">
        <v>74</v>
      </c>
      <c r="D67" s="52">
        <v>1</v>
      </c>
      <c r="E67" s="52" t="s">
        <v>594</v>
      </c>
      <c r="F67" s="52" t="s">
        <v>6</v>
      </c>
    </row>
    <row r="68" spans="1:6" ht="14.25" customHeight="1">
      <c r="A68" s="61" t="s">
        <v>168</v>
      </c>
      <c r="B68" s="60" t="s">
        <v>169</v>
      </c>
      <c r="C68" s="60" t="s">
        <v>74</v>
      </c>
      <c r="D68" s="60">
        <v>1</v>
      </c>
      <c r="E68" s="60" t="s">
        <v>595</v>
      </c>
      <c r="F68" s="60" t="s">
        <v>6</v>
      </c>
    </row>
    <row r="69" spans="1:6" ht="14.25" customHeight="1">
      <c r="A69" s="59" t="s">
        <v>251</v>
      </c>
      <c r="B69" s="52" t="s">
        <v>252</v>
      </c>
      <c r="C69" s="52" t="s">
        <v>74</v>
      </c>
      <c r="D69" s="52">
        <v>1</v>
      </c>
      <c r="E69" s="52" t="s">
        <v>641</v>
      </c>
      <c r="F69" s="52" t="s">
        <v>6</v>
      </c>
    </row>
    <row r="70" spans="1:6" ht="14.25" customHeight="1">
      <c r="A70" s="61" t="s">
        <v>235</v>
      </c>
      <c r="B70" s="60" t="s">
        <v>236</v>
      </c>
      <c r="C70" s="60" t="s">
        <v>74</v>
      </c>
      <c r="D70" s="60">
        <v>1</v>
      </c>
      <c r="E70" s="60" t="s">
        <v>642</v>
      </c>
      <c r="F70" s="60" t="s">
        <v>6</v>
      </c>
    </row>
    <row r="71" spans="1:6" ht="14.25" customHeight="1">
      <c r="A71" s="59" t="s">
        <v>237</v>
      </c>
      <c r="B71" s="52" t="s">
        <v>238</v>
      </c>
      <c r="C71" s="52" t="s">
        <v>74</v>
      </c>
      <c r="D71" s="52">
        <v>1</v>
      </c>
      <c r="E71" s="52" t="s">
        <v>643</v>
      </c>
      <c r="F71" s="52" t="s">
        <v>6</v>
      </c>
    </row>
    <row r="72" spans="1:6" ht="14.25" customHeight="1">
      <c r="A72" s="61" t="s">
        <v>239</v>
      </c>
      <c r="B72" s="60" t="s">
        <v>240</v>
      </c>
      <c r="C72" s="60" t="s">
        <v>74</v>
      </c>
      <c r="D72" s="60">
        <v>1</v>
      </c>
      <c r="E72" s="60" t="s">
        <v>580</v>
      </c>
      <c r="F72" s="60" t="s">
        <v>6</v>
      </c>
    </row>
    <row r="73" spans="1:6" ht="14.25" customHeight="1">
      <c r="A73" s="59" t="s">
        <v>241</v>
      </c>
      <c r="B73" s="52" t="s">
        <v>242</v>
      </c>
      <c r="C73" s="52" t="s">
        <v>74</v>
      </c>
      <c r="D73" s="52">
        <v>1</v>
      </c>
      <c r="E73" s="52" t="s">
        <v>580</v>
      </c>
      <c r="F73" s="52" t="s">
        <v>6</v>
      </c>
    </row>
    <row r="74" spans="1:6" ht="14.25" customHeight="1">
      <c r="A74" s="61" t="s">
        <v>243</v>
      </c>
      <c r="B74" s="60" t="s">
        <v>244</v>
      </c>
      <c r="C74" s="60" t="s">
        <v>74</v>
      </c>
      <c r="D74" s="60">
        <v>1</v>
      </c>
      <c r="E74" s="60" t="s">
        <v>580</v>
      </c>
      <c r="F74" s="60" t="s">
        <v>6</v>
      </c>
    </row>
    <row r="75" spans="1:6" ht="14.25" customHeight="1">
      <c r="A75" s="59" t="s">
        <v>253</v>
      </c>
      <c r="B75" s="52" t="s">
        <v>254</v>
      </c>
      <c r="C75" s="52" t="s">
        <v>74</v>
      </c>
      <c r="D75" s="52">
        <v>1</v>
      </c>
      <c r="E75" s="52" t="s">
        <v>580</v>
      </c>
      <c r="F75" s="52" t="s">
        <v>6</v>
      </c>
    </row>
    <row r="76" spans="1:6" ht="14.25" customHeight="1">
      <c r="A76" s="61" t="s">
        <v>182</v>
      </c>
      <c r="B76" s="60" t="s">
        <v>183</v>
      </c>
      <c r="C76" s="60" t="s">
        <v>74</v>
      </c>
      <c r="D76" s="60">
        <v>1</v>
      </c>
      <c r="E76" s="60" t="s">
        <v>580</v>
      </c>
      <c r="F76" s="60" t="s">
        <v>6</v>
      </c>
    </row>
    <row r="77" spans="1:6" ht="15" customHeight="1"/>
    <row r="78" spans="1:6" ht="15" customHeight="1"/>
    <row r="79" spans="1:6" ht="14.25" customHeight="1">
      <c r="A79" s="7" t="s">
        <v>731</v>
      </c>
    </row>
    <row r="80" spans="1:6" ht="14.25" customHeight="1">
      <c r="A80" t="s">
        <v>74</v>
      </c>
      <c r="B80">
        <v>130</v>
      </c>
    </row>
    <row r="81" spans="1:2" ht="14.25" customHeight="1">
      <c r="A81" t="s">
        <v>78</v>
      </c>
      <c r="B81">
        <v>25</v>
      </c>
    </row>
    <row r="82" spans="1:2" ht="14.25" customHeight="1">
      <c r="A82" t="s">
        <v>80</v>
      </c>
      <c r="B82">
        <v>13</v>
      </c>
    </row>
    <row r="83" spans="1:2" ht="14.25" customHeight="1">
      <c r="A83" t="s">
        <v>118</v>
      </c>
      <c r="B83">
        <v>11</v>
      </c>
    </row>
    <row r="84" spans="1:2" ht="14.25" customHeight="1">
      <c r="A84" t="s">
        <v>154</v>
      </c>
      <c r="B84">
        <v>4</v>
      </c>
    </row>
    <row r="85" spans="1:2" ht="14.25" customHeight="1">
      <c r="A85" t="s">
        <v>176</v>
      </c>
      <c r="B85">
        <v>2</v>
      </c>
    </row>
    <row r="86" spans="1:2" ht="14.25" customHeight="1">
      <c r="A86" t="s">
        <v>83</v>
      </c>
      <c r="B86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7"/>
  <sheetViews>
    <sheetView zoomScaleNormal="100" workbookViewId="0"/>
  </sheetViews>
  <sheetFormatPr defaultColWidth="8.85546875" defaultRowHeight="14.25" customHeight="1"/>
  <cols>
    <col min="1" max="1" width="50" customWidth="1"/>
    <col min="2" max="2" width="34" customWidth="1"/>
    <col min="3" max="3" width="27" customWidth="1"/>
    <col min="4" max="4" width="5" customWidth="1"/>
    <col min="5" max="5" width="16" customWidth="1"/>
    <col min="6" max="6" width="9" customWidth="1"/>
  </cols>
  <sheetData>
    <row r="1" spans="1:6" ht="18" customHeight="1">
      <c r="A1" s="90" t="s">
        <v>738</v>
      </c>
    </row>
    <row r="2" spans="1:6" ht="14.25" customHeight="1">
      <c r="A2" t="s">
        <v>739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59" t="s">
        <v>512</v>
      </c>
      <c r="B5" s="52" t="s">
        <v>77</v>
      </c>
      <c r="C5" s="52" t="s">
        <v>78</v>
      </c>
      <c r="D5" s="52">
        <v>44</v>
      </c>
      <c r="E5" s="52" t="s">
        <v>581</v>
      </c>
      <c r="F5" s="52" t="s">
        <v>6</v>
      </c>
    </row>
    <row r="6" spans="1:6" ht="14.25" customHeight="1">
      <c r="A6" s="61" t="s">
        <v>512</v>
      </c>
      <c r="B6" s="60" t="s">
        <v>513</v>
      </c>
      <c r="C6" s="60" t="s">
        <v>74</v>
      </c>
      <c r="D6" s="60">
        <v>3</v>
      </c>
      <c r="E6" s="60" t="s">
        <v>581</v>
      </c>
      <c r="F6" s="60" t="s">
        <v>6</v>
      </c>
    </row>
    <row r="7" spans="1:6" ht="14.25" customHeight="1">
      <c r="A7" s="59" t="s">
        <v>512</v>
      </c>
      <c r="B7" s="52" t="s">
        <v>513</v>
      </c>
      <c r="C7" s="52" t="s">
        <v>80</v>
      </c>
      <c r="D7" s="52">
        <v>2</v>
      </c>
      <c r="E7" s="52" t="s">
        <v>581</v>
      </c>
      <c r="F7" s="52" t="s">
        <v>6</v>
      </c>
    </row>
    <row r="8" spans="1:6" ht="14.25" customHeight="1">
      <c r="A8" s="61" t="s">
        <v>512</v>
      </c>
      <c r="B8" s="60" t="s">
        <v>514</v>
      </c>
      <c r="C8" s="60" t="s">
        <v>74</v>
      </c>
      <c r="D8" s="60">
        <v>3</v>
      </c>
      <c r="E8" s="60" t="s">
        <v>687</v>
      </c>
      <c r="F8" s="60" t="s">
        <v>6</v>
      </c>
    </row>
    <row r="9" spans="1:6" ht="14.25" customHeight="1">
      <c r="A9" s="59" t="s">
        <v>512</v>
      </c>
      <c r="B9" s="52" t="s">
        <v>514</v>
      </c>
      <c r="C9" s="52" t="s">
        <v>80</v>
      </c>
      <c r="D9" s="52">
        <v>3</v>
      </c>
      <c r="E9" s="52" t="s">
        <v>687</v>
      </c>
      <c r="F9" s="52" t="s">
        <v>6</v>
      </c>
    </row>
    <row r="10" spans="1:6" ht="14.25" customHeight="1">
      <c r="A10" s="61" t="s">
        <v>512</v>
      </c>
      <c r="B10" s="60" t="s">
        <v>515</v>
      </c>
      <c r="C10" s="60" t="s">
        <v>74</v>
      </c>
      <c r="D10" s="60">
        <v>3</v>
      </c>
      <c r="E10" s="60" t="s">
        <v>687</v>
      </c>
      <c r="F10" s="60" t="s">
        <v>6</v>
      </c>
    </row>
    <row r="11" spans="1:6" ht="14.25" customHeight="1">
      <c r="A11" s="59" t="s">
        <v>512</v>
      </c>
      <c r="B11" s="52" t="s">
        <v>515</v>
      </c>
      <c r="C11" s="52" t="s">
        <v>80</v>
      </c>
      <c r="D11" s="52">
        <v>3</v>
      </c>
      <c r="E11" s="52" t="s">
        <v>688</v>
      </c>
      <c r="F11" s="52" t="s">
        <v>6</v>
      </c>
    </row>
    <row r="12" spans="1:6" ht="14.25" customHeight="1">
      <c r="A12" s="61" t="s">
        <v>512</v>
      </c>
      <c r="B12" s="60" t="s">
        <v>516</v>
      </c>
      <c r="C12" s="60" t="s">
        <v>74</v>
      </c>
      <c r="D12" s="60">
        <v>3</v>
      </c>
      <c r="E12" s="60" t="s">
        <v>688</v>
      </c>
      <c r="F12" s="60" t="s">
        <v>6</v>
      </c>
    </row>
    <row r="13" spans="1:6" ht="14.25" customHeight="1">
      <c r="A13" s="59" t="s">
        <v>512</v>
      </c>
      <c r="B13" s="52" t="s">
        <v>516</v>
      </c>
      <c r="C13" s="52" t="s">
        <v>80</v>
      </c>
      <c r="D13" s="52">
        <v>3</v>
      </c>
      <c r="E13" s="52" t="s">
        <v>618</v>
      </c>
      <c r="F13" s="52" t="s">
        <v>6</v>
      </c>
    </row>
    <row r="14" spans="1:6" ht="14.25" customHeight="1">
      <c r="A14" s="61" t="s">
        <v>512</v>
      </c>
      <c r="B14" s="60" t="s">
        <v>517</v>
      </c>
      <c r="C14" s="60" t="s">
        <v>74</v>
      </c>
      <c r="D14" s="60">
        <v>3</v>
      </c>
      <c r="E14" s="60" t="s">
        <v>618</v>
      </c>
      <c r="F14" s="60" t="s">
        <v>6</v>
      </c>
    </row>
    <row r="15" spans="1:6" ht="14.25" customHeight="1">
      <c r="A15" s="59" t="s">
        <v>512</v>
      </c>
      <c r="B15" s="52" t="s">
        <v>517</v>
      </c>
      <c r="C15" s="52" t="s">
        <v>80</v>
      </c>
      <c r="D15" s="52">
        <v>3</v>
      </c>
      <c r="E15" s="52" t="s">
        <v>618</v>
      </c>
      <c r="F15" s="52" t="s">
        <v>6</v>
      </c>
    </row>
    <row r="16" spans="1:6" ht="14.25" customHeight="1">
      <c r="A16" s="61" t="s">
        <v>512</v>
      </c>
      <c r="B16" s="60" t="s">
        <v>518</v>
      </c>
      <c r="C16" s="60" t="s">
        <v>74</v>
      </c>
      <c r="D16" s="60">
        <v>3</v>
      </c>
      <c r="E16" s="60" t="s">
        <v>619</v>
      </c>
      <c r="F16" s="60" t="s">
        <v>6</v>
      </c>
    </row>
    <row r="17" spans="1:6" ht="14.25" customHeight="1">
      <c r="A17" s="59" t="s">
        <v>512</v>
      </c>
      <c r="B17" s="52" t="s">
        <v>518</v>
      </c>
      <c r="C17" s="52" t="s">
        <v>80</v>
      </c>
      <c r="D17" s="52">
        <v>3</v>
      </c>
      <c r="E17" s="52" t="s">
        <v>619</v>
      </c>
      <c r="F17" s="52" t="s">
        <v>6</v>
      </c>
    </row>
    <row r="18" spans="1:6" ht="14.25" customHeight="1">
      <c r="A18" s="61" t="s">
        <v>512</v>
      </c>
      <c r="B18" s="60" t="s">
        <v>519</v>
      </c>
      <c r="C18" s="60" t="s">
        <v>74</v>
      </c>
      <c r="D18" s="60">
        <v>3</v>
      </c>
      <c r="E18" s="60" t="s">
        <v>689</v>
      </c>
      <c r="F18" s="60" t="s">
        <v>6</v>
      </c>
    </row>
    <row r="19" spans="1:6" ht="14.25" customHeight="1">
      <c r="A19" s="59" t="s">
        <v>512</v>
      </c>
      <c r="B19" s="52" t="s">
        <v>519</v>
      </c>
      <c r="C19" s="52" t="s">
        <v>80</v>
      </c>
      <c r="D19" s="52">
        <v>3</v>
      </c>
      <c r="E19" s="52" t="s">
        <v>689</v>
      </c>
      <c r="F19" s="52" t="s">
        <v>6</v>
      </c>
    </row>
    <row r="20" spans="1:6" ht="14.25" customHeight="1">
      <c r="A20" s="61" t="s">
        <v>512</v>
      </c>
      <c r="B20" s="60" t="s">
        <v>520</v>
      </c>
      <c r="C20" s="60" t="s">
        <v>74</v>
      </c>
      <c r="D20" s="60">
        <v>3</v>
      </c>
      <c r="E20" s="60" t="s">
        <v>689</v>
      </c>
      <c r="F20" s="60" t="s">
        <v>6</v>
      </c>
    </row>
    <row r="21" spans="1:6" ht="14.25" customHeight="1">
      <c r="A21" s="59" t="s">
        <v>512</v>
      </c>
      <c r="B21" s="52" t="s">
        <v>520</v>
      </c>
      <c r="C21" s="52" t="s">
        <v>80</v>
      </c>
      <c r="D21" s="52">
        <v>3</v>
      </c>
      <c r="E21" s="52" t="s">
        <v>690</v>
      </c>
      <c r="F21" s="52" t="s">
        <v>6</v>
      </c>
    </row>
    <row r="22" spans="1:6" ht="14.25" customHeight="1">
      <c r="A22" s="61" t="s">
        <v>512</v>
      </c>
      <c r="B22" s="60" t="s">
        <v>521</v>
      </c>
      <c r="C22" s="60" t="s">
        <v>74</v>
      </c>
      <c r="D22" s="60">
        <v>3</v>
      </c>
      <c r="E22" s="60" t="s">
        <v>690</v>
      </c>
      <c r="F22" s="60" t="s">
        <v>6</v>
      </c>
    </row>
    <row r="23" spans="1:6" ht="14.25" customHeight="1">
      <c r="A23" s="59" t="s">
        <v>512</v>
      </c>
      <c r="B23" s="52" t="s">
        <v>521</v>
      </c>
      <c r="C23" s="52" t="s">
        <v>80</v>
      </c>
      <c r="D23" s="52">
        <v>3</v>
      </c>
      <c r="E23" s="52" t="s">
        <v>583</v>
      </c>
      <c r="F23" s="52" t="s">
        <v>6</v>
      </c>
    </row>
    <row r="24" spans="1:6" ht="14.25" customHeight="1">
      <c r="A24" s="61" t="s">
        <v>512</v>
      </c>
      <c r="B24" s="60" t="s">
        <v>522</v>
      </c>
      <c r="C24" s="60" t="s">
        <v>74</v>
      </c>
      <c r="D24" s="60">
        <v>3</v>
      </c>
      <c r="E24" s="60" t="s">
        <v>583</v>
      </c>
      <c r="F24" s="60" t="s">
        <v>6</v>
      </c>
    </row>
    <row r="25" spans="1:6" ht="14.25" customHeight="1">
      <c r="A25" s="59" t="s">
        <v>512</v>
      </c>
      <c r="B25" s="52" t="s">
        <v>522</v>
      </c>
      <c r="C25" s="52" t="s">
        <v>80</v>
      </c>
      <c r="D25" s="52">
        <v>3</v>
      </c>
      <c r="E25" s="52" t="s">
        <v>583</v>
      </c>
      <c r="F25" s="52" t="s">
        <v>6</v>
      </c>
    </row>
    <row r="26" spans="1:6" ht="14.25" customHeight="1">
      <c r="A26" s="61" t="s">
        <v>512</v>
      </c>
      <c r="B26" s="60" t="s">
        <v>523</v>
      </c>
      <c r="C26" s="60" t="s">
        <v>74</v>
      </c>
      <c r="D26" s="60">
        <v>1</v>
      </c>
      <c r="E26" s="60" t="s">
        <v>691</v>
      </c>
      <c r="F26" s="60" t="s">
        <v>6</v>
      </c>
    </row>
    <row r="27" spans="1:6" ht="14.25" customHeight="1">
      <c r="A27" s="59" t="s">
        <v>512</v>
      </c>
      <c r="B27" s="52" t="s">
        <v>523</v>
      </c>
      <c r="C27" s="52" t="s">
        <v>80</v>
      </c>
      <c r="D27" s="52">
        <v>1</v>
      </c>
      <c r="E27" s="52" t="s">
        <v>691</v>
      </c>
      <c r="F27" s="52" t="s">
        <v>6</v>
      </c>
    </row>
    <row r="28" spans="1:6" ht="14.25" customHeight="1">
      <c r="A28" s="61" t="s">
        <v>512</v>
      </c>
      <c r="B28" s="60" t="s">
        <v>524</v>
      </c>
      <c r="C28" s="60" t="s">
        <v>74</v>
      </c>
      <c r="D28" s="60">
        <v>1</v>
      </c>
      <c r="E28" s="60" t="s">
        <v>691</v>
      </c>
      <c r="F28" s="60" t="s">
        <v>6</v>
      </c>
    </row>
    <row r="29" spans="1:6" ht="14.25" customHeight="1">
      <c r="A29" s="59" t="s">
        <v>512</v>
      </c>
      <c r="B29" s="52" t="s">
        <v>524</v>
      </c>
      <c r="C29" s="52" t="s">
        <v>80</v>
      </c>
      <c r="D29" s="52">
        <v>1</v>
      </c>
      <c r="E29" s="52" t="s">
        <v>620</v>
      </c>
      <c r="F29" s="52" t="s">
        <v>6</v>
      </c>
    </row>
    <row r="30" spans="1:6" ht="14.25" customHeight="1">
      <c r="A30" s="61" t="s">
        <v>512</v>
      </c>
      <c r="B30" s="60" t="s">
        <v>524</v>
      </c>
      <c r="C30" s="60" t="s">
        <v>118</v>
      </c>
      <c r="D30" s="60">
        <v>1</v>
      </c>
      <c r="E30" s="60" t="s">
        <v>620</v>
      </c>
      <c r="F30" s="60" t="s">
        <v>6</v>
      </c>
    </row>
    <row r="31" spans="1:6" ht="14.25" customHeight="1">
      <c r="A31" s="59" t="s">
        <v>512</v>
      </c>
      <c r="B31" s="52" t="s">
        <v>525</v>
      </c>
      <c r="C31" s="52" t="s">
        <v>74</v>
      </c>
      <c r="D31" s="52">
        <v>3</v>
      </c>
      <c r="E31" s="52" t="s">
        <v>621</v>
      </c>
      <c r="F31" s="52" t="s">
        <v>6</v>
      </c>
    </row>
    <row r="32" spans="1:6" ht="14.25" customHeight="1">
      <c r="A32" s="61" t="s">
        <v>512</v>
      </c>
      <c r="B32" s="60" t="s">
        <v>525</v>
      </c>
      <c r="C32" s="60" t="s">
        <v>80</v>
      </c>
      <c r="D32" s="60">
        <v>1</v>
      </c>
      <c r="E32" s="60" t="s">
        <v>621</v>
      </c>
      <c r="F32" s="60" t="s">
        <v>6</v>
      </c>
    </row>
    <row r="33" spans="1:6" ht="14.25" customHeight="1">
      <c r="A33" s="59" t="s">
        <v>512</v>
      </c>
      <c r="B33" s="52" t="s">
        <v>525</v>
      </c>
      <c r="C33" s="52" t="s">
        <v>90</v>
      </c>
      <c r="D33" s="52">
        <v>1</v>
      </c>
      <c r="E33" s="52" t="s">
        <v>621</v>
      </c>
      <c r="F33" s="52" t="s">
        <v>6</v>
      </c>
    </row>
    <row r="34" spans="1:6" ht="14.25" customHeight="1">
      <c r="A34" s="61" t="s">
        <v>512</v>
      </c>
      <c r="B34" s="60" t="s">
        <v>525</v>
      </c>
      <c r="C34" s="60" t="s">
        <v>118</v>
      </c>
      <c r="D34" s="60">
        <v>1</v>
      </c>
      <c r="E34" s="60" t="s">
        <v>692</v>
      </c>
      <c r="F34" s="60" t="s">
        <v>6</v>
      </c>
    </row>
    <row r="35" spans="1:6" ht="14.25" customHeight="1">
      <c r="A35" s="59" t="s">
        <v>512</v>
      </c>
      <c r="B35" s="52" t="s">
        <v>526</v>
      </c>
      <c r="C35" s="52" t="s">
        <v>74</v>
      </c>
      <c r="D35" s="52">
        <v>1</v>
      </c>
      <c r="E35" s="52" t="s">
        <v>692</v>
      </c>
      <c r="F35" s="52" t="s">
        <v>6</v>
      </c>
    </row>
    <row r="36" spans="1:6" ht="14.25" customHeight="1">
      <c r="A36" s="61" t="s">
        <v>512</v>
      </c>
      <c r="B36" s="60" t="s">
        <v>526</v>
      </c>
      <c r="C36" s="60" t="s">
        <v>80</v>
      </c>
      <c r="D36" s="60">
        <v>1</v>
      </c>
      <c r="E36" s="60" t="s">
        <v>622</v>
      </c>
      <c r="F36" s="60" t="s">
        <v>6</v>
      </c>
    </row>
    <row r="37" spans="1:6" ht="14.25" customHeight="1">
      <c r="A37" s="59" t="s">
        <v>512</v>
      </c>
      <c r="B37" s="52" t="s">
        <v>526</v>
      </c>
      <c r="C37" s="52" t="s">
        <v>90</v>
      </c>
      <c r="D37" s="52">
        <v>1</v>
      </c>
      <c r="E37" s="52" t="s">
        <v>622</v>
      </c>
      <c r="F37" s="52" t="s">
        <v>6</v>
      </c>
    </row>
    <row r="38" spans="1:6" ht="14.25" customHeight="1">
      <c r="A38" s="61" t="s">
        <v>512</v>
      </c>
      <c r="B38" s="60" t="s">
        <v>526</v>
      </c>
      <c r="C38" s="60" t="s">
        <v>118</v>
      </c>
      <c r="D38" s="60">
        <v>1</v>
      </c>
      <c r="E38" s="60" t="s">
        <v>622</v>
      </c>
      <c r="F38" s="60" t="s">
        <v>6</v>
      </c>
    </row>
    <row r="39" spans="1:6" ht="14.25" customHeight="1">
      <c r="A39" s="59" t="s">
        <v>512</v>
      </c>
      <c r="B39" s="52" t="s">
        <v>527</v>
      </c>
      <c r="C39" s="52" t="s">
        <v>74</v>
      </c>
      <c r="D39" s="52">
        <v>1</v>
      </c>
      <c r="E39" s="52" t="s">
        <v>623</v>
      </c>
      <c r="F39" s="52" t="s">
        <v>6</v>
      </c>
    </row>
    <row r="40" spans="1:6" ht="14.25" customHeight="1">
      <c r="A40" s="61" t="s">
        <v>512</v>
      </c>
      <c r="B40" s="60" t="s">
        <v>527</v>
      </c>
      <c r="C40" s="60" t="s">
        <v>80</v>
      </c>
      <c r="D40" s="60">
        <v>1</v>
      </c>
      <c r="E40" s="60" t="s">
        <v>623</v>
      </c>
      <c r="F40" s="60" t="s">
        <v>6</v>
      </c>
    </row>
    <row r="41" spans="1:6" ht="14.25" customHeight="1">
      <c r="A41" s="59" t="s">
        <v>512</v>
      </c>
      <c r="B41" s="52" t="s">
        <v>527</v>
      </c>
      <c r="C41" s="52" t="s">
        <v>90</v>
      </c>
      <c r="D41" s="52">
        <v>1</v>
      </c>
      <c r="E41" s="52" t="s">
        <v>585</v>
      </c>
      <c r="F41" s="52" t="s">
        <v>6</v>
      </c>
    </row>
    <row r="42" spans="1:6" ht="14.25" customHeight="1">
      <c r="A42" s="61" t="s">
        <v>512</v>
      </c>
      <c r="B42" s="60" t="s">
        <v>528</v>
      </c>
      <c r="C42" s="60" t="s">
        <v>74</v>
      </c>
      <c r="D42" s="60">
        <v>1</v>
      </c>
      <c r="E42" s="60" t="s">
        <v>585</v>
      </c>
      <c r="F42" s="60" t="s">
        <v>6</v>
      </c>
    </row>
    <row r="43" spans="1:6" ht="14.25" customHeight="1">
      <c r="A43" s="59" t="s">
        <v>512</v>
      </c>
      <c r="B43" s="52" t="s">
        <v>528</v>
      </c>
      <c r="C43" s="52" t="s">
        <v>80</v>
      </c>
      <c r="D43" s="52">
        <v>1</v>
      </c>
      <c r="E43" s="52" t="s">
        <v>585</v>
      </c>
      <c r="F43" s="52" t="s">
        <v>6</v>
      </c>
    </row>
    <row r="44" spans="1:6" ht="14.25" customHeight="1">
      <c r="A44" s="61" t="s">
        <v>512</v>
      </c>
      <c r="B44" s="60" t="s">
        <v>529</v>
      </c>
      <c r="C44" s="60" t="s">
        <v>74</v>
      </c>
      <c r="D44" s="60">
        <v>1</v>
      </c>
      <c r="E44" s="60" t="s">
        <v>624</v>
      </c>
      <c r="F44" s="60" t="s">
        <v>6</v>
      </c>
    </row>
    <row r="45" spans="1:6" ht="14.25" customHeight="1">
      <c r="A45" s="59" t="s">
        <v>512</v>
      </c>
      <c r="B45" s="52" t="s">
        <v>529</v>
      </c>
      <c r="C45" s="52" t="s">
        <v>80</v>
      </c>
      <c r="D45" s="52">
        <v>1</v>
      </c>
      <c r="E45" s="52" t="s">
        <v>624</v>
      </c>
      <c r="F45" s="52" t="s">
        <v>6</v>
      </c>
    </row>
    <row r="46" spans="1:6" ht="14.25" customHeight="1">
      <c r="A46" s="61" t="s">
        <v>512</v>
      </c>
      <c r="B46" s="60" t="s">
        <v>529</v>
      </c>
      <c r="C46" s="60" t="s">
        <v>90</v>
      </c>
      <c r="D46" s="60">
        <v>1</v>
      </c>
      <c r="E46" s="60" t="s">
        <v>625</v>
      </c>
      <c r="F46" s="60" t="s">
        <v>6</v>
      </c>
    </row>
    <row r="47" spans="1:6" ht="14.25" customHeight="1">
      <c r="A47" s="59" t="s">
        <v>512</v>
      </c>
      <c r="B47" s="52" t="s">
        <v>530</v>
      </c>
      <c r="C47" s="52" t="s">
        <v>74</v>
      </c>
      <c r="D47" s="52">
        <v>4</v>
      </c>
      <c r="E47" s="52" t="s">
        <v>625</v>
      </c>
      <c r="F47" s="52" t="s">
        <v>6</v>
      </c>
    </row>
    <row r="48" spans="1:6" ht="14.25" customHeight="1">
      <c r="A48" s="61" t="s">
        <v>512</v>
      </c>
      <c r="B48" s="60" t="s">
        <v>530</v>
      </c>
      <c r="C48" s="60" t="s">
        <v>80</v>
      </c>
      <c r="D48" s="60">
        <v>3</v>
      </c>
      <c r="E48" s="60" t="s">
        <v>625</v>
      </c>
      <c r="F48" s="60" t="s">
        <v>6</v>
      </c>
    </row>
    <row r="49" spans="1:6" ht="14.25" customHeight="1">
      <c r="A49" s="59" t="s">
        <v>512</v>
      </c>
      <c r="B49" s="52" t="s">
        <v>530</v>
      </c>
      <c r="C49" s="52" t="s">
        <v>90</v>
      </c>
      <c r="D49" s="52">
        <v>2</v>
      </c>
      <c r="E49" s="52" t="s">
        <v>626</v>
      </c>
      <c r="F49" s="52" t="s">
        <v>6</v>
      </c>
    </row>
    <row r="50" spans="1:6" ht="14.25" customHeight="1">
      <c r="A50" s="61" t="s">
        <v>512</v>
      </c>
      <c r="B50" s="60" t="s">
        <v>531</v>
      </c>
      <c r="C50" s="60" t="s">
        <v>74</v>
      </c>
      <c r="D50" s="60">
        <v>3</v>
      </c>
      <c r="E50" s="60" t="s">
        <v>626</v>
      </c>
      <c r="F50" s="60" t="s">
        <v>6</v>
      </c>
    </row>
    <row r="51" spans="1:6" ht="14.25" customHeight="1">
      <c r="A51" s="59" t="s">
        <v>512</v>
      </c>
      <c r="B51" s="52" t="s">
        <v>531</v>
      </c>
      <c r="C51" s="52" t="s">
        <v>80</v>
      </c>
      <c r="D51" s="52">
        <v>1</v>
      </c>
      <c r="E51" s="52" t="s">
        <v>626</v>
      </c>
      <c r="F51" s="52" t="s">
        <v>6</v>
      </c>
    </row>
    <row r="52" spans="1:6" ht="14.25" customHeight="1">
      <c r="A52" s="61" t="s">
        <v>512</v>
      </c>
      <c r="B52" s="60" t="s">
        <v>531</v>
      </c>
      <c r="C52" s="60" t="s">
        <v>90</v>
      </c>
      <c r="D52" s="60">
        <v>1</v>
      </c>
      <c r="E52" s="60" t="s">
        <v>627</v>
      </c>
      <c r="F52" s="60" t="s">
        <v>6</v>
      </c>
    </row>
    <row r="53" spans="1:6" ht="14.25" customHeight="1">
      <c r="A53" s="59" t="s">
        <v>512</v>
      </c>
      <c r="B53" s="52" t="s">
        <v>531</v>
      </c>
      <c r="C53" s="52" t="s">
        <v>118</v>
      </c>
      <c r="D53" s="52">
        <v>1</v>
      </c>
      <c r="E53" s="52" t="s">
        <v>627</v>
      </c>
      <c r="F53" s="52" t="s">
        <v>6</v>
      </c>
    </row>
    <row r="54" spans="1:6" ht="14.25" customHeight="1">
      <c r="A54" s="61" t="s">
        <v>512</v>
      </c>
      <c r="B54" s="60" t="s">
        <v>532</v>
      </c>
      <c r="C54" s="60" t="s">
        <v>74</v>
      </c>
      <c r="D54" s="60">
        <v>3</v>
      </c>
      <c r="E54" s="60" t="s">
        <v>628</v>
      </c>
      <c r="F54" s="60" t="s">
        <v>6</v>
      </c>
    </row>
    <row r="55" spans="1:6" ht="14.25" customHeight="1">
      <c r="A55" s="59" t="s">
        <v>512</v>
      </c>
      <c r="B55" s="52" t="s">
        <v>532</v>
      </c>
      <c r="C55" s="52" t="s">
        <v>80</v>
      </c>
      <c r="D55" s="52">
        <v>2</v>
      </c>
      <c r="E55" s="52" t="s">
        <v>628</v>
      </c>
      <c r="F55" s="52" t="s">
        <v>6</v>
      </c>
    </row>
    <row r="56" spans="1:6" ht="14.25" customHeight="1">
      <c r="A56" s="61" t="s">
        <v>512</v>
      </c>
      <c r="B56" s="60" t="s">
        <v>532</v>
      </c>
      <c r="C56" s="60" t="s">
        <v>90</v>
      </c>
      <c r="D56" s="60">
        <v>1</v>
      </c>
      <c r="E56" s="60" t="s">
        <v>628</v>
      </c>
      <c r="F56" s="60" t="s">
        <v>6</v>
      </c>
    </row>
    <row r="57" spans="1:6" ht="14.25" customHeight="1">
      <c r="A57" s="59" t="s">
        <v>512</v>
      </c>
      <c r="B57" s="52" t="s">
        <v>533</v>
      </c>
      <c r="C57" s="52" t="s">
        <v>74</v>
      </c>
      <c r="D57" s="52">
        <v>2</v>
      </c>
      <c r="E57" s="52" t="s">
        <v>629</v>
      </c>
      <c r="F57" s="52" t="s">
        <v>6</v>
      </c>
    </row>
    <row r="58" spans="1:6" ht="14.25" customHeight="1">
      <c r="A58" s="61" t="s">
        <v>512</v>
      </c>
      <c r="B58" s="60" t="s">
        <v>533</v>
      </c>
      <c r="C58" s="60" t="s">
        <v>80</v>
      </c>
      <c r="D58" s="60">
        <v>1</v>
      </c>
      <c r="E58" s="60" t="s">
        <v>629</v>
      </c>
      <c r="F58" s="60" t="s">
        <v>6</v>
      </c>
    </row>
    <row r="59" spans="1:6" ht="14.25" customHeight="1">
      <c r="A59" s="59" t="s">
        <v>512</v>
      </c>
      <c r="B59" s="52" t="s">
        <v>533</v>
      </c>
      <c r="C59" s="52" t="s">
        <v>90</v>
      </c>
      <c r="D59" s="52">
        <v>1</v>
      </c>
      <c r="E59" s="52" t="s">
        <v>630</v>
      </c>
      <c r="F59" s="52" t="s">
        <v>6</v>
      </c>
    </row>
    <row r="60" spans="1:6" ht="14.25" customHeight="1">
      <c r="A60" s="61" t="s">
        <v>512</v>
      </c>
      <c r="B60" s="60" t="s">
        <v>534</v>
      </c>
      <c r="C60" s="60" t="s">
        <v>74</v>
      </c>
      <c r="D60" s="60">
        <v>1</v>
      </c>
      <c r="E60" s="60" t="s">
        <v>630</v>
      </c>
      <c r="F60" s="60" t="s">
        <v>6</v>
      </c>
    </row>
    <row r="61" spans="1:6" ht="14.25" customHeight="1">
      <c r="A61" s="59" t="s">
        <v>512</v>
      </c>
      <c r="B61" s="52" t="s">
        <v>534</v>
      </c>
      <c r="C61" s="52" t="s">
        <v>80</v>
      </c>
      <c r="D61" s="52">
        <v>1</v>
      </c>
      <c r="E61" s="52" t="s">
        <v>630</v>
      </c>
      <c r="F61" s="52" t="s">
        <v>6</v>
      </c>
    </row>
    <row r="62" spans="1:6" ht="14.25" customHeight="1">
      <c r="A62" s="61" t="s">
        <v>512</v>
      </c>
      <c r="B62" s="60" t="s">
        <v>534</v>
      </c>
      <c r="C62" s="60" t="s">
        <v>118</v>
      </c>
      <c r="D62" s="60">
        <v>1</v>
      </c>
      <c r="E62" s="60" t="s">
        <v>631</v>
      </c>
      <c r="F62" s="60" t="s">
        <v>6</v>
      </c>
    </row>
    <row r="63" spans="1:6" ht="14.25" customHeight="1">
      <c r="A63" s="59" t="s">
        <v>512</v>
      </c>
      <c r="B63" s="52" t="s">
        <v>535</v>
      </c>
      <c r="C63" s="52" t="s">
        <v>74</v>
      </c>
      <c r="D63" s="52">
        <v>1</v>
      </c>
      <c r="E63" s="52" t="s">
        <v>631</v>
      </c>
      <c r="F63" s="52" t="s">
        <v>6</v>
      </c>
    </row>
    <row r="64" spans="1:6" ht="14.25" customHeight="1">
      <c r="A64" s="61" t="s">
        <v>512</v>
      </c>
      <c r="B64" s="60" t="s">
        <v>535</v>
      </c>
      <c r="C64" s="60" t="s">
        <v>80</v>
      </c>
      <c r="D64" s="60">
        <v>1</v>
      </c>
      <c r="E64" s="60" t="s">
        <v>632</v>
      </c>
      <c r="F64" s="60" t="s">
        <v>6</v>
      </c>
    </row>
    <row r="65" spans="1:6" ht="14.25" customHeight="1">
      <c r="A65" s="59" t="s">
        <v>512</v>
      </c>
      <c r="B65" s="52" t="s">
        <v>536</v>
      </c>
      <c r="C65" s="52" t="s">
        <v>74</v>
      </c>
      <c r="D65" s="52">
        <v>1</v>
      </c>
      <c r="E65" s="52" t="s">
        <v>632</v>
      </c>
      <c r="F65" s="52" t="s">
        <v>6</v>
      </c>
    </row>
    <row r="66" spans="1:6" ht="14.25" customHeight="1">
      <c r="A66" s="61" t="s">
        <v>512</v>
      </c>
      <c r="B66" s="60" t="s">
        <v>536</v>
      </c>
      <c r="C66" s="60" t="s">
        <v>80</v>
      </c>
      <c r="D66" s="60">
        <v>1</v>
      </c>
      <c r="E66" s="60" t="s">
        <v>632</v>
      </c>
      <c r="F66" s="60" t="s">
        <v>6</v>
      </c>
    </row>
    <row r="67" spans="1:6" ht="14.25" customHeight="1">
      <c r="A67" s="59" t="s">
        <v>512</v>
      </c>
      <c r="B67" s="52" t="s">
        <v>537</v>
      </c>
      <c r="C67" s="52" t="s">
        <v>74</v>
      </c>
      <c r="D67" s="52">
        <v>1</v>
      </c>
      <c r="E67" s="52" t="s">
        <v>633</v>
      </c>
      <c r="F67" s="52" t="s">
        <v>6</v>
      </c>
    </row>
    <row r="68" spans="1:6" ht="14.25" customHeight="1">
      <c r="A68" s="61" t="s">
        <v>512</v>
      </c>
      <c r="B68" s="60" t="s">
        <v>537</v>
      </c>
      <c r="C68" s="60" t="s">
        <v>80</v>
      </c>
      <c r="D68" s="60">
        <v>1</v>
      </c>
      <c r="E68" s="60" t="s">
        <v>633</v>
      </c>
      <c r="F68" s="60" t="s">
        <v>6</v>
      </c>
    </row>
    <row r="69" spans="1:6" ht="14.25" customHeight="1">
      <c r="A69" s="59" t="s">
        <v>512</v>
      </c>
      <c r="B69" s="52" t="s">
        <v>538</v>
      </c>
      <c r="C69" s="52" t="s">
        <v>74</v>
      </c>
      <c r="D69" s="52">
        <v>1</v>
      </c>
      <c r="E69" s="52" t="s">
        <v>634</v>
      </c>
      <c r="F69" s="52" t="s">
        <v>6</v>
      </c>
    </row>
    <row r="70" spans="1:6" ht="14.25" customHeight="1">
      <c r="A70" s="61" t="s">
        <v>512</v>
      </c>
      <c r="B70" s="60" t="s">
        <v>538</v>
      </c>
      <c r="C70" s="60" t="s">
        <v>80</v>
      </c>
      <c r="D70" s="60">
        <v>1</v>
      </c>
      <c r="E70" s="60" t="s">
        <v>634</v>
      </c>
      <c r="F70" s="60" t="s">
        <v>6</v>
      </c>
    </row>
    <row r="71" spans="1:6" ht="14.25" customHeight="1">
      <c r="A71" s="59" t="s">
        <v>512</v>
      </c>
      <c r="B71" s="52" t="s">
        <v>539</v>
      </c>
      <c r="C71" s="52" t="s">
        <v>74</v>
      </c>
      <c r="D71" s="52">
        <v>1</v>
      </c>
      <c r="E71" s="52" t="s">
        <v>634</v>
      </c>
      <c r="F71" s="52" t="s">
        <v>6</v>
      </c>
    </row>
    <row r="72" spans="1:6" ht="14.25" customHeight="1">
      <c r="A72" s="61" t="s">
        <v>512</v>
      </c>
      <c r="B72" s="60" t="s">
        <v>539</v>
      </c>
      <c r="C72" s="60" t="s">
        <v>80</v>
      </c>
      <c r="D72" s="60">
        <v>1</v>
      </c>
      <c r="E72" s="60" t="s">
        <v>635</v>
      </c>
      <c r="F72" s="60" t="s">
        <v>6</v>
      </c>
    </row>
    <row r="73" spans="1:6" ht="14.25" customHeight="1">
      <c r="A73" s="59" t="s">
        <v>512</v>
      </c>
      <c r="B73" s="52" t="s">
        <v>540</v>
      </c>
      <c r="C73" s="52" t="s">
        <v>74</v>
      </c>
      <c r="D73" s="52">
        <v>1</v>
      </c>
      <c r="E73" s="52" t="s">
        <v>635</v>
      </c>
      <c r="F73" s="52" t="s">
        <v>6</v>
      </c>
    </row>
    <row r="74" spans="1:6" ht="14.25" customHeight="1">
      <c r="A74" s="61" t="s">
        <v>512</v>
      </c>
      <c r="B74" s="60" t="s">
        <v>540</v>
      </c>
      <c r="C74" s="60" t="s">
        <v>80</v>
      </c>
      <c r="D74" s="60">
        <v>1</v>
      </c>
      <c r="E74" s="60" t="s">
        <v>635</v>
      </c>
      <c r="F74" s="60" t="s">
        <v>6</v>
      </c>
    </row>
    <row r="75" spans="1:6" ht="14.25" customHeight="1">
      <c r="A75" s="59" t="s">
        <v>512</v>
      </c>
      <c r="B75" s="52" t="s">
        <v>541</v>
      </c>
      <c r="C75" s="52" t="s">
        <v>74</v>
      </c>
      <c r="D75" s="52">
        <v>1</v>
      </c>
      <c r="E75" s="52" t="s">
        <v>636</v>
      </c>
      <c r="F75" s="52" t="s">
        <v>6</v>
      </c>
    </row>
    <row r="76" spans="1:6" ht="14.25" customHeight="1">
      <c r="A76" s="61" t="s">
        <v>512</v>
      </c>
      <c r="B76" s="60" t="s">
        <v>541</v>
      </c>
      <c r="C76" s="60" t="s">
        <v>80</v>
      </c>
      <c r="D76" s="60">
        <v>2</v>
      </c>
      <c r="E76" s="60" t="s">
        <v>636</v>
      </c>
      <c r="F76" s="60" t="s">
        <v>6</v>
      </c>
    </row>
    <row r="77" spans="1:6" ht="14.25" customHeight="1">
      <c r="A77" s="59" t="s">
        <v>512</v>
      </c>
      <c r="B77" s="52" t="s">
        <v>542</v>
      </c>
      <c r="C77" s="52" t="s">
        <v>74</v>
      </c>
      <c r="D77" s="52">
        <v>1</v>
      </c>
      <c r="E77" s="52" t="s">
        <v>637</v>
      </c>
      <c r="F77" s="52" t="s">
        <v>6</v>
      </c>
    </row>
    <row r="78" spans="1:6" ht="14.25" customHeight="1">
      <c r="A78" s="61" t="s">
        <v>512</v>
      </c>
      <c r="B78" s="60" t="s">
        <v>542</v>
      </c>
      <c r="C78" s="60" t="s">
        <v>80</v>
      </c>
      <c r="D78" s="60">
        <v>1</v>
      </c>
      <c r="E78" s="60" t="s">
        <v>637</v>
      </c>
      <c r="F78" s="60" t="s">
        <v>6</v>
      </c>
    </row>
    <row r="79" spans="1:6" ht="14.25" customHeight="1">
      <c r="A79" s="59" t="s">
        <v>512</v>
      </c>
      <c r="B79" s="52" t="s">
        <v>543</v>
      </c>
      <c r="C79" s="52" t="s">
        <v>74</v>
      </c>
      <c r="D79" s="52">
        <v>1</v>
      </c>
      <c r="E79" s="52" t="s">
        <v>637</v>
      </c>
      <c r="F79" s="52" t="s">
        <v>6</v>
      </c>
    </row>
    <row r="80" spans="1:6" ht="14.25" customHeight="1">
      <c r="A80" s="61" t="s">
        <v>512</v>
      </c>
      <c r="B80" s="60" t="s">
        <v>543</v>
      </c>
      <c r="C80" s="60" t="s">
        <v>80</v>
      </c>
      <c r="D80" s="60">
        <v>1</v>
      </c>
      <c r="E80" s="60" t="s">
        <v>638</v>
      </c>
      <c r="F80" s="60" t="s">
        <v>6</v>
      </c>
    </row>
    <row r="81" spans="1:6" ht="14.25" customHeight="1">
      <c r="A81" s="59" t="s">
        <v>512</v>
      </c>
      <c r="B81" s="52" t="s">
        <v>544</v>
      </c>
      <c r="C81" s="52" t="s">
        <v>74</v>
      </c>
      <c r="D81" s="52">
        <v>1</v>
      </c>
      <c r="E81" s="52" t="s">
        <v>638</v>
      </c>
      <c r="F81" s="52" t="s">
        <v>6</v>
      </c>
    </row>
    <row r="82" spans="1:6" ht="14.25" customHeight="1">
      <c r="A82" s="61" t="s">
        <v>512</v>
      </c>
      <c r="B82" s="60" t="s">
        <v>544</v>
      </c>
      <c r="C82" s="60" t="s">
        <v>80</v>
      </c>
      <c r="D82" s="60">
        <v>1</v>
      </c>
      <c r="E82" s="60" t="s">
        <v>639</v>
      </c>
      <c r="F82" s="60" t="s">
        <v>6</v>
      </c>
    </row>
    <row r="83" spans="1:6" ht="14.25" customHeight="1">
      <c r="A83" s="59" t="s">
        <v>512</v>
      </c>
      <c r="B83" s="52" t="s">
        <v>545</v>
      </c>
      <c r="C83" s="52" t="s">
        <v>74</v>
      </c>
      <c r="D83" s="52">
        <v>1</v>
      </c>
      <c r="E83" s="52" t="s">
        <v>639</v>
      </c>
      <c r="F83" s="52" t="s">
        <v>6</v>
      </c>
    </row>
    <row r="84" spans="1:6" ht="14.25" customHeight="1">
      <c r="A84" s="61" t="s">
        <v>512</v>
      </c>
      <c r="B84" s="60" t="s">
        <v>545</v>
      </c>
      <c r="C84" s="60" t="s">
        <v>80</v>
      </c>
      <c r="D84" s="60">
        <v>1</v>
      </c>
      <c r="E84" s="60" t="s">
        <v>639</v>
      </c>
      <c r="F84" s="60" t="s">
        <v>6</v>
      </c>
    </row>
    <row r="85" spans="1:6" ht="14.25" customHeight="1">
      <c r="A85" s="59" t="s">
        <v>512</v>
      </c>
      <c r="B85" s="52" t="s">
        <v>546</v>
      </c>
      <c r="C85" s="52" t="s">
        <v>74</v>
      </c>
      <c r="D85" s="52">
        <v>1</v>
      </c>
      <c r="E85" s="52" t="s">
        <v>588</v>
      </c>
      <c r="F85" s="52" t="s">
        <v>6</v>
      </c>
    </row>
    <row r="86" spans="1:6" ht="14.25" customHeight="1">
      <c r="A86" s="61" t="s">
        <v>512</v>
      </c>
      <c r="B86" s="60" t="s">
        <v>546</v>
      </c>
      <c r="C86" s="60" t="s">
        <v>80</v>
      </c>
      <c r="D86" s="60">
        <v>1</v>
      </c>
      <c r="E86" s="60" t="s">
        <v>588</v>
      </c>
      <c r="F86" s="60" t="s">
        <v>6</v>
      </c>
    </row>
    <row r="87" spans="1:6" ht="14.25" customHeight="1">
      <c r="A87" s="59" t="s">
        <v>512</v>
      </c>
      <c r="B87" s="52" t="s">
        <v>547</v>
      </c>
      <c r="C87" s="52" t="s">
        <v>74</v>
      </c>
      <c r="D87" s="52">
        <v>1</v>
      </c>
      <c r="E87" s="52" t="s">
        <v>640</v>
      </c>
      <c r="F87" s="52" t="s">
        <v>6</v>
      </c>
    </row>
    <row r="88" spans="1:6" ht="14.25" customHeight="1">
      <c r="A88" s="61" t="s">
        <v>512</v>
      </c>
      <c r="B88" s="60" t="s">
        <v>547</v>
      </c>
      <c r="C88" s="60" t="s">
        <v>80</v>
      </c>
      <c r="D88" s="60">
        <v>1</v>
      </c>
      <c r="E88" s="60" t="s">
        <v>640</v>
      </c>
      <c r="F88" s="60" t="s">
        <v>6</v>
      </c>
    </row>
    <row r="89" spans="1:6" ht="14.25" customHeight="1">
      <c r="A89" s="59" t="s">
        <v>512</v>
      </c>
      <c r="B89" s="52" t="s">
        <v>548</v>
      </c>
      <c r="C89" s="52" t="s">
        <v>74</v>
      </c>
      <c r="D89" s="52">
        <v>1</v>
      </c>
      <c r="E89" s="52" t="s">
        <v>640</v>
      </c>
      <c r="F89" s="52" t="s">
        <v>6</v>
      </c>
    </row>
    <row r="90" spans="1:6" ht="14.25" customHeight="1">
      <c r="A90" s="61" t="s">
        <v>512</v>
      </c>
      <c r="B90" s="60" t="s">
        <v>548</v>
      </c>
      <c r="C90" s="60" t="s">
        <v>80</v>
      </c>
      <c r="D90" s="60">
        <v>1</v>
      </c>
      <c r="E90" s="60" t="s">
        <v>594</v>
      </c>
      <c r="F90" s="60" t="s">
        <v>6</v>
      </c>
    </row>
    <row r="91" spans="1:6" ht="14.25" customHeight="1">
      <c r="A91" s="59" t="s">
        <v>512</v>
      </c>
      <c r="B91" s="52" t="s">
        <v>549</v>
      </c>
      <c r="C91" s="52" t="s">
        <v>74</v>
      </c>
      <c r="D91" s="52">
        <v>1</v>
      </c>
      <c r="E91" s="52" t="s">
        <v>594</v>
      </c>
      <c r="F91" s="52" t="s">
        <v>6</v>
      </c>
    </row>
    <row r="92" spans="1:6" ht="14.25" customHeight="1">
      <c r="A92" s="61" t="s">
        <v>512</v>
      </c>
      <c r="B92" s="60" t="s">
        <v>549</v>
      </c>
      <c r="C92" s="60" t="s">
        <v>80</v>
      </c>
      <c r="D92" s="60">
        <v>1</v>
      </c>
      <c r="E92" s="60" t="s">
        <v>594</v>
      </c>
      <c r="F92" s="60" t="s">
        <v>6</v>
      </c>
    </row>
    <row r="93" spans="1:6" ht="14.25" customHeight="1">
      <c r="A93" s="59" t="s">
        <v>512</v>
      </c>
      <c r="B93" s="52" t="s">
        <v>550</v>
      </c>
      <c r="C93" s="52" t="s">
        <v>74</v>
      </c>
      <c r="D93" s="52">
        <v>1</v>
      </c>
      <c r="E93" s="52" t="s">
        <v>595</v>
      </c>
      <c r="F93" s="52" t="s">
        <v>6</v>
      </c>
    </row>
    <row r="94" spans="1:6" ht="14.25" customHeight="1">
      <c r="A94" s="61" t="s">
        <v>512</v>
      </c>
      <c r="B94" s="60" t="s">
        <v>551</v>
      </c>
      <c r="C94" s="60" t="s">
        <v>74</v>
      </c>
      <c r="D94" s="60">
        <v>2</v>
      </c>
      <c r="E94" s="60" t="s">
        <v>595</v>
      </c>
      <c r="F94" s="60" t="s">
        <v>6</v>
      </c>
    </row>
    <row r="95" spans="1:6" ht="14.25" customHeight="1">
      <c r="A95" s="59" t="s">
        <v>512</v>
      </c>
      <c r="B95" s="52" t="s">
        <v>551</v>
      </c>
      <c r="C95" s="52" t="s">
        <v>80</v>
      </c>
      <c r="D95" s="52">
        <v>1</v>
      </c>
      <c r="E95" s="52" t="s">
        <v>641</v>
      </c>
      <c r="F95" s="52" t="s">
        <v>6</v>
      </c>
    </row>
    <row r="96" spans="1:6" ht="14.25" customHeight="1">
      <c r="A96" s="61" t="s">
        <v>512</v>
      </c>
      <c r="B96" s="60" t="s">
        <v>552</v>
      </c>
      <c r="C96" s="60" t="s">
        <v>74</v>
      </c>
      <c r="D96" s="60">
        <v>2</v>
      </c>
      <c r="E96" s="60" t="s">
        <v>641</v>
      </c>
      <c r="F96" s="60" t="s">
        <v>6</v>
      </c>
    </row>
    <row r="97" spans="1:6" ht="14.25" customHeight="1">
      <c r="A97" s="59" t="s">
        <v>512</v>
      </c>
      <c r="B97" s="52" t="s">
        <v>552</v>
      </c>
      <c r="C97" s="52" t="s">
        <v>80</v>
      </c>
      <c r="D97" s="52">
        <v>1</v>
      </c>
      <c r="E97" s="52" t="s">
        <v>641</v>
      </c>
      <c r="F97" s="52" t="s">
        <v>6</v>
      </c>
    </row>
    <row r="98" spans="1:6" ht="14.25" customHeight="1">
      <c r="A98" s="61" t="s">
        <v>512</v>
      </c>
      <c r="B98" s="60" t="s">
        <v>553</v>
      </c>
      <c r="C98" s="60" t="s">
        <v>74</v>
      </c>
      <c r="D98" s="60">
        <v>2</v>
      </c>
      <c r="E98" s="60" t="s">
        <v>642</v>
      </c>
      <c r="F98" s="60" t="s">
        <v>6</v>
      </c>
    </row>
    <row r="99" spans="1:6" ht="14.25" customHeight="1">
      <c r="A99" s="59" t="s">
        <v>512</v>
      </c>
      <c r="B99" s="52" t="s">
        <v>553</v>
      </c>
      <c r="C99" s="52" t="s">
        <v>80</v>
      </c>
      <c r="D99" s="52">
        <v>1</v>
      </c>
      <c r="E99" s="52" t="s">
        <v>642</v>
      </c>
      <c r="F99" s="52" t="s">
        <v>6</v>
      </c>
    </row>
    <row r="100" spans="1:6" ht="14.25" customHeight="1">
      <c r="A100" s="61" t="s">
        <v>512</v>
      </c>
      <c r="B100" s="60" t="s">
        <v>554</v>
      </c>
      <c r="C100" s="60" t="s">
        <v>74</v>
      </c>
      <c r="D100" s="60">
        <v>2</v>
      </c>
      <c r="E100" s="60" t="s">
        <v>643</v>
      </c>
      <c r="F100" s="60" t="s">
        <v>6</v>
      </c>
    </row>
    <row r="101" spans="1:6" ht="14.25" customHeight="1">
      <c r="A101" s="59" t="s">
        <v>512</v>
      </c>
      <c r="B101" s="52" t="s">
        <v>554</v>
      </c>
      <c r="C101" s="52" t="s">
        <v>80</v>
      </c>
      <c r="D101" s="52">
        <v>1</v>
      </c>
      <c r="E101" s="52" t="s">
        <v>643</v>
      </c>
      <c r="F101" s="52" t="s">
        <v>6</v>
      </c>
    </row>
    <row r="102" spans="1:6" ht="14.25" customHeight="1">
      <c r="A102" s="61" t="s">
        <v>512</v>
      </c>
      <c r="B102" s="60" t="s">
        <v>555</v>
      </c>
      <c r="C102" s="60" t="s">
        <v>74</v>
      </c>
      <c r="D102" s="60">
        <v>2</v>
      </c>
      <c r="E102" s="60" t="s">
        <v>643</v>
      </c>
      <c r="F102" s="60" t="s">
        <v>6</v>
      </c>
    </row>
    <row r="103" spans="1:6" ht="14.25" customHeight="1">
      <c r="A103" s="59" t="s">
        <v>512</v>
      </c>
      <c r="B103" s="52" t="s">
        <v>555</v>
      </c>
      <c r="C103" s="52" t="s">
        <v>80</v>
      </c>
      <c r="D103" s="52">
        <v>1</v>
      </c>
      <c r="E103" s="52" t="s">
        <v>580</v>
      </c>
      <c r="F103" s="52" t="s">
        <v>6</v>
      </c>
    </row>
    <row r="104" spans="1:6" ht="14.25" customHeight="1">
      <c r="A104" s="61" t="s">
        <v>512</v>
      </c>
      <c r="B104" s="60" t="s">
        <v>556</v>
      </c>
      <c r="C104" s="60" t="s">
        <v>74</v>
      </c>
      <c r="D104" s="60">
        <v>1</v>
      </c>
      <c r="E104" s="60" t="s">
        <v>580</v>
      </c>
      <c r="F104" s="60" t="s">
        <v>6</v>
      </c>
    </row>
    <row r="105" spans="1:6" ht="14.25" customHeight="1">
      <c r="A105" s="59" t="s">
        <v>512</v>
      </c>
      <c r="B105" s="52" t="s">
        <v>556</v>
      </c>
      <c r="C105" s="52" t="s">
        <v>80</v>
      </c>
      <c r="D105" s="52">
        <v>1</v>
      </c>
      <c r="E105" s="52" t="s">
        <v>644</v>
      </c>
      <c r="F105" s="52" t="s">
        <v>6</v>
      </c>
    </row>
    <row r="106" spans="1:6" ht="14.25" customHeight="1">
      <c r="A106" s="61" t="s">
        <v>512</v>
      </c>
      <c r="B106" s="60" t="s">
        <v>556</v>
      </c>
      <c r="C106" s="60" t="s">
        <v>90</v>
      </c>
      <c r="D106" s="60">
        <v>1</v>
      </c>
      <c r="E106" s="60" t="s">
        <v>644</v>
      </c>
      <c r="F106" s="60" t="s">
        <v>6</v>
      </c>
    </row>
    <row r="107" spans="1:6" ht="14.25" customHeight="1">
      <c r="A107" s="59" t="s">
        <v>512</v>
      </c>
      <c r="B107" s="52" t="s">
        <v>556</v>
      </c>
      <c r="C107" s="52" t="s">
        <v>118</v>
      </c>
      <c r="D107" s="52">
        <v>1</v>
      </c>
      <c r="E107" s="52" t="s">
        <v>644</v>
      </c>
      <c r="F107" s="52" t="s">
        <v>6</v>
      </c>
    </row>
    <row r="108" spans="1:6" ht="14.25" customHeight="1">
      <c r="A108" s="61" t="s">
        <v>512</v>
      </c>
      <c r="B108" s="60" t="s">
        <v>557</v>
      </c>
      <c r="C108" s="60" t="s">
        <v>74</v>
      </c>
      <c r="D108" s="60">
        <v>1</v>
      </c>
      <c r="E108" s="60" t="s">
        <v>650</v>
      </c>
      <c r="F108" s="60" t="s">
        <v>6</v>
      </c>
    </row>
    <row r="109" spans="1:6" ht="14.25" customHeight="1">
      <c r="A109" s="59" t="s">
        <v>512</v>
      </c>
      <c r="B109" s="52" t="s">
        <v>557</v>
      </c>
      <c r="C109" s="52" t="s">
        <v>80</v>
      </c>
      <c r="D109" s="52">
        <v>1</v>
      </c>
      <c r="E109" s="52" t="s">
        <v>650</v>
      </c>
      <c r="F109" s="52" t="s">
        <v>6</v>
      </c>
    </row>
    <row r="110" spans="1:6" ht="14.25" customHeight="1">
      <c r="A110" s="61" t="s">
        <v>512</v>
      </c>
      <c r="B110" s="60" t="s">
        <v>558</v>
      </c>
      <c r="C110" s="60" t="s">
        <v>74</v>
      </c>
      <c r="D110" s="60">
        <v>2</v>
      </c>
      <c r="E110" s="60" t="s">
        <v>651</v>
      </c>
      <c r="F110" s="60" t="s">
        <v>6</v>
      </c>
    </row>
    <row r="111" spans="1:6" ht="14.25" customHeight="1">
      <c r="A111" s="59" t="s">
        <v>512</v>
      </c>
      <c r="B111" s="52" t="s">
        <v>558</v>
      </c>
      <c r="C111" s="52" t="s">
        <v>80</v>
      </c>
      <c r="D111" s="52">
        <v>1</v>
      </c>
      <c r="E111" s="52" t="s">
        <v>651</v>
      </c>
      <c r="F111" s="52" t="s">
        <v>6</v>
      </c>
    </row>
    <row r="112" spans="1:6" ht="14.25" customHeight="1">
      <c r="A112" s="61" t="s">
        <v>512</v>
      </c>
      <c r="B112" s="60" t="s">
        <v>558</v>
      </c>
      <c r="C112" s="60" t="s">
        <v>90</v>
      </c>
      <c r="D112" s="60">
        <v>1</v>
      </c>
      <c r="E112" s="60" t="s">
        <v>651</v>
      </c>
      <c r="F112" s="60" t="s">
        <v>6</v>
      </c>
    </row>
    <row r="113" spans="1:6" ht="14.25" customHeight="1">
      <c r="A113" s="59" t="s">
        <v>512</v>
      </c>
      <c r="B113" s="52" t="s">
        <v>558</v>
      </c>
      <c r="C113" s="52" t="s">
        <v>118</v>
      </c>
      <c r="D113" s="52">
        <v>1</v>
      </c>
      <c r="E113" s="52" t="s">
        <v>654</v>
      </c>
      <c r="F113" s="52" t="s">
        <v>6</v>
      </c>
    </row>
    <row r="114" spans="1:6" ht="14.25" customHeight="1">
      <c r="A114" s="61" t="s">
        <v>512</v>
      </c>
      <c r="B114" s="60" t="s">
        <v>559</v>
      </c>
      <c r="C114" s="60" t="s">
        <v>74</v>
      </c>
      <c r="D114" s="60">
        <v>1</v>
      </c>
      <c r="E114" s="60" t="s">
        <v>654</v>
      </c>
      <c r="F114" s="60" t="s">
        <v>6</v>
      </c>
    </row>
    <row r="115" spans="1:6" ht="14.25" customHeight="1">
      <c r="A115" s="59" t="s">
        <v>512</v>
      </c>
      <c r="B115" s="52" t="s">
        <v>559</v>
      </c>
      <c r="C115" s="52" t="s">
        <v>80</v>
      </c>
      <c r="D115" s="52">
        <v>1</v>
      </c>
      <c r="E115" s="52" t="s">
        <v>654</v>
      </c>
      <c r="F115" s="52" t="s">
        <v>6</v>
      </c>
    </row>
    <row r="116" spans="1:6" ht="14.25" customHeight="1">
      <c r="A116" s="61" t="s">
        <v>512</v>
      </c>
      <c r="B116" s="60" t="s">
        <v>560</v>
      </c>
      <c r="C116" s="60" t="s">
        <v>74</v>
      </c>
      <c r="D116" s="60">
        <v>1</v>
      </c>
      <c r="E116" s="60" t="s">
        <v>655</v>
      </c>
      <c r="F116" s="60" t="s">
        <v>6</v>
      </c>
    </row>
    <row r="117" spans="1:6" ht="14.25" customHeight="1">
      <c r="A117" s="59" t="s">
        <v>512</v>
      </c>
      <c r="B117" s="52" t="s">
        <v>560</v>
      </c>
      <c r="C117" s="52" t="s">
        <v>80</v>
      </c>
      <c r="D117" s="52">
        <v>1</v>
      </c>
      <c r="E117" s="52" t="s">
        <v>655</v>
      </c>
      <c r="F117" s="52" t="s">
        <v>6</v>
      </c>
    </row>
    <row r="118" spans="1:6" ht="14.25" customHeight="1">
      <c r="A118" s="61" t="s">
        <v>512</v>
      </c>
      <c r="B118" s="60" t="s">
        <v>560</v>
      </c>
      <c r="C118" s="60" t="s">
        <v>90</v>
      </c>
      <c r="D118" s="60">
        <v>1</v>
      </c>
      <c r="E118" s="60" t="s">
        <v>656</v>
      </c>
      <c r="F118" s="60" t="s">
        <v>6</v>
      </c>
    </row>
    <row r="119" spans="1:6" ht="14.25" customHeight="1">
      <c r="A119" s="59" t="s">
        <v>512</v>
      </c>
      <c r="B119" s="52" t="s">
        <v>560</v>
      </c>
      <c r="C119" s="52" t="s">
        <v>118</v>
      </c>
      <c r="D119" s="52">
        <v>1</v>
      </c>
      <c r="E119" s="52" t="s">
        <v>656</v>
      </c>
      <c r="F119" s="52" t="s">
        <v>6</v>
      </c>
    </row>
    <row r="120" spans="1:6" ht="14.25" customHeight="1">
      <c r="A120" s="61" t="s">
        <v>512</v>
      </c>
      <c r="B120" s="60" t="s">
        <v>561</v>
      </c>
      <c r="C120" s="60" t="s">
        <v>74</v>
      </c>
      <c r="D120" s="60">
        <v>2</v>
      </c>
      <c r="E120" s="60" t="s">
        <v>656</v>
      </c>
      <c r="F120" s="60" t="s">
        <v>6</v>
      </c>
    </row>
    <row r="121" spans="1:6" ht="14.25" customHeight="1">
      <c r="A121" s="59" t="s">
        <v>512</v>
      </c>
      <c r="B121" s="52" t="s">
        <v>561</v>
      </c>
      <c r="C121" s="52" t="s">
        <v>80</v>
      </c>
      <c r="D121" s="52">
        <v>1</v>
      </c>
      <c r="E121" s="52" t="s">
        <v>586</v>
      </c>
      <c r="F121" s="52" t="s">
        <v>6</v>
      </c>
    </row>
    <row r="122" spans="1:6" ht="14.25" customHeight="1">
      <c r="A122" s="61" t="s">
        <v>512</v>
      </c>
      <c r="B122" s="60" t="s">
        <v>561</v>
      </c>
      <c r="C122" s="60" t="s">
        <v>90</v>
      </c>
      <c r="D122" s="60">
        <v>1</v>
      </c>
      <c r="E122" s="60" t="s">
        <v>586</v>
      </c>
      <c r="F122" s="60" t="s">
        <v>6</v>
      </c>
    </row>
    <row r="123" spans="1:6" ht="14.25" customHeight="1">
      <c r="A123" s="59" t="s">
        <v>512</v>
      </c>
      <c r="B123" s="52" t="s">
        <v>561</v>
      </c>
      <c r="C123" s="52" t="s">
        <v>118</v>
      </c>
      <c r="D123" s="52">
        <v>1</v>
      </c>
      <c r="E123" s="52" t="s">
        <v>589</v>
      </c>
      <c r="F123" s="52" t="s">
        <v>6</v>
      </c>
    </row>
    <row r="124" spans="1:6" ht="14.25" customHeight="1">
      <c r="A124" s="61" t="s">
        <v>512</v>
      </c>
      <c r="B124" s="60" t="s">
        <v>562</v>
      </c>
      <c r="C124" s="60" t="s">
        <v>74</v>
      </c>
      <c r="D124" s="60">
        <v>1</v>
      </c>
      <c r="E124" s="60" t="s">
        <v>589</v>
      </c>
      <c r="F124" s="60" t="s">
        <v>6</v>
      </c>
    </row>
    <row r="125" spans="1:6" ht="14.25" customHeight="1">
      <c r="A125" s="59" t="s">
        <v>512</v>
      </c>
      <c r="B125" s="52" t="s">
        <v>562</v>
      </c>
      <c r="C125" s="52" t="s">
        <v>80</v>
      </c>
      <c r="D125" s="52">
        <v>1</v>
      </c>
      <c r="E125" s="52" t="s">
        <v>589</v>
      </c>
      <c r="F125" s="52" t="s">
        <v>6</v>
      </c>
    </row>
    <row r="126" spans="1:6" ht="14.25" customHeight="1">
      <c r="A126" s="61" t="s">
        <v>512</v>
      </c>
      <c r="B126" s="60" t="s">
        <v>563</v>
      </c>
      <c r="C126" s="60" t="s">
        <v>74</v>
      </c>
      <c r="D126" s="60">
        <v>1</v>
      </c>
      <c r="E126" s="60" t="s">
        <v>652</v>
      </c>
      <c r="F126" s="60" t="s">
        <v>6</v>
      </c>
    </row>
    <row r="127" spans="1:6" ht="14.25" customHeight="1">
      <c r="A127" s="59" t="s">
        <v>512</v>
      </c>
      <c r="B127" s="52" t="s">
        <v>564</v>
      </c>
      <c r="C127" s="52" t="s">
        <v>74</v>
      </c>
      <c r="D127" s="52">
        <v>1</v>
      </c>
      <c r="E127" s="52" t="s">
        <v>652</v>
      </c>
      <c r="F127" s="52" t="s">
        <v>6</v>
      </c>
    </row>
    <row r="128" spans="1:6" ht="14.25" customHeight="1">
      <c r="A128" s="61" t="s">
        <v>512</v>
      </c>
      <c r="B128" s="60" t="s">
        <v>565</v>
      </c>
      <c r="C128" s="60" t="s">
        <v>74</v>
      </c>
      <c r="D128" s="60">
        <v>1</v>
      </c>
      <c r="E128" s="60" t="s">
        <v>653</v>
      </c>
      <c r="F128" s="60" t="s">
        <v>6</v>
      </c>
    </row>
    <row r="129" spans="1:6" ht="14.25" customHeight="1">
      <c r="A129" s="59" t="s">
        <v>512</v>
      </c>
      <c r="B129" s="52" t="s">
        <v>566</v>
      </c>
      <c r="C129" s="52" t="s">
        <v>74</v>
      </c>
      <c r="D129" s="52">
        <v>1</v>
      </c>
      <c r="E129" s="52" t="s">
        <v>653</v>
      </c>
      <c r="F129" s="52" t="s">
        <v>6</v>
      </c>
    </row>
    <row r="130" spans="1:6" ht="14.25" customHeight="1">
      <c r="A130" s="61" t="s">
        <v>512</v>
      </c>
      <c r="B130" s="60" t="s">
        <v>567</v>
      </c>
      <c r="C130" s="60" t="s">
        <v>74</v>
      </c>
      <c r="D130" s="60">
        <v>1</v>
      </c>
      <c r="E130" s="60" t="s">
        <v>653</v>
      </c>
      <c r="F130" s="60" t="s">
        <v>6</v>
      </c>
    </row>
    <row r="131" spans="1:6" ht="14.25" customHeight="1">
      <c r="A131" s="59" t="s">
        <v>512</v>
      </c>
      <c r="B131" s="52" t="s">
        <v>568</v>
      </c>
      <c r="C131" s="52" t="s">
        <v>74</v>
      </c>
      <c r="D131" s="52">
        <v>1</v>
      </c>
      <c r="E131" s="52" t="s">
        <v>596</v>
      </c>
      <c r="F131" s="52" t="s">
        <v>6</v>
      </c>
    </row>
    <row r="132" spans="1:6" ht="14.25" customHeight="1">
      <c r="A132" s="61" t="s">
        <v>512</v>
      </c>
      <c r="B132" s="60" t="s">
        <v>568</v>
      </c>
      <c r="C132" s="60" t="s">
        <v>80</v>
      </c>
      <c r="D132" s="60">
        <v>1</v>
      </c>
      <c r="E132" s="60" t="s">
        <v>596</v>
      </c>
      <c r="F132" s="60" t="s">
        <v>6</v>
      </c>
    </row>
    <row r="133" spans="1:6" ht="14.25" customHeight="1">
      <c r="A133" s="52" t="s">
        <v>504</v>
      </c>
      <c r="B133" s="52" t="s">
        <v>505</v>
      </c>
      <c r="C133" s="52" t="s">
        <v>140</v>
      </c>
      <c r="D133" s="52">
        <v>3</v>
      </c>
      <c r="E133" s="52" t="s">
        <v>597</v>
      </c>
      <c r="F133" s="52" t="s">
        <v>6</v>
      </c>
    </row>
    <row r="134" spans="1:6" ht="14.25" customHeight="1">
      <c r="A134" s="60" t="s">
        <v>504</v>
      </c>
      <c r="B134" s="60" t="s">
        <v>505</v>
      </c>
      <c r="C134" s="60" t="s">
        <v>74</v>
      </c>
      <c r="D134" s="60">
        <v>23</v>
      </c>
      <c r="E134" s="60" t="s">
        <v>587</v>
      </c>
      <c r="F134" s="60" t="s">
        <v>6</v>
      </c>
    </row>
    <row r="135" spans="1:6" ht="14.25" customHeight="1">
      <c r="A135" s="52" t="s">
        <v>504</v>
      </c>
      <c r="B135" s="52" t="s">
        <v>505</v>
      </c>
      <c r="C135" s="52" t="s">
        <v>142</v>
      </c>
      <c r="D135" s="52">
        <v>3</v>
      </c>
      <c r="E135" s="52" t="s">
        <v>663</v>
      </c>
      <c r="F135" s="52" t="s">
        <v>6</v>
      </c>
    </row>
    <row r="136" spans="1:6" ht="14.25" customHeight="1">
      <c r="A136" s="60" t="s">
        <v>504</v>
      </c>
      <c r="B136" s="60" t="s">
        <v>505</v>
      </c>
      <c r="C136" s="60" t="s">
        <v>80</v>
      </c>
      <c r="D136" s="60">
        <v>9</v>
      </c>
      <c r="E136" s="60" t="s">
        <v>584</v>
      </c>
      <c r="F136" s="60" t="s">
        <v>6</v>
      </c>
    </row>
    <row r="137" spans="1:6" ht="14.25" customHeight="1">
      <c r="A137" s="52" t="s">
        <v>504</v>
      </c>
      <c r="B137" s="52" t="s">
        <v>505</v>
      </c>
      <c r="C137" s="52" t="s">
        <v>118</v>
      </c>
      <c r="D137" s="52">
        <v>1</v>
      </c>
      <c r="E137" s="52" t="s">
        <v>664</v>
      </c>
      <c r="F137" s="52" t="s">
        <v>6</v>
      </c>
    </row>
    <row r="138" spans="1:6" ht="14.25" customHeight="1">
      <c r="A138" s="60" t="s">
        <v>504</v>
      </c>
      <c r="B138" s="60" t="s">
        <v>506</v>
      </c>
      <c r="C138" s="60" t="s">
        <v>74</v>
      </c>
      <c r="D138" s="60">
        <v>1</v>
      </c>
      <c r="E138" s="60" t="s">
        <v>665</v>
      </c>
      <c r="F138" s="60" t="s">
        <v>6</v>
      </c>
    </row>
    <row r="139" spans="1:6" ht="14.25" customHeight="1">
      <c r="A139" s="52" t="s">
        <v>504</v>
      </c>
      <c r="B139" s="52" t="s">
        <v>506</v>
      </c>
      <c r="C139" s="52" t="s">
        <v>80</v>
      </c>
      <c r="D139" s="52">
        <v>1</v>
      </c>
      <c r="E139" s="52" t="s">
        <v>666</v>
      </c>
      <c r="F139" s="52" t="s">
        <v>6</v>
      </c>
    </row>
    <row r="140" spans="1:6" ht="14.25" customHeight="1">
      <c r="A140" s="60" t="s">
        <v>504</v>
      </c>
      <c r="B140" s="60" t="s">
        <v>507</v>
      </c>
      <c r="C140" s="60" t="s">
        <v>74</v>
      </c>
      <c r="D140" s="60">
        <v>2</v>
      </c>
      <c r="E140" s="60" t="s">
        <v>667</v>
      </c>
      <c r="F140" s="60" t="s">
        <v>6</v>
      </c>
    </row>
    <row r="141" spans="1:6" ht="14.25" customHeight="1">
      <c r="A141" s="52" t="s">
        <v>504</v>
      </c>
      <c r="B141" s="52" t="s">
        <v>507</v>
      </c>
      <c r="C141" s="52" t="s">
        <v>80</v>
      </c>
      <c r="D141" s="52">
        <v>1</v>
      </c>
      <c r="E141" s="52" t="s">
        <v>645</v>
      </c>
      <c r="F141" s="52" t="s">
        <v>6</v>
      </c>
    </row>
    <row r="142" spans="1:6" ht="14.25" customHeight="1">
      <c r="A142" s="60" t="s">
        <v>501</v>
      </c>
      <c r="B142" s="60" t="s">
        <v>502</v>
      </c>
      <c r="C142" s="60" t="s">
        <v>140</v>
      </c>
      <c r="D142" s="60">
        <v>3</v>
      </c>
      <c r="E142" s="60" t="s">
        <v>646</v>
      </c>
      <c r="F142" s="60" t="s">
        <v>6</v>
      </c>
    </row>
    <row r="143" spans="1:6" ht="14.25" customHeight="1">
      <c r="A143" s="52" t="s">
        <v>501</v>
      </c>
      <c r="B143" s="52" t="s">
        <v>502</v>
      </c>
      <c r="C143" s="52" t="s">
        <v>74</v>
      </c>
      <c r="D143" s="52">
        <v>17</v>
      </c>
      <c r="E143" s="52" t="s">
        <v>598</v>
      </c>
      <c r="F143" s="52" t="s">
        <v>6</v>
      </c>
    </row>
    <row r="144" spans="1:6" ht="14.25" customHeight="1">
      <c r="A144" s="60" t="s">
        <v>501</v>
      </c>
      <c r="B144" s="60" t="s">
        <v>502</v>
      </c>
      <c r="C144" s="60" t="s">
        <v>142</v>
      </c>
      <c r="D144" s="60">
        <v>4</v>
      </c>
      <c r="E144" s="60" t="s">
        <v>599</v>
      </c>
      <c r="F144" s="60" t="s">
        <v>6</v>
      </c>
    </row>
    <row r="145" spans="1:6" ht="14.25" customHeight="1">
      <c r="A145" s="52" t="s">
        <v>501</v>
      </c>
      <c r="B145" s="52" t="s">
        <v>502</v>
      </c>
      <c r="C145" s="52" t="s">
        <v>80</v>
      </c>
      <c r="D145" s="52">
        <v>12</v>
      </c>
      <c r="E145" s="52" t="s">
        <v>668</v>
      </c>
      <c r="F145" s="52" t="s">
        <v>6</v>
      </c>
    </row>
    <row r="146" spans="1:6" ht="14.25" customHeight="1">
      <c r="A146" s="60" t="s">
        <v>501</v>
      </c>
      <c r="B146" s="60" t="s">
        <v>502</v>
      </c>
      <c r="C146" s="60" t="s">
        <v>118</v>
      </c>
      <c r="D146" s="60">
        <v>1</v>
      </c>
      <c r="E146" s="60" t="s">
        <v>669</v>
      </c>
      <c r="F146" s="60" t="s">
        <v>6</v>
      </c>
    </row>
    <row r="147" spans="1:6" ht="14.25" customHeight="1">
      <c r="A147" s="52" t="s">
        <v>501</v>
      </c>
      <c r="B147" s="52" t="s">
        <v>503</v>
      </c>
      <c r="C147" s="52" t="s">
        <v>74</v>
      </c>
      <c r="D147" s="52">
        <v>1</v>
      </c>
      <c r="E147" s="52" t="s">
        <v>670</v>
      </c>
      <c r="F147" s="52" t="s">
        <v>6</v>
      </c>
    </row>
    <row r="148" spans="1:6" ht="14.25" customHeight="1">
      <c r="A148" s="60" t="s">
        <v>501</v>
      </c>
      <c r="B148" s="60" t="s">
        <v>503</v>
      </c>
      <c r="C148" s="60" t="s">
        <v>80</v>
      </c>
      <c r="D148" s="60">
        <v>1</v>
      </c>
      <c r="E148" s="60" t="s">
        <v>671</v>
      </c>
      <c r="F148" s="60" t="s">
        <v>6</v>
      </c>
    </row>
    <row r="149" spans="1:6" ht="14.25" customHeight="1">
      <c r="A149" s="59" t="s">
        <v>509</v>
      </c>
      <c r="B149" s="59" t="s">
        <v>510</v>
      </c>
      <c r="C149" s="52" t="s">
        <v>74</v>
      </c>
      <c r="D149" s="52">
        <v>1</v>
      </c>
      <c r="E149" s="52" t="s">
        <v>648</v>
      </c>
      <c r="F149" s="52" t="s">
        <v>6</v>
      </c>
    </row>
    <row r="150" spans="1:6" ht="14.25" customHeight="1">
      <c r="A150" s="61" t="s">
        <v>509</v>
      </c>
      <c r="B150" s="61" t="s">
        <v>510</v>
      </c>
      <c r="C150" s="60" t="s">
        <v>80</v>
      </c>
      <c r="D150" s="60">
        <v>2</v>
      </c>
      <c r="E150" s="60" t="s">
        <v>648</v>
      </c>
      <c r="F150" s="60" t="s">
        <v>6</v>
      </c>
    </row>
    <row r="151" spans="1:6" ht="14.25" customHeight="1">
      <c r="A151" s="59" t="s">
        <v>509</v>
      </c>
      <c r="B151" s="59" t="s">
        <v>511</v>
      </c>
      <c r="C151" s="52" t="s">
        <v>74</v>
      </c>
      <c r="D151" s="52">
        <v>2</v>
      </c>
      <c r="E151" s="52" t="s">
        <v>648</v>
      </c>
      <c r="F151" s="52" t="s">
        <v>6</v>
      </c>
    </row>
    <row r="152" spans="1:6" ht="14.25" customHeight="1">
      <c r="A152" s="61" t="s">
        <v>509</v>
      </c>
      <c r="B152" s="61" t="s">
        <v>511</v>
      </c>
      <c r="C152" s="60" t="s">
        <v>80</v>
      </c>
      <c r="D152" s="60">
        <v>1</v>
      </c>
      <c r="E152" s="60" t="s">
        <v>648</v>
      </c>
      <c r="F152" s="60" t="s">
        <v>6</v>
      </c>
    </row>
    <row r="153" spans="1:6" ht="14.25" customHeight="1">
      <c r="A153" s="59" t="s">
        <v>509</v>
      </c>
      <c r="B153" s="59" t="s">
        <v>511</v>
      </c>
      <c r="C153" s="52" t="s">
        <v>118</v>
      </c>
      <c r="D153" s="52">
        <v>2</v>
      </c>
      <c r="E153" s="52" t="s">
        <v>648</v>
      </c>
      <c r="F153" s="52" t="s">
        <v>6</v>
      </c>
    </row>
    <row r="154" spans="1:6" ht="14.25" customHeight="1">
      <c r="A154" s="60" t="s">
        <v>508</v>
      </c>
      <c r="B154" s="60" t="s">
        <v>22</v>
      </c>
      <c r="C154" s="60" t="s">
        <v>84</v>
      </c>
      <c r="D154" s="60">
        <v>2</v>
      </c>
      <c r="E154" s="60" t="s">
        <v>649</v>
      </c>
      <c r="F154" s="60" t="s">
        <v>6</v>
      </c>
    </row>
    <row r="155" spans="1:6" ht="14.25" customHeight="1">
      <c r="A155" s="52" t="s">
        <v>508</v>
      </c>
      <c r="B155" s="52" t="s">
        <v>22</v>
      </c>
      <c r="C155" s="52" t="s">
        <v>83</v>
      </c>
      <c r="D155" s="52">
        <v>2</v>
      </c>
      <c r="E155" s="52" t="s">
        <v>649</v>
      </c>
      <c r="F155" s="52" t="s">
        <v>6</v>
      </c>
    </row>
    <row r="156" spans="1:6" ht="15" customHeight="1"/>
    <row r="157" spans="1:6" ht="15" customHeight="1"/>
    <row r="158" spans="1:6" ht="14.25" customHeight="1">
      <c r="A158" s="7" t="s">
        <v>731</v>
      </c>
    </row>
    <row r="159" spans="1:6" ht="14.25" customHeight="1">
      <c r="A159" t="s">
        <v>74</v>
      </c>
      <c r="B159">
        <v>140</v>
      </c>
    </row>
    <row r="160" spans="1:6" ht="14.25" customHeight="1">
      <c r="A160" t="s">
        <v>80</v>
      </c>
      <c r="B160">
        <v>100</v>
      </c>
    </row>
    <row r="161" spans="1:2" ht="14.25" customHeight="1">
      <c r="A161" t="s">
        <v>78</v>
      </c>
      <c r="B161">
        <v>44</v>
      </c>
    </row>
    <row r="162" spans="1:2" ht="14.25" customHeight="1">
      <c r="A162" t="s">
        <v>90</v>
      </c>
      <c r="B162">
        <v>13</v>
      </c>
    </row>
    <row r="163" spans="1:2" ht="14.25" customHeight="1">
      <c r="A163" t="s">
        <v>118</v>
      </c>
      <c r="B163">
        <v>13</v>
      </c>
    </row>
    <row r="164" spans="1:2" ht="14.25" customHeight="1">
      <c r="A164" t="s">
        <v>142</v>
      </c>
      <c r="B164">
        <v>7</v>
      </c>
    </row>
    <row r="165" spans="1:2" ht="14.25" customHeight="1">
      <c r="A165" t="s">
        <v>140</v>
      </c>
      <c r="B165">
        <v>6</v>
      </c>
    </row>
    <row r="166" spans="1:2" ht="14.25" customHeight="1">
      <c r="A166" t="s">
        <v>84</v>
      </c>
      <c r="B166">
        <v>2</v>
      </c>
    </row>
    <row r="167" spans="1:2" ht="14.25" customHeight="1">
      <c r="A167" t="s">
        <v>83</v>
      </c>
      <c r="B167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9"/>
  <sheetViews>
    <sheetView zoomScaleNormal="100" workbookViewId="0"/>
  </sheetViews>
  <sheetFormatPr defaultColWidth="8.85546875" defaultRowHeight="14.25" customHeight="1"/>
  <cols>
    <col min="1" max="1" width="50" customWidth="1"/>
    <col min="2" max="2" width="26" customWidth="1"/>
    <col min="3" max="3" width="27" customWidth="1"/>
    <col min="4" max="4" width="5" customWidth="1"/>
    <col min="5" max="5" width="16" customWidth="1"/>
    <col min="6" max="6" width="9" customWidth="1"/>
  </cols>
  <sheetData>
    <row r="1" spans="1:6" ht="18" customHeight="1">
      <c r="A1" s="90" t="s">
        <v>740</v>
      </c>
    </row>
    <row r="2" spans="1:6" ht="14.25" customHeight="1">
      <c r="A2" t="s">
        <v>741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52" t="s">
        <v>415</v>
      </c>
      <c r="B5" s="52" t="s">
        <v>416</v>
      </c>
      <c r="C5" s="52" t="s">
        <v>74</v>
      </c>
      <c r="D5" s="52">
        <v>2</v>
      </c>
      <c r="E5" s="52" t="s">
        <v>583</v>
      </c>
      <c r="F5" s="52" t="s">
        <v>6</v>
      </c>
    </row>
    <row r="6" spans="1:6" ht="14.25" customHeight="1">
      <c r="A6" s="60" t="s">
        <v>415</v>
      </c>
      <c r="B6" s="60" t="s">
        <v>416</v>
      </c>
      <c r="C6" s="60" t="s">
        <v>80</v>
      </c>
      <c r="D6" s="60">
        <v>1</v>
      </c>
      <c r="E6" s="60" t="s">
        <v>583</v>
      </c>
      <c r="F6" s="60" t="s">
        <v>6</v>
      </c>
    </row>
    <row r="7" spans="1:6" ht="14.25" customHeight="1">
      <c r="A7" s="52" t="s">
        <v>415</v>
      </c>
      <c r="B7" s="52" t="s">
        <v>416</v>
      </c>
      <c r="C7" s="52" t="s">
        <v>118</v>
      </c>
      <c r="D7" s="52">
        <v>1</v>
      </c>
      <c r="E7" s="52" t="s">
        <v>583</v>
      </c>
      <c r="F7" s="52" t="s">
        <v>6</v>
      </c>
    </row>
    <row r="8" spans="1:6" ht="14.25" customHeight="1">
      <c r="A8" s="60" t="s">
        <v>415</v>
      </c>
      <c r="B8" s="60" t="s">
        <v>417</v>
      </c>
      <c r="C8" s="60" t="s">
        <v>74</v>
      </c>
      <c r="D8" s="60">
        <v>1</v>
      </c>
      <c r="E8" s="60" t="s">
        <v>583</v>
      </c>
      <c r="F8" s="60" t="s">
        <v>6</v>
      </c>
    </row>
    <row r="9" spans="1:6" ht="14.25" customHeight="1">
      <c r="A9" s="52" t="s">
        <v>415</v>
      </c>
      <c r="B9" s="52" t="s">
        <v>417</v>
      </c>
      <c r="C9" s="52" t="s">
        <v>80</v>
      </c>
      <c r="D9" s="52">
        <v>1</v>
      </c>
      <c r="E9" s="52" t="s">
        <v>691</v>
      </c>
      <c r="F9" s="52" t="s">
        <v>6</v>
      </c>
    </row>
    <row r="10" spans="1:6" ht="14.25" customHeight="1">
      <c r="A10" s="60" t="s">
        <v>415</v>
      </c>
      <c r="B10" s="60" t="s">
        <v>417</v>
      </c>
      <c r="C10" s="60" t="s">
        <v>90</v>
      </c>
      <c r="D10" s="60">
        <v>1</v>
      </c>
      <c r="E10" s="60" t="s">
        <v>691</v>
      </c>
      <c r="F10" s="60" t="s">
        <v>6</v>
      </c>
    </row>
    <row r="11" spans="1:6" ht="14.25" customHeight="1">
      <c r="A11" s="52" t="s">
        <v>415</v>
      </c>
      <c r="B11" s="52" t="s">
        <v>418</v>
      </c>
      <c r="C11" s="52" t="s">
        <v>74</v>
      </c>
      <c r="D11" s="52">
        <v>1</v>
      </c>
      <c r="E11" s="52" t="s">
        <v>691</v>
      </c>
      <c r="F11" s="52" t="s">
        <v>6</v>
      </c>
    </row>
    <row r="12" spans="1:6" ht="14.25" customHeight="1">
      <c r="A12" s="60" t="s">
        <v>415</v>
      </c>
      <c r="B12" s="60" t="s">
        <v>419</v>
      </c>
      <c r="C12" s="60" t="s">
        <v>74</v>
      </c>
      <c r="D12" s="60">
        <v>1</v>
      </c>
      <c r="E12" s="60" t="s">
        <v>620</v>
      </c>
      <c r="F12" s="60" t="s">
        <v>6</v>
      </c>
    </row>
    <row r="13" spans="1:6" ht="14.25" customHeight="1">
      <c r="A13" s="52" t="s">
        <v>415</v>
      </c>
      <c r="B13" s="52" t="s">
        <v>419</v>
      </c>
      <c r="C13" s="52" t="s">
        <v>80</v>
      </c>
      <c r="D13" s="52">
        <v>1</v>
      </c>
      <c r="E13" s="52" t="s">
        <v>620</v>
      </c>
      <c r="F13" s="52" t="s">
        <v>6</v>
      </c>
    </row>
    <row r="14" spans="1:6" ht="14.25" customHeight="1">
      <c r="A14" s="60" t="s">
        <v>415</v>
      </c>
      <c r="B14" s="60" t="s">
        <v>420</v>
      </c>
      <c r="C14" s="60" t="s">
        <v>74</v>
      </c>
      <c r="D14" s="60">
        <v>1</v>
      </c>
      <c r="E14" s="60" t="s">
        <v>620</v>
      </c>
      <c r="F14" s="60" t="s">
        <v>6</v>
      </c>
    </row>
    <row r="15" spans="1:6" ht="14.25" customHeight="1">
      <c r="A15" s="52" t="s">
        <v>415</v>
      </c>
      <c r="B15" s="52" t="s">
        <v>420</v>
      </c>
      <c r="C15" s="52" t="s">
        <v>80</v>
      </c>
      <c r="D15" s="52">
        <v>1</v>
      </c>
      <c r="E15" s="52" t="s">
        <v>620</v>
      </c>
      <c r="F15" s="52" t="s">
        <v>6</v>
      </c>
    </row>
    <row r="16" spans="1:6" ht="14.25" customHeight="1">
      <c r="A16" s="60" t="s">
        <v>415</v>
      </c>
      <c r="B16" s="60" t="s">
        <v>420</v>
      </c>
      <c r="C16" s="60" t="s">
        <v>90</v>
      </c>
      <c r="D16" s="60">
        <v>1</v>
      </c>
      <c r="E16" s="60" t="s">
        <v>621</v>
      </c>
      <c r="F16" s="60" t="s">
        <v>6</v>
      </c>
    </row>
    <row r="17" spans="1:6" ht="14.25" customHeight="1">
      <c r="A17" s="52" t="s">
        <v>415</v>
      </c>
      <c r="B17" s="52" t="s">
        <v>421</v>
      </c>
      <c r="C17" s="52" t="s">
        <v>74</v>
      </c>
      <c r="D17" s="52">
        <v>1</v>
      </c>
      <c r="E17" s="52" t="s">
        <v>621</v>
      </c>
      <c r="F17" s="52" t="s">
        <v>6</v>
      </c>
    </row>
    <row r="18" spans="1:6" ht="14.25" customHeight="1">
      <c r="A18" s="60" t="s">
        <v>415</v>
      </c>
      <c r="B18" s="60" t="s">
        <v>421</v>
      </c>
      <c r="C18" s="60" t="s">
        <v>80</v>
      </c>
      <c r="D18" s="60">
        <v>1</v>
      </c>
      <c r="E18" s="60" t="s">
        <v>621</v>
      </c>
      <c r="F18" s="60" t="s">
        <v>6</v>
      </c>
    </row>
    <row r="19" spans="1:6" ht="14.25" customHeight="1">
      <c r="A19" s="52" t="s">
        <v>415</v>
      </c>
      <c r="B19" s="52" t="s">
        <v>421</v>
      </c>
      <c r="C19" s="52" t="s">
        <v>90</v>
      </c>
      <c r="D19" s="52">
        <v>1</v>
      </c>
      <c r="E19" s="52" t="s">
        <v>692</v>
      </c>
      <c r="F19" s="52" t="s">
        <v>6</v>
      </c>
    </row>
    <row r="20" spans="1:6" ht="14.25" customHeight="1">
      <c r="A20" s="60" t="s">
        <v>415</v>
      </c>
      <c r="B20" s="60" t="s">
        <v>422</v>
      </c>
      <c r="C20" s="60" t="s">
        <v>74</v>
      </c>
      <c r="D20" s="60">
        <v>1</v>
      </c>
      <c r="E20" s="60" t="s">
        <v>692</v>
      </c>
      <c r="F20" s="60" t="s">
        <v>6</v>
      </c>
    </row>
    <row r="21" spans="1:6" ht="14.25" customHeight="1">
      <c r="A21" s="52" t="s">
        <v>415</v>
      </c>
      <c r="B21" s="52" t="s">
        <v>423</v>
      </c>
      <c r="C21" s="52" t="s">
        <v>74</v>
      </c>
      <c r="D21" s="52">
        <v>1</v>
      </c>
      <c r="E21" s="52" t="s">
        <v>692</v>
      </c>
      <c r="F21" s="52" t="s">
        <v>6</v>
      </c>
    </row>
    <row r="22" spans="1:6" ht="14.25" customHeight="1">
      <c r="A22" s="60" t="s">
        <v>415</v>
      </c>
      <c r="B22" s="60" t="s">
        <v>423</v>
      </c>
      <c r="C22" s="60" t="s">
        <v>80</v>
      </c>
      <c r="D22" s="60">
        <v>1</v>
      </c>
      <c r="E22" s="60" t="s">
        <v>622</v>
      </c>
      <c r="F22" s="60" t="s">
        <v>6</v>
      </c>
    </row>
    <row r="23" spans="1:6" ht="14.25" customHeight="1">
      <c r="A23" s="52" t="s">
        <v>415</v>
      </c>
      <c r="B23" s="52" t="s">
        <v>424</v>
      </c>
      <c r="C23" s="52" t="s">
        <v>74</v>
      </c>
      <c r="D23" s="52">
        <v>2</v>
      </c>
      <c r="E23" s="52" t="s">
        <v>622</v>
      </c>
      <c r="F23" s="52" t="s">
        <v>6</v>
      </c>
    </row>
    <row r="24" spans="1:6" ht="14.25" customHeight="1">
      <c r="A24" s="60" t="s">
        <v>415</v>
      </c>
      <c r="B24" s="60" t="s">
        <v>424</v>
      </c>
      <c r="C24" s="60" t="s">
        <v>80</v>
      </c>
      <c r="D24" s="60">
        <v>1</v>
      </c>
      <c r="E24" s="60" t="s">
        <v>622</v>
      </c>
      <c r="F24" s="60" t="s">
        <v>6</v>
      </c>
    </row>
    <row r="25" spans="1:6" ht="14.25" customHeight="1">
      <c r="A25" s="52" t="s">
        <v>415</v>
      </c>
      <c r="B25" s="52" t="s">
        <v>424</v>
      </c>
      <c r="C25" s="52" t="s">
        <v>90</v>
      </c>
      <c r="D25" s="52">
        <v>1</v>
      </c>
      <c r="E25" s="52" t="s">
        <v>622</v>
      </c>
      <c r="F25" s="52" t="s">
        <v>6</v>
      </c>
    </row>
    <row r="26" spans="1:6" ht="14.25" customHeight="1">
      <c r="A26" s="60" t="s">
        <v>415</v>
      </c>
      <c r="B26" s="60" t="s">
        <v>425</v>
      </c>
      <c r="C26" s="60" t="s">
        <v>74</v>
      </c>
      <c r="D26" s="60">
        <v>1</v>
      </c>
      <c r="E26" s="60" t="s">
        <v>623</v>
      </c>
      <c r="F26" s="60" t="s">
        <v>6</v>
      </c>
    </row>
    <row r="27" spans="1:6" ht="14.25" customHeight="1">
      <c r="A27" s="52" t="s">
        <v>415</v>
      </c>
      <c r="B27" s="52" t="s">
        <v>425</v>
      </c>
      <c r="C27" s="52" t="s">
        <v>80</v>
      </c>
      <c r="D27" s="52">
        <v>1</v>
      </c>
      <c r="E27" s="52" t="s">
        <v>623</v>
      </c>
      <c r="F27" s="52" t="s">
        <v>6</v>
      </c>
    </row>
    <row r="28" spans="1:6" ht="14.25" customHeight="1">
      <c r="A28" s="60" t="s">
        <v>415</v>
      </c>
      <c r="B28" s="60" t="s">
        <v>426</v>
      </c>
      <c r="C28" s="60" t="s">
        <v>74</v>
      </c>
      <c r="D28" s="60">
        <v>1</v>
      </c>
      <c r="E28" s="60" t="s">
        <v>623</v>
      </c>
      <c r="F28" s="60" t="s">
        <v>6</v>
      </c>
    </row>
    <row r="29" spans="1:6" ht="14.25" customHeight="1">
      <c r="A29" s="52" t="s">
        <v>415</v>
      </c>
      <c r="B29" s="52" t="s">
        <v>426</v>
      </c>
      <c r="C29" s="52" t="s">
        <v>80</v>
      </c>
      <c r="D29" s="52">
        <v>1</v>
      </c>
      <c r="E29" s="52" t="s">
        <v>585</v>
      </c>
      <c r="F29" s="52" t="s">
        <v>6</v>
      </c>
    </row>
    <row r="30" spans="1:6" ht="14.25" customHeight="1">
      <c r="A30" s="60" t="s">
        <v>415</v>
      </c>
      <c r="B30" s="60" t="s">
        <v>427</v>
      </c>
      <c r="C30" s="60" t="s">
        <v>74</v>
      </c>
      <c r="D30" s="60">
        <v>1</v>
      </c>
      <c r="E30" s="60" t="s">
        <v>585</v>
      </c>
      <c r="F30" s="60" t="s">
        <v>6</v>
      </c>
    </row>
    <row r="31" spans="1:6" ht="14.25" customHeight="1">
      <c r="A31" s="52" t="s">
        <v>415</v>
      </c>
      <c r="B31" s="52" t="s">
        <v>427</v>
      </c>
      <c r="C31" s="52" t="s">
        <v>80</v>
      </c>
      <c r="D31" s="52">
        <v>1</v>
      </c>
      <c r="E31" s="52" t="s">
        <v>585</v>
      </c>
      <c r="F31" s="52" t="s">
        <v>6</v>
      </c>
    </row>
    <row r="32" spans="1:6" ht="14.25" customHeight="1">
      <c r="A32" s="60" t="s">
        <v>415</v>
      </c>
      <c r="B32" s="60" t="s">
        <v>428</v>
      </c>
      <c r="C32" s="60" t="s">
        <v>74</v>
      </c>
      <c r="D32" s="60">
        <v>1</v>
      </c>
      <c r="E32" s="60" t="s">
        <v>624</v>
      </c>
      <c r="F32" s="60" t="s">
        <v>6</v>
      </c>
    </row>
    <row r="33" spans="1:6" ht="14.25" customHeight="1">
      <c r="A33" s="52" t="s">
        <v>415</v>
      </c>
      <c r="B33" s="52" t="s">
        <v>428</v>
      </c>
      <c r="C33" s="52" t="s">
        <v>80</v>
      </c>
      <c r="D33" s="52">
        <v>1</v>
      </c>
      <c r="E33" s="52" t="s">
        <v>624</v>
      </c>
      <c r="F33" s="52" t="s">
        <v>6</v>
      </c>
    </row>
    <row r="34" spans="1:6" ht="14.25" customHeight="1">
      <c r="A34" s="60" t="s">
        <v>415</v>
      </c>
      <c r="B34" s="60" t="s">
        <v>429</v>
      </c>
      <c r="C34" s="60" t="s">
        <v>74</v>
      </c>
      <c r="D34" s="60">
        <v>1</v>
      </c>
      <c r="E34" s="60" t="s">
        <v>624</v>
      </c>
      <c r="F34" s="60" t="s">
        <v>6</v>
      </c>
    </row>
    <row r="35" spans="1:6" ht="14.25" customHeight="1">
      <c r="A35" s="52" t="s">
        <v>415</v>
      </c>
      <c r="B35" s="52" t="s">
        <v>429</v>
      </c>
      <c r="C35" s="52" t="s">
        <v>80</v>
      </c>
      <c r="D35" s="52">
        <v>1</v>
      </c>
      <c r="E35" s="52" t="s">
        <v>624</v>
      </c>
      <c r="F35" s="52" t="s">
        <v>6</v>
      </c>
    </row>
    <row r="36" spans="1:6" ht="14.25" customHeight="1">
      <c r="A36" s="60" t="s">
        <v>415</v>
      </c>
      <c r="B36" s="60" t="s">
        <v>430</v>
      </c>
      <c r="C36" s="60" t="s">
        <v>74</v>
      </c>
      <c r="D36" s="60">
        <v>1</v>
      </c>
      <c r="E36" s="60" t="s">
        <v>625</v>
      </c>
      <c r="F36" s="60" t="s">
        <v>6</v>
      </c>
    </row>
    <row r="37" spans="1:6" ht="14.25" customHeight="1">
      <c r="A37" s="52" t="s">
        <v>415</v>
      </c>
      <c r="B37" s="52" t="s">
        <v>430</v>
      </c>
      <c r="C37" s="52" t="s">
        <v>80</v>
      </c>
      <c r="D37" s="52">
        <v>1</v>
      </c>
      <c r="E37" s="52" t="s">
        <v>625</v>
      </c>
      <c r="F37" s="52" t="s">
        <v>6</v>
      </c>
    </row>
    <row r="38" spans="1:6" ht="14.25" customHeight="1">
      <c r="A38" s="60" t="s">
        <v>415</v>
      </c>
      <c r="B38" s="60" t="s">
        <v>431</v>
      </c>
      <c r="C38" s="60" t="s">
        <v>74</v>
      </c>
      <c r="D38" s="60">
        <v>1</v>
      </c>
      <c r="E38" s="60" t="s">
        <v>625</v>
      </c>
      <c r="F38" s="60" t="s">
        <v>6</v>
      </c>
    </row>
    <row r="39" spans="1:6" ht="14.25" customHeight="1">
      <c r="A39" s="52" t="s">
        <v>415</v>
      </c>
      <c r="B39" s="52" t="s">
        <v>432</v>
      </c>
      <c r="C39" s="52" t="s">
        <v>74</v>
      </c>
      <c r="D39" s="52">
        <v>1</v>
      </c>
      <c r="E39" s="52" t="s">
        <v>626</v>
      </c>
      <c r="F39" s="52" t="s">
        <v>6</v>
      </c>
    </row>
    <row r="40" spans="1:6" ht="14.25" customHeight="1">
      <c r="A40" s="60" t="s">
        <v>415</v>
      </c>
      <c r="B40" s="60" t="s">
        <v>433</v>
      </c>
      <c r="C40" s="60" t="s">
        <v>74</v>
      </c>
      <c r="D40" s="60">
        <v>1</v>
      </c>
      <c r="E40" s="60" t="s">
        <v>626</v>
      </c>
      <c r="F40" s="60" t="s">
        <v>6</v>
      </c>
    </row>
    <row r="41" spans="1:6" ht="14.25" customHeight="1">
      <c r="A41" s="52" t="s">
        <v>415</v>
      </c>
      <c r="B41" s="52" t="s">
        <v>434</v>
      </c>
      <c r="C41" s="52" t="s">
        <v>74</v>
      </c>
      <c r="D41" s="52">
        <v>1</v>
      </c>
      <c r="E41" s="52" t="s">
        <v>626</v>
      </c>
      <c r="F41" s="52" t="s">
        <v>6</v>
      </c>
    </row>
    <row r="42" spans="1:6" ht="14.25" customHeight="1">
      <c r="A42" s="60" t="s">
        <v>415</v>
      </c>
      <c r="B42" s="60" t="s">
        <v>434</v>
      </c>
      <c r="C42" s="60" t="s">
        <v>80</v>
      </c>
      <c r="D42" s="60">
        <v>1</v>
      </c>
      <c r="E42" s="60" t="s">
        <v>627</v>
      </c>
      <c r="F42" s="60" t="s">
        <v>6</v>
      </c>
    </row>
    <row r="43" spans="1:6" ht="14.25" customHeight="1">
      <c r="A43" s="52" t="s">
        <v>415</v>
      </c>
      <c r="B43" s="52" t="s">
        <v>435</v>
      </c>
      <c r="C43" s="52" t="s">
        <v>74</v>
      </c>
      <c r="D43" s="52">
        <v>1</v>
      </c>
      <c r="E43" s="52" t="s">
        <v>627</v>
      </c>
      <c r="F43" s="52" t="s">
        <v>6</v>
      </c>
    </row>
    <row r="44" spans="1:6" ht="14.25" customHeight="1">
      <c r="A44" s="60" t="s">
        <v>415</v>
      </c>
      <c r="B44" s="60" t="s">
        <v>435</v>
      </c>
      <c r="C44" s="60" t="s">
        <v>80</v>
      </c>
      <c r="D44" s="60">
        <v>1</v>
      </c>
      <c r="E44" s="60" t="s">
        <v>627</v>
      </c>
      <c r="F44" s="60" t="s">
        <v>6</v>
      </c>
    </row>
    <row r="45" spans="1:6" ht="14.25" customHeight="1">
      <c r="A45" s="52" t="s">
        <v>415</v>
      </c>
      <c r="B45" s="52" t="s">
        <v>435</v>
      </c>
      <c r="C45" s="52" t="s">
        <v>90</v>
      </c>
      <c r="D45" s="52">
        <v>1</v>
      </c>
      <c r="E45" s="52" t="s">
        <v>627</v>
      </c>
      <c r="F45" s="52" t="s">
        <v>6</v>
      </c>
    </row>
    <row r="46" spans="1:6" ht="14.25" customHeight="1">
      <c r="A46" s="60" t="s">
        <v>415</v>
      </c>
      <c r="B46" s="60" t="s">
        <v>436</v>
      </c>
      <c r="C46" s="60" t="s">
        <v>74</v>
      </c>
      <c r="D46" s="60">
        <v>1</v>
      </c>
      <c r="E46" s="60" t="s">
        <v>628</v>
      </c>
      <c r="F46" s="60" t="s">
        <v>6</v>
      </c>
    </row>
    <row r="47" spans="1:6" ht="14.25" customHeight="1">
      <c r="A47" s="52" t="s">
        <v>415</v>
      </c>
      <c r="B47" s="52" t="s">
        <v>436</v>
      </c>
      <c r="C47" s="52" t="s">
        <v>118</v>
      </c>
      <c r="D47" s="52">
        <v>1</v>
      </c>
      <c r="E47" s="52" t="s">
        <v>628</v>
      </c>
      <c r="F47" s="52" t="s">
        <v>6</v>
      </c>
    </row>
    <row r="48" spans="1:6" ht="14.25" customHeight="1">
      <c r="A48" s="60" t="s">
        <v>415</v>
      </c>
      <c r="B48" s="60" t="s">
        <v>437</v>
      </c>
      <c r="C48" s="60" t="s">
        <v>74</v>
      </c>
      <c r="D48" s="60">
        <v>1</v>
      </c>
      <c r="E48" s="60" t="s">
        <v>628</v>
      </c>
      <c r="F48" s="60" t="s">
        <v>6</v>
      </c>
    </row>
    <row r="49" spans="1:6" ht="14.25" customHeight="1">
      <c r="A49" s="52" t="s">
        <v>415</v>
      </c>
      <c r="B49" s="52" t="s">
        <v>437</v>
      </c>
      <c r="C49" s="52" t="s">
        <v>118</v>
      </c>
      <c r="D49" s="52">
        <v>1</v>
      </c>
      <c r="E49" s="52" t="s">
        <v>629</v>
      </c>
      <c r="F49" s="52" t="s">
        <v>6</v>
      </c>
    </row>
    <row r="50" spans="1:6" ht="14.25" customHeight="1">
      <c r="A50" s="60" t="s">
        <v>415</v>
      </c>
      <c r="B50" s="60" t="s">
        <v>438</v>
      </c>
      <c r="C50" s="60" t="s">
        <v>74</v>
      </c>
      <c r="D50" s="60">
        <v>1</v>
      </c>
      <c r="E50" s="60" t="s">
        <v>629</v>
      </c>
      <c r="F50" s="60" t="s">
        <v>6</v>
      </c>
    </row>
    <row r="51" spans="1:6" ht="14.25" customHeight="1">
      <c r="A51" s="52" t="s">
        <v>415</v>
      </c>
      <c r="B51" s="52" t="s">
        <v>438</v>
      </c>
      <c r="C51" s="52" t="s">
        <v>118</v>
      </c>
      <c r="D51" s="52">
        <v>1</v>
      </c>
      <c r="E51" s="52" t="s">
        <v>629</v>
      </c>
      <c r="F51" s="52" t="s">
        <v>6</v>
      </c>
    </row>
    <row r="52" spans="1:6" ht="14.25" customHeight="1">
      <c r="A52" s="60" t="s">
        <v>415</v>
      </c>
      <c r="B52" s="60" t="s">
        <v>439</v>
      </c>
      <c r="C52" s="60" t="s">
        <v>74</v>
      </c>
      <c r="D52" s="60">
        <v>1</v>
      </c>
      <c r="E52" s="60" t="s">
        <v>630</v>
      </c>
      <c r="F52" s="60" t="s">
        <v>6</v>
      </c>
    </row>
    <row r="53" spans="1:6" ht="14.25" customHeight="1">
      <c r="A53" s="52" t="s">
        <v>415</v>
      </c>
      <c r="B53" s="52" t="s">
        <v>439</v>
      </c>
      <c r="C53" s="52" t="s">
        <v>80</v>
      </c>
      <c r="D53" s="52">
        <v>1</v>
      </c>
      <c r="E53" s="52" t="s">
        <v>630</v>
      </c>
      <c r="F53" s="52" t="s">
        <v>6</v>
      </c>
    </row>
    <row r="54" spans="1:6" ht="14.25" customHeight="1">
      <c r="A54" s="60" t="s">
        <v>415</v>
      </c>
      <c r="B54" s="60" t="s">
        <v>439</v>
      </c>
      <c r="C54" s="60" t="s">
        <v>118</v>
      </c>
      <c r="D54" s="60">
        <v>1</v>
      </c>
      <c r="E54" s="60" t="s">
        <v>630</v>
      </c>
      <c r="F54" s="60" t="s">
        <v>6</v>
      </c>
    </row>
    <row r="55" spans="1:6" ht="14.25" customHeight="1">
      <c r="A55" s="52" t="s">
        <v>415</v>
      </c>
      <c r="B55" s="52" t="s">
        <v>440</v>
      </c>
      <c r="C55" s="52" t="s">
        <v>74</v>
      </c>
      <c r="D55" s="52">
        <v>1</v>
      </c>
      <c r="E55" s="52" t="s">
        <v>630</v>
      </c>
      <c r="F55" s="52" t="s">
        <v>6</v>
      </c>
    </row>
    <row r="56" spans="1:6" ht="14.25" customHeight="1">
      <c r="A56" s="60" t="s">
        <v>415</v>
      </c>
      <c r="B56" s="60" t="s">
        <v>440</v>
      </c>
      <c r="C56" s="60" t="s">
        <v>80</v>
      </c>
      <c r="D56" s="60">
        <v>1</v>
      </c>
      <c r="E56" s="60" t="s">
        <v>631</v>
      </c>
      <c r="F56" s="60" t="s">
        <v>6</v>
      </c>
    </row>
    <row r="57" spans="1:6" ht="14.25" customHeight="1">
      <c r="A57" s="52" t="s">
        <v>415</v>
      </c>
      <c r="B57" s="52" t="s">
        <v>441</v>
      </c>
      <c r="C57" s="52" t="s">
        <v>74</v>
      </c>
      <c r="D57" s="52">
        <v>1</v>
      </c>
      <c r="E57" s="52" t="s">
        <v>631</v>
      </c>
      <c r="F57" s="52" t="s">
        <v>6</v>
      </c>
    </row>
    <row r="58" spans="1:6" ht="14.25" customHeight="1">
      <c r="A58" s="60" t="s">
        <v>415</v>
      </c>
      <c r="B58" s="60" t="s">
        <v>442</v>
      </c>
      <c r="C58" s="60" t="s">
        <v>74</v>
      </c>
      <c r="D58" s="60">
        <v>1</v>
      </c>
      <c r="E58" s="60" t="s">
        <v>631</v>
      </c>
      <c r="F58" s="60" t="s">
        <v>6</v>
      </c>
    </row>
    <row r="59" spans="1:6" ht="14.25" customHeight="1">
      <c r="A59" s="52" t="s">
        <v>415</v>
      </c>
      <c r="B59" s="52" t="s">
        <v>443</v>
      </c>
      <c r="C59" s="52" t="s">
        <v>74</v>
      </c>
      <c r="D59" s="52">
        <v>1</v>
      </c>
      <c r="E59" s="52" t="s">
        <v>632</v>
      </c>
      <c r="F59" s="52" t="s">
        <v>6</v>
      </c>
    </row>
    <row r="60" spans="1:6" ht="14.25" customHeight="1">
      <c r="A60" s="60" t="s">
        <v>415</v>
      </c>
      <c r="B60" s="60" t="s">
        <v>444</v>
      </c>
      <c r="C60" s="60" t="s">
        <v>74</v>
      </c>
      <c r="D60" s="60">
        <v>1</v>
      </c>
      <c r="E60" s="60" t="s">
        <v>632</v>
      </c>
      <c r="F60" s="60" t="s">
        <v>6</v>
      </c>
    </row>
    <row r="61" spans="1:6" ht="14.25" customHeight="1">
      <c r="A61" s="52" t="s">
        <v>415</v>
      </c>
      <c r="B61" s="52" t="s">
        <v>444</v>
      </c>
      <c r="C61" s="52" t="s">
        <v>80</v>
      </c>
      <c r="D61" s="52">
        <v>1</v>
      </c>
      <c r="E61" s="52" t="s">
        <v>632</v>
      </c>
      <c r="F61" s="52" t="s">
        <v>6</v>
      </c>
    </row>
    <row r="62" spans="1:6" ht="14.25" customHeight="1">
      <c r="A62" s="60" t="s">
        <v>391</v>
      </c>
      <c r="B62" s="60" t="s">
        <v>392</v>
      </c>
      <c r="C62" s="60" t="s">
        <v>74</v>
      </c>
      <c r="D62" s="60">
        <v>2</v>
      </c>
      <c r="E62" s="60" t="s">
        <v>633</v>
      </c>
      <c r="F62" s="60" t="s">
        <v>6</v>
      </c>
    </row>
    <row r="63" spans="1:6" ht="14.25" customHeight="1">
      <c r="A63" s="52" t="s">
        <v>391</v>
      </c>
      <c r="B63" s="52" t="s">
        <v>392</v>
      </c>
      <c r="C63" s="52" t="s">
        <v>80</v>
      </c>
      <c r="D63" s="52">
        <v>1</v>
      </c>
      <c r="E63" s="52" t="s">
        <v>633</v>
      </c>
      <c r="F63" s="52" t="s">
        <v>6</v>
      </c>
    </row>
    <row r="64" spans="1:6" ht="14.25" customHeight="1">
      <c r="A64" s="60" t="s">
        <v>391</v>
      </c>
      <c r="B64" s="60" t="s">
        <v>392</v>
      </c>
      <c r="C64" s="60" t="s">
        <v>90</v>
      </c>
      <c r="D64" s="60">
        <v>1</v>
      </c>
      <c r="E64" s="60" t="s">
        <v>633</v>
      </c>
      <c r="F64" s="60" t="s">
        <v>6</v>
      </c>
    </row>
    <row r="65" spans="1:6" ht="14.25" customHeight="1">
      <c r="A65" s="52" t="s">
        <v>391</v>
      </c>
      <c r="B65" s="52" t="s">
        <v>393</v>
      </c>
      <c r="C65" s="52" t="s">
        <v>74</v>
      </c>
      <c r="D65" s="52">
        <v>1</v>
      </c>
      <c r="E65" s="52" t="s">
        <v>634</v>
      </c>
      <c r="F65" s="52" t="s">
        <v>6</v>
      </c>
    </row>
    <row r="66" spans="1:6" ht="14.25" customHeight="1">
      <c r="A66" s="60" t="s">
        <v>391</v>
      </c>
      <c r="B66" s="60" t="s">
        <v>393</v>
      </c>
      <c r="C66" s="60" t="s">
        <v>80</v>
      </c>
      <c r="D66" s="60">
        <v>1</v>
      </c>
      <c r="E66" s="60" t="s">
        <v>634</v>
      </c>
      <c r="F66" s="60" t="s">
        <v>6</v>
      </c>
    </row>
    <row r="67" spans="1:6" ht="14.25" customHeight="1">
      <c r="A67" s="52" t="s">
        <v>391</v>
      </c>
      <c r="B67" s="52" t="s">
        <v>393</v>
      </c>
      <c r="C67" s="52" t="s">
        <v>118</v>
      </c>
      <c r="D67" s="52">
        <v>1</v>
      </c>
      <c r="E67" s="52" t="s">
        <v>634</v>
      </c>
      <c r="F67" s="52" t="s">
        <v>6</v>
      </c>
    </row>
    <row r="68" spans="1:6" ht="14.25" customHeight="1">
      <c r="A68" s="60" t="s">
        <v>391</v>
      </c>
      <c r="B68" s="60" t="s">
        <v>394</v>
      </c>
      <c r="C68" s="60" t="s">
        <v>74</v>
      </c>
      <c r="D68" s="60">
        <v>1</v>
      </c>
      <c r="E68" s="60" t="s">
        <v>635</v>
      </c>
      <c r="F68" s="60" t="s">
        <v>6</v>
      </c>
    </row>
    <row r="69" spans="1:6" ht="14.25" customHeight="1">
      <c r="A69" s="52" t="s">
        <v>391</v>
      </c>
      <c r="B69" s="52" t="s">
        <v>394</v>
      </c>
      <c r="C69" s="52" t="s">
        <v>80</v>
      </c>
      <c r="D69" s="52">
        <v>1</v>
      </c>
      <c r="E69" s="52" t="s">
        <v>635</v>
      </c>
      <c r="F69" s="52" t="s">
        <v>6</v>
      </c>
    </row>
    <row r="70" spans="1:6" ht="14.25" customHeight="1">
      <c r="A70" s="60" t="s">
        <v>391</v>
      </c>
      <c r="B70" s="60" t="s">
        <v>394</v>
      </c>
      <c r="C70" s="60" t="s">
        <v>118</v>
      </c>
      <c r="D70" s="60">
        <v>1</v>
      </c>
      <c r="E70" s="60" t="s">
        <v>635</v>
      </c>
      <c r="F70" s="60" t="s">
        <v>6</v>
      </c>
    </row>
    <row r="71" spans="1:6" ht="14.25" customHeight="1">
      <c r="A71" s="52" t="s">
        <v>391</v>
      </c>
      <c r="B71" s="52" t="s">
        <v>395</v>
      </c>
      <c r="C71" s="52" t="s">
        <v>74</v>
      </c>
      <c r="D71" s="52">
        <v>1</v>
      </c>
      <c r="E71" s="52" t="s">
        <v>636</v>
      </c>
      <c r="F71" s="52" t="s">
        <v>6</v>
      </c>
    </row>
    <row r="72" spans="1:6" ht="14.25" customHeight="1">
      <c r="A72" s="60" t="s">
        <v>391</v>
      </c>
      <c r="B72" s="60" t="s">
        <v>395</v>
      </c>
      <c r="C72" s="60" t="s">
        <v>80</v>
      </c>
      <c r="D72" s="60">
        <v>1</v>
      </c>
      <c r="E72" s="60" t="s">
        <v>636</v>
      </c>
      <c r="F72" s="60" t="s">
        <v>6</v>
      </c>
    </row>
    <row r="73" spans="1:6" ht="14.25" customHeight="1">
      <c r="A73" s="52" t="s">
        <v>391</v>
      </c>
      <c r="B73" s="52" t="s">
        <v>395</v>
      </c>
      <c r="C73" s="52" t="s">
        <v>118</v>
      </c>
      <c r="D73" s="52">
        <v>1</v>
      </c>
      <c r="E73" s="52" t="s">
        <v>636</v>
      </c>
      <c r="F73" s="52" t="s">
        <v>6</v>
      </c>
    </row>
    <row r="74" spans="1:6" ht="14.25" customHeight="1">
      <c r="A74" s="60" t="s">
        <v>391</v>
      </c>
      <c r="B74" s="60" t="s">
        <v>396</v>
      </c>
      <c r="C74" s="60" t="s">
        <v>74</v>
      </c>
      <c r="D74" s="60">
        <v>1</v>
      </c>
      <c r="E74" s="60" t="s">
        <v>637</v>
      </c>
      <c r="F74" s="60" t="s">
        <v>6</v>
      </c>
    </row>
    <row r="75" spans="1:6" ht="14.25" customHeight="1">
      <c r="A75" s="52" t="s">
        <v>391</v>
      </c>
      <c r="B75" s="52" t="s">
        <v>396</v>
      </c>
      <c r="C75" s="52" t="s">
        <v>80</v>
      </c>
      <c r="D75" s="52">
        <v>2</v>
      </c>
      <c r="E75" s="52" t="s">
        <v>637</v>
      </c>
      <c r="F75" s="52" t="s">
        <v>6</v>
      </c>
    </row>
    <row r="76" spans="1:6" ht="14.25" customHeight="1">
      <c r="A76" s="60" t="s">
        <v>391</v>
      </c>
      <c r="B76" s="60" t="s">
        <v>396</v>
      </c>
      <c r="C76" s="60" t="s">
        <v>118</v>
      </c>
      <c r="D76" s="60">
        <v>1</v>
      </c>
      <c r="E76" s="60" t="s">
        <v>637</v>
      </c>
      <c r="F76" s="60" t="s">
        <v>6</v>
      </c>
    </row>
    <row r="77" spans="1:6" ht="14.25" customHeight="1">
      <c r="A77" s="52" t="s">
        <v>391</v>
      </c>
      <c r="B77" s="52" t="s">
        <v>397</v>
      </c>
      <c r="C77" s="52" t="s">
        <v>74</v>
      </c>
      <c r="D77" s="52">
        <v>1</v>
      </c>
      <c r="E77" s="52" t="s">
        <v>638</v>
      </c>
      <c r="F77" s="52" t="s">
        <v>6</v>
      </c>
    </row>
    <row r="78" spans="1:6" ht="14.25" customHeight="1">
      <c r="A78" s="60" t="s">
        <v>391</v>
      </c>
      <c r="B78" s="60" t="s">
        <v>397</v>
      </c>
      <c r="C78" s="60" t="s">
        <v>80</v>
      </c>
      <c r="D78" s="60">
        <v>1</v>
      </c>
      <c r="E78" s="60" t="s">
        <v>638</v>
      </c>
      <c r="F78" s="60" t="s">
        <v>6</v>
      </c>
    </row>
    <row r="79" spans="1:6" ht="14.25" customHeight="1">
      <c r="A79" s="52" t="s">
        <v>391</v>
      </c>
      <c r="B79" s="52" t="s">
        <v>398</v>
      </c>
      <c r="C79" s="52" t="s">
        <v>74</v>
      </c>
      <c r="D79" s="52">
        <v>1</v>
      </c>
      <c r="E79" s="52" t="s">
        <v>638</v>
      </c>
      <c r="F79" s="52" t="s">
        <v>6</v>
      </c>
    </row>
    <row r="80" spans="1:6" ht="14.25" customHeight="1">
      <c r="A80" s="60" t="s">
        <v>391</v>
      </c>
      <c r="B80" s="60" t="s">
        <v>398</v>
      </c>
      <c r="C80" s="60" t="s">
        <v>80</v>
      </c>
      <c r="D80" s="60">
        <v>1</v>
      </c>
      <c r="E80" s="60" t="s">
        <v>639</v>
      </c>
      <c r="F80" s="60" t="s">
        <v>6</v>
      </c>
    </row>
    <row r="81" spans="1:6" ht="14.25" customHeight="1">
      <c r="A81" s="52" t="s">
        <v>391</v>
      </c>
      <c r="B81" s="52" t="s">
        <v>399</v>
      </c>
      <c r="C81" s="52" t="s">
        <v>74</v>
      </c>
      <c r="D81" s="52">
        <v>1</v>
      </c>
      <c r="E81" s="52" t="s">
        <v>639</v>
      </c>
      <c r="F81" s="52" t="s">
        <v>6</v>
      </c>
    </row>
    <row r="82" spans="1:6" ht="14.25" customHeight="1">
      <c r="A82" s="60" t="s">
        <v>391</v>
      </c>
      <c r="B82" s="60" t="s">
        <v>399</v>
      </c>
      <c r="C82" s="60" t="s">
        <v>80</v>
      </c>
      <c r="D82" s="60">
        <v>1</v>
      </c>
      <c r="E82" s="60" t="s">
        <v>639</v>
      </c>
      <c r="F82" s="60" t="s">
        <v>6</v>
      </c>
    </row>
    <row r="83" spans="1:6" ht="14.25" customHeight="1">
      <c r="A83" s="52" t="s">
        <v>391</v>
      </c>
      <c r="B83" s="52" t="s">
        <v>400</v>
      </c>
      <c r="C83" s="52" t="s">
        <v>74</v>
      </c>
      <c r="D83" s="52">
        <v>1</v>
      </c>
      <c r="E83" s="52" t="s">
        <v>588</v>
      </c>
      <c r="F83" s="52" t="s">
        <v>6</v>
      </c>
    </row>
    <row r="84" spans="1:6" ht="14.25" customHeight="1">
      <c r="A84" s="60" t="s">
        <v>391</v>
      </c>
      <c r="B84" s="60" t="s">
        <v>400</v>
      </c>
      <c r="C84" s="60" t="s">
        <v>80</v>
      </c>
      <c r="D84" s="60">
        <v>1</v>
      </c>
      <c r="E84" s="60" t="s">
        <v>588</v>
      </c>
      <c r="F84" s="60" t="s">
        <v>6</v>
      </c>
    </row>
    <row r="85" spans="1:6" ht="14.25" customHeight="1">
      <c r="A85" s="52" t="s">
        <v>391</v>
      </c>
      <c r="B85" s="52" t="s">
        <v>401</v>
      </c>
      <c r="C85" s="52" t="s">
        <v>74</v>
      </c>
      <c r="D85" s="52">
        <v>1</v>
      </c>
      <c r="E85" s="52" t="s">
        <v>588</v>
      </c>
      <c r="F85" s="52" t="s">
        <v>6</v>
      </c>
    </row>
    <row r="86" spans="1:6" ht="14.25" customHeight="1">
      <c r="A86" s="60" t="s">
        <v>391</v>
      </c>
      <c r="B86" s="60" t="s">
        <v>401</v>
      </c>
      <c r="C86" s="60" t="s">
        <v>80</v>
      </c>
      <c r="D86" s="60">
        <v>1</v>
      </c>
      <c r="E86" s="60" t="s">
        <v>640</v>
      </c>
      <c r="F86" s="60" t="s">
        <v>6</v>
      </c>
    </row>
    <row r="87" spans="1:6" ht="14.25" customHeight="1">
      <c r="A87" s="52" t="s">
        <v>391</v>
      </c>
      <c r="B87" s="52" t="s">
        <v>402</v>
      </c>
      <c r="C87" s="52" t="s">
        <v>74</v>
      </c>
      <c r="D87" s="52">
        <v>1</v>
      </c>
      <c r="E87" s="52" t="s">
        <v>640</v>
      </c>
      <c r="F87" s="52" t="s">
        <v>6</v>
      </c>
    </row>
    <row r="88" spans="1:6" ht="14.25" customHeight="1">
      <c r="A88" s="60" t="s">
        <v>391</v>
      </c>
      <c r="B88" s="60" t="s">
        <v>402</v>
      </c>
      <c r="C88" s="60" t="s">
        <v>80</v>
      </c>
      <c r="D88" s="60">
        <v>1</v>
      </c>
      <c r="E88" s="60" t="s">
        <v>640</v>
      </c>
      <c r="F88" s="60" t="s">
        <v>6</v>
      </c>
    </row>
    <row r="89" spans="1:6" ht="14.25" customHeight="1">
      <c r="A89" s="52" t="s">
        <v>391</v>
      </c>
      <c r="B89" s="52" t="s">
        <v>403</v>
      </c>
      <c r="C89" s="52" t="s">
        <v>74</v>
      </c>
      <c r="D89" s="52">
        <v>2</v>
      </c>
      <c r="E89" s="52" t="s">
        <v>594</v>
      </c>
      <c r="F89" s="52" t="s">
        <v>6</v>
      </c>
    </row>
    <row r="90" spans="1:6" ht="14.25" customHeight="1">
      <c r="A90" s="60" t="s">
        <v>391</v>
      </c>
      <c r="B90" s="60" t="s">
        <v>403</v>
      </c>
      <c r="C90" s="60" t="s">
        <v>80</v>
      </c>
      <c r="D90" s="60">
        <v>2</v>
      </c>
      <c r="E90" s="60" t="s">
        <v>594</v>
      </c>
      <c r="F90" s="60" t="s">
        <v>6</v>
      </c>
    </row>
    <row r="91" spans="1:6" ht="14.25" customHeight="1">
      <c r="A91" s="52" t="s">
        <v>391</v>
      </c>
      <c r="B91" s="52" t="s">
        <v>403</v>
      </c>
      <c r="C91" s="52" t="s">
        <v>118</v>
      </c>
      <c r="D91" s="52">
        <v>1</v>
      </c>
      <c r="E91" s="52" t="s">
        <v>594</v>
      </c>
      <c r="F91" s="52" t="s">
        <v>6</v>
      </c>
    </row>
    <row r="92" spans="1:6" ht="14.25" customHeight="1">
      <c r="A92" s="60" t="s">
        <v>391</v>
      </c>
      <c r="B92" s="60" t="s">
        <v>404</v>
      </c>
      <c r="C92" s="60" t="s">
        <v>74</v>
      </c>
      <c r="D92" s="60">
        <v>1</v>
      </c>
      <c r="E92" s="60" t="s">
        <v>595</v>
      </c>
      <c r="F92" s="60" t="s">
        <v>6</v>
      </c>
    </row>
    <row r="93" spans="1:6" ht="14.25" customHeight="1">
      <c r="A93" s="52" t="s">
        <v>391</v>
      </c>
      <c r="B93" s="52" t="s">
        <v>404</v>
      </c>
      <c r="C93" s="52" t="s">
        <v>80</v>
      </c>
      <c r="D93" s="52">
        <v>1</v>
      </c>
      <c r="E93" s="52" t="s">
        <v>595</v>
      </c>
      <c r="F93" s="52" t="s">
        <v>6</v>
      </c>
    </row>
    <row r="94" spans="1:6" ht="14.25" customHeight="1">
      <c r="A94" s="60" t="s">
        <v>405</v>
      </c>
      <c r="B94" s="60" t="s">
        <v>406</v>
      </c>
      <c r="C94" s="60" t="s">
        <v>74</v>
      </c>
      <c r="D94" s="60">
        <v>2</v>
      </c>
      <c r="E94" s="60" t="s">
        <v>641</v>
      </c>
      <c r="F94" s="60" t="s">
        <v>6</v>
      </c>
    </row>
    <row r="95" spans="1:6" ht="14.25" customHeight="1">
      <c r="A95" s="52" t="s">
        <v>405</v>
      </c>
      <c r="B95" s="52" t="s">
        <v>406</v>
      </c>
      <c r="C95" s="52" t="s">
        <v>80</v>
      </c>
      <c r="D95" s="52">
        <v>1</v>
      </c>
      <c r="E95" s="52" t="s">
        <v>641</v>
      </c>
      <c r="F95" s="52" t="s">
        <v>6</v>
      </c>
    </row>
    <row r="96" spans="1:6" ht="14.25" customHeight="1">
      <c r="A96" s="60" t="s">
        <v>405</v>
      </c>
      <c r="B96" s="60" t="s">
        <v>406</v>
      </c>
      <c r="C96" s="60" t="s">
        <v>118</v>
      </c>
      <c r="D96" s="60">
        <v>1</v>
      </c>
      <c r="E96" s="60" t="s">
        <v>641</v>
      </c>
      <c r="F96" s="60" t="s">
        <v>6</v>
      </c>
    </row>
    <row r="97" spans="1:6" ht="14.25" customHeight="1">
      <c r="A97" s="52" t="s">
        <v>405</v>
      </c>
      <c r="B97" s="52" t="s">
        <v>407</v>
      </c>
      <c r="C97" s="52" t="s">
        <v>74</v>
      </c>
      <c r="D97" s="52">
        <v>1</v>
      </c>
      <c r="E97" s="52" t="s">
        <v>641</v>
      </c>
      <c r="F97" s="52" t="s">
        <v>6</v>
      </c>
    </row>
    <row r="98" spans="1:6" ht="14.25" customHeight="1">
      <c r="A98" s="60" t="s">
        <v>405</v>
      </c>
      <c r="B98" s="60" t="s">
        <v>407</v>
      </c>
      <c r="C98" s="60" t="s">
        <v>80</v>
      </c>
      <c r="D98" s="60">
        <v>1</v>
      </c>
      <c r="E98" s="60" t="s">
        <v>642</v>
      </c>
      <c r="F98" s="60" t="s">
        <v>6</v>
      </c>
    </row>
    <row r="99" spans="1:6" ht="14.25" customHeight="1">
      <c r="A99" s="52" t="s">
        <v>405</v>
      </c>
      <c r="B99" s="52" t="s">
        <v>407</v>
      </c>
      <c r="C99" s="52" t="s">
        <v>118</v>
      </c>
      <c r="D99" s="52">
        <v>1</v>
      </c>
      <c r="E99" s="52" t="s">
        <v>642</v>
      </c>
      <c r="F99" s="52" t="s">
        <v>6</v>
      </c>
    </row>
    <row r="100" spans="1:6" ht="14.25" customHeight="1">
      <c r="A100" s="60" t="s">
        <v>405</v>
      </c>
      <c r="B100" s="60" t="s">
        <v>408</v>
      </c>
      <c r="C100" s="60" t="s">
        <v>74</v>
      </c>
      <c r="D100" s="60">
        <v>1</v>
      </c>
      <c r="E100" s="60" t="s">
        <v>642</v>
      </c>
      <c r="F100" s="60" t="s">
        <v>6</v>
      </c>
    </row>
    <row r="101" spans="1:6" ht="14.25" customHeight="1">
      <c r="A101" s="52" t="s">
        <v>405</v>
      </c>
      <c r="B101" s="52" t="s">
        <v>408</v>
      </c>
      <c r="C101" s="52" t="s">
        <v>80</v>
      </c>
      <c r="D101" s="52">
        <v>1</v>
      </c>
      <c r="E101" s="52" t="s">
        <v>642</v>
      </c>
      <c r="F101" s="52" t="s">
        <v>6</v>
      </c>
    </row>
    <row r="102" spans="1:6" ht="14.25" customHeight="1">
      <c r="A102" s="60" t="s">
        <v>405</v>
      </c>
      <c r="B102" s="60" t="s">
        <v>408</v>
      </c>
      <c r="C102" s="60" t="s">
        <v>118</v>
      </c>
      <c r="D102" s="60">
        <v>1</v>
      </c>
      <c r="E102" s="60" t="s">
        <v>643</v>
      </c>
      <c r="F102" s="60" t="s">
        <v>6</v>
      </c>
    </row>
    <row r="103" spans="1:6" ht="14.25" customHeight="1">
      <c r="A103" s="52" t="s">
        <v>405</v>
      </c>
      <c r="B103" s="52" t="s">
        <v>409</v>
      </c>
      <c r="C103" s="52" t="s">
        <v>74</v>
      </c>
      <c r="D103" s="52">
        <v>1</v>
      </c>
      <c r="E103" s="52" t="s">
        <v>643</v>
      </c>
      <c r="F103" s="52" t="s">
        <v>6</v>
      </c>
    </row>
    <row r="104" spans="1:6" ht="14.25" customHeight="1">
      <c r="A104" s="60" t="s">
        <v>405</v>
      </c>
      <c r="B104" s="60" t="s">
        <v>409</v>
      </c>
      <c r="C104" s="60" t="s">
        <v>80</v>
      </c>
      <c r="D104" s="60">
        <v>1</v>
      </c>
      <c r="E104" s="60" t="s">
        <v>643</v>
      </c>
      <c r="F104" s="60" t="s">
        <v>6</v>
      </c>
    </row>
    <row r="105" spans="1:6" ht="14.25" customHeight="1">
      <c r="A105" s="52" t="s">
        <v>405</v>
      </c>
      <c r="B105" s="52" t="s">
        <v>410</v>
      </c>
      <c r="C105" s="52" t="s">
        <v>74</v>
      </c>
      <c r="D105" s="52">
        <v>1</v>
      </c>
      <c r="E105" s="52" t="s">
        <v>580</v>
      </c>
      <c r="F105" s="52" t="s">
        <v>6</v>
      </c>
    </row>
    <row r="106" spans="1:6" ht="14.25" customHeight="1">
      <c r="A106" s="60" t="s">
        <v>405</v>
      </c>
      <c r="B106" s="60" t="s">
        <v>410</v>
      </c>
      <c r="C106" s="60" t="s">
        <v>80</v>
      </c>
      <c r="D106" s="60">
        <v>1</v>
      </c>
      <c r="E106" s="60" t="s">
        <v>580</v>
      </c>
      <c r="F106" s="60" t="s">
        <v>6</v>
      </c>
    </row>
    <row r="107" spans="1:6" ht="14.25" customHeight="1">
      <c r="A107" s="52" t="s">
        <v>405</v>
      </c>
      <c r="B107" s="52" t="s">
        <v>411</v>
      </c>
      <c r="C107" s="52" t="s">
        <v>74</v>
      </c>
      <c r="D107" s="52">
        <v>1</v>
      </c>
      <c r="E107" s="52" t="s">
        <v>580</v>
      </c>
      <c r="F107" s="52" t="s">
        <v>6</v>
      </c>
    </row>
    <row r="108" spans="1:6" ht="14.25" customHeight="1">
      <c r="A108" s="60" t="s">
        <v>405</v>
      </c>
      <c r="B108" s="60" t="s">
        <v>411</v>
      </c>
      <c r="C108" s="60" t="s">
        <v>80</v>
      </c>
      <c r="D108" s="60">
        <v>1</v>
      </c>
      <c r="E108" s="60" t="s">
        <v>580</v>
      </c>
      <c r="F108" s="60" t="s">
        <v>6</v>
      </c>
    </row>
    <row r="109" spans="1:6" ht="14.25" customHeight="1">
      <c r="A109" s="52" t="s">
        <v>405</v>
      </c>
      <c r="B109" s="52" t="s">
        <v>412</v>
      </c>
      <c r="C109" s="52" t="s">
        <v>74</v>
      </c>
      <c r="D109" s="52">
        <v>1</v>
      </c>
      <c r="E109" s="52" t="s">
        <v>644</v>
      </c>
      <c r="F109" s="52" t="s">
        <v>6</v>
      </c>
    </row>
    <row r="110" spans="1:6" ht="14.25" customHeight="1">
      <c r="A110" s="60" t="s">
        <v>405</v>
      </c>
      <c r="B110" s="60" t="s">
        <v>412</v>
      </c>
      <c r="C110" s="60" t="s">
        <v>80</v>
      </c>
      <c r="D110" s="60">
        <v>1</v>
      </c>
      <c r="E110" s="60" t="s">
        <v>644</v>
      </c>
      <c r="F110" s="60" t="s">
        <v>6</v>
      </c>
    </row>
    <row r="111" spans="1:6" ht="14.25" customHeight="1">
      <c r="A111" s="52" t="s">
        <v>405</v>
      </c>
      <c r="B111" s="52" t="s">
        <v>413</v>
      </c>
      <c r="C111" s="52" t="s">
        <v>74</v>
      </c>
      <c r="D111" s="52">
        <v>1</v>
      </c>
      <c r="E111" s="52" t="s">
        <v>644</v>
      </c>
      <c r="F111" s="52" t="s">
        <v>6</v>
      </c>
    </row>
    <row r="112" spans="1:6" ht="14.25" customHeight="1">
      <c r="A112" s="60" t="s">
        <v>405</v>
      </c>
      <c r="B112" s="60" t="s">
        <v>413</v>
      </c>
      <c r="C112" s="60" t="s">
        <v>80</v>
      </c>
      <c r="D112" s="60">
        <v>1</v>
      </c>
      <c r="E112" s="60" t="s">
        <v>644</v>
      </c>
      <c r="F112" s="60" t="s">
        <v>6</v>
      </c>
    </row>
    <row r="113" spans="1:6" ht="14.25" customHeight="1">
      <c r="A113" s="52" t="s">
        <v>405</v>
      </c>
      <c r="B113" s="52" t="s">
        <v>413</v>
      </c>
      <c r="C113" s="52" t="s">
        <v>118</v>
      </c>
      <c r="D113" s="52">
        <v>1</v>
      </c>
      <c r="E113" s="52" t="s">
        <v>650</v>
      </c>
      <c r="F113" s="52" t="s">
        <v>6</v>
      </c>
    </row>
    <row r="114" spans="1:6" ht="14.25" customHeight="1">
      <c r="A114" s="60" t="s">
        <v>405</v>
      </c>
      <c r="B114" s="60" t="s">
        <v>414</v>
      </c>
      <c r="C114" s="60" t="s">
        <v>74</v>
      </c>
      <c r="D114" s="60">
        <v>1</v>
      </c>
      <c r="E114" s="60" t="s">
        <v>650</v>
      </c>
      <c r="F114" s="60" t="s">
        <v>6</v>
      </c>
    </row>
    <row r="115" spans="1:6" ht="14.25" customHeight="1">
      <c r="A115" s="52" t="s">
        <v>405</v>
      </c>
      <c r="B115" s="52" t="s">
        <v>414</v>
      </c>
      <c r="C115" s="52" t="s">
        <v>80</v>
      </c>
      <c r="D115" s="52">
        <v>1</v>
      </c>
      <c r="E115" s="52" t="s">
        <v>650</v>
      </c>
      <c r="F115" s="52" t="s">
        <v>6</v>
      </c>
    </row>
    <row r="116" spans="1:6" ht="14.25" customHeight="1">
      <c r="A116" s="61" t="s">
        <v>453</v>
      </c>
      <c r="B116" s="60" t="s">
        <v>77</v>
      </c>
      <c r="C116" s="60" t="s">
        <v>78</v>
      </c>
      <c r="D116" s="60">
        <v>11</v>
      </c>
      <c r="E116" s="60" t="s">
        <v>651</v>
      </c>
      <c r="F116" s="60" t="s">
        <v>6</v>
      </c>
    </row>
    <row r="117" spans="1:6" ht="14.25" customHeight="1">
      <c r="A117" s="59" t="s">
        <v>453</v>
      </c>
      <c r="B117" s="52" t="s">
        <v>356</v>
      </c>
      <c r="C117" s="52" t="s">
        <v>118</v>
      </c>
      <c r="D117" s="52">
        <v>1</v>
      </c>
      <c r="E117" s="52" t="s">
        <v>651</v>
      </c>
      <c r="F117" s="52" t="s">
        <v>6</v>
      </c>
    </row>
    <row r="118" spans="1:6" ht="14.25" customHeight="1">
      <c r="A118" s="61" t="s">
        <v>453</v>
      </c>
      <c r="B118" s="60" t="s">
        <v>290</v>
      </c>
      <c r="C118" s="60" t="s">
        <v>74</v>
      </c>
      <c r="D118" s="60">
        <v>1</v>
      </c>
      <c r="E118" s="60" t="s">
        <v>654</v>
      </c>
      <c r="F118" s="60" t="s">
        <v>6</v>
      </c>
    </row>
    <row r="119" spans="1:6" ht="14.25" customHeight="1">
      <c r="A119" s="59" t="s">
        <v>453</v>
      </c>
      <c r="B119" s="52" t="s">
        <v>454</v>
      </c>
      <c r="C119" s="52" t="s">
        <v>74</v>
      </c>
      <c r="D119" s="52">
        <v>1</v>
      </c>
      <c r="E119" s="52" t="s">
        <v>655</v>
      </c>
      <c r="F119" s="52" t="s">
        <v>6</v>
      </c>
    </row>
    <row r="120" spans="1:6" ht="14.25" customHeight="1">
      <c r="A120" s="61" t="s">
        <v>453</v>
      </c>
      <c r="B120" s="60" t="s">
        <v>454</v>
      </c>
      <c r="C120" s="60" t="s">
        <v>80</v>
      </c>
      <c r="D120" s="60">
        <v>1</v>
      </c>
      <c r="E120" s="60" t="s">
        <v>655</v>
      </c>
      <c r="F120" s="60" t="s">
        <v>6</v>
      </c>
    </row>
    <row r="121" spans="1:6" ht="14.25" customHeight="1">
      <c r="A121" s="59" t="s">
        <v>453</v>
      </c>
      <c r="B121" s="52" t="s">
        <v>455</v>
      </c>
      <c r="C121" s="52" t="s">
        <v>74</v>
      </c>
      <c r="D121" s="52">
        <v>1</v>
      </c>
      <c r="E121" s="52" t="s">
        <v>656</v>
      </c>
      <c r="F121" s="52" t="s">
        <v>6</v>
      </c>
    </row>
    <row r="122" spans="1:6" ht="14.25" customHeight="1">
      <c r="A122" s="61" t="s">
        <v>453</v>
      </c>
      <c r="B122" s="60" t="s">
        <v>455</v>
      </c>
      <c r="C122" s="60" t="s">
        <v>80</v>
      </c>
      <c r="D122" s="60">
        <v>1</v>
      </c>
      <c r="E122" s="60" t="s">
        <v>586</v>
      </c>
      <c r="F122" s="60" t="s">
        <v>6</v>
      </c>
    </row>
    <row r="123" spans="1:6" ht="14.25" customHeight="1">
      <c r="A123" s="59" t="s">
        <v>448</v>
      </c>
      <c r="B123" s="52" t="s">
        <v>447</v>
      </c>
      <c r="C123" s="52" t="s">
        <v>74</v>
      </c>
      <c r="D123" s="52">
        <v>2</v>
      </c>
      <c r="E123" s="52" t="s">
        <v>589</v>
      </c>
      <c r="F123" s="52" t="s">
        <v>6</v>
      </c>
    </row>
    <row r="124" spans="1:6" ht="14.25" customHeight="1">
      <c r="A124" s="61" t="s">
        <v>448</v>
      </c>
      <c r="B124" s="60" t="s">
        <v>447</v>
      </c>
      <c r="C124" s="60" t="s">
        <v>80</v>
      </c>
      <c r="D124" s="60">
        <v>1</v>
      </c>
      <c r="E124" s="60" t="s">
        <v>589</v>
      </c>
      <c r="F124" s="60" t="s">
        <v>6</v>
      </c>
    </row>
    <row r="125" spans="1:6" ht="14.25" customHeight="1">
      <c r="A125" s="52" t="s">
        <v>445</v>
      </c>
      <c r="B125" s="52" t="s">
        <v>445</v>
      </c>
      <c r="C125" s="52" t="s">
        <v>74</v>
      </c>
      <c r="D125" s="52">
        <v>1</v>
      </c>
      <c r="E125" s="52" t="s">
        <v>652</v>
      </c>
      <c r="F125" s="52" t="s">
        <v>6</v>
      </c>
    </row>
    <row r="126" spans="1:6" ht="14.25" customHeight="1">
      <c r="A126" s="60" t="s">
        <v>445</v>
      </c>
      <c r="B126" s="60" t="s">
        <v>445</v>
      </c>
      <c r="C126" s="60" t="s">
        <v>80</v>
      </c>
      <c r="D126" s="60">
        <v>1</v>
      </c>
      <c r="E126" s="60" t="s">
        <v>652</v>
      </c>
      <c r="F126" s="60" t="s">
        <v>6</v>
      </c>
    </row>
    <row r="127" spans="1:6" ht="14.25" customHeight="1">
      <c r="A127" s="59" t="s">
        <v>446</v>
      </c>
      <c r="B127" s="52" t="s">
        <v>447</v>
      </c>
      <c r="C127" s="52" t="s">
        <v>74</v>
      </c>
      <c r="D127" s="52">
        <v>1</v>
      </c>
      <c r="E127" s="52" t="s">
        <v>653</v>
      </c>
      <c r="F127" s="52" t="s">
        <v>6</v>
      </c>
    </row>
    <row r="128" spans="1:6" ht="14.25" customHeight="1">
      <c r="A128" s="61" t="s">
        <v>446</v>
      </c>
      <c r="B128" s="60" t="s">
        <v>447</v>
      </c>
      <c r="C128" s="60" t="s">
        <v>80</v>
      </c>
      <c r="D128" s="60">
        <v>1</v>
      </c>
      <c r="E128" s="60" t="s">
        <v>653</v>
      </c>
      <c r="F128" s="60" t="s">
        <v>6</v>
      </c>
    </row>
    <row r="129" spans="1:6" ht="14.25" customHeight="1">
      <c r="A129" s="52" t="s">
        <v>389</v>
      </c>
      <c r="B129" s="59" t="s">
        <v>390</v>
      </c>
      <c r="C129" s="52" t="s">
        <v>74</v>
      </c>
      <c r="D129" s="52">
        <v>1</v>
      </c>
      <c r="E129" s="52" t="s">
        <v>596</v>
      </c>
      <c r="F129" s="52" t="s">
        <v>6</v>
      </c>
    </row>
    <row r="130" spans="1:6" ht="14.25" customHeight="1">
      <c r="A130" s="61" t="s">
        <v>449</v>
      </c>
      <c r="B130" s="60" t="s">
        <v>450</v>
      </c>
      <c r="C130" s="60" t="s">
        <v>74</v>
      </c>
      <c r="D130" s="60">
        <v>1</v>
      </c>
      <c r="E130" s="60" t="s">
        <v>597</v>
      </c>
      <c r="F130" s="60" t="s">
        <v>6</v>
      </c>
    </row>
    <row r="131" spans="1:6" ht="14.25" customHeight="1">
      <c r="A131" s="59" t="s">
        <v>451</v>
      </c>
      <c r="B131" s="52" t="s">
        <v>452</v>
      </c>
      <c r="C131" s="52" t="s">
        <v>74</v>
      </c>
      <c r="D131" s="52">
        <v>1</v>
      </c>
      <c r="E131" s="52" t="s">
        <v>587</v>
      </c>
      <c r="F131" s="52" t="s">
        <v>6</v>
      </c>
    </row>
    <row r="132" spans="1:6" ht="15" customHeight="1"/>
    <row r="133" spans="1:6" ht="15" customHeight="1"/>
    <row r="134" spans="1:6" ht="14.25" customHeight="1">
      <c r="A134" s="7" t="s">
        <v>731</v>
      </c>
    </row>
    <row r="135" spans="1:6" ht="14.25" customHeight="1">
      <c r="A135" t="s">
        <v>74</v>
      </c>
      <c r="B135">
        <v>66</v>
      </c>
    </row>
    <row r="136" spans="1:6" ht="14.25" customHeight="1">
      <c r="A136" t="s">
        <v>80</v>
      </c>
      <c r="B136">
        <v>47</v>
      </c>
    </row>
    <row r="137" spans="1:6" ht="14.25" customHeight="1">
      <c r="A137" t="s">
        <v>118</v>
      </c>
      <c r="B137">
        <v>15</v>
      </c>
    </row>
    <row r="138" spans="1:6" ht="14.25" customHeight="1">
      <c r="A138" t="s">
        <v>78</v>
      </c>
      <c r="B138">
        <v>11</v>
      </c>
    </row>
    <row r="139" spans="1:6" ht="14.25" customHeight="1">
      <c r="A139" t="s">
        <v>90</v>
      </c>
      <c r="B139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4"/>
  <sheetViews>
    <sheetView zoomScaleNormal="100" workbookViewId="0"/>
  </sheetViews>
  <sheetFormatPr defaultColWidth="8.85546875" defaultRowHeight="14.25" customHeight="1"/>
  <cols>
    <col min="1" max="1" width="50" customWidth="1"/>
    <col min="2" max="2" width="31" customWidth="1"/>
    <col min="3" max="3" width="27" customWidth="1"/>
    <col min="4" max="4" width="5" customWidth="1"/>
    <col min="5" max="5" width="16" customWidth="1"/>
    <col min="6" max="6" width="9" customWidth="1"/>
  </cols>
  <sheetData>
    <row r="1" spans="1:6" ht="18" customHeight="1">
      <c r="A1" s="90" t="s">
        <v>742</v>
      </c>
    </row>
    <row r="2" spans="1:6" ht="14.25" customHeight="1">
      <c r="A2" t="s">
        <v>743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52" t="s">
        <v>24</v>
      </c>
      <c r="B5" s="52" t="s">
        <v>77</v>
      </c>
      <c r="C5" s="52" t="s">
        <v>78</v>
      </c>
      <c r="D5" s="52">
        <v>25</v>
      </c>
      <c r="E5" s="52" t="s">
        <v>585</v>
      </c>
      <c r="F5" s="52" t="s">
        <v>6</v>
      </c>
    </row>
    <row r="6" spans="1:6" ht="14.25" customHeight="1">
      <c r="A6" s="60" t="s">
        <v>24</v>
      </c>
      <c r="B6" s="60" t="s">
        <v>472</v>
      </c>
      <c r="C6" s="60" t="s">
        <v>74</v>
      </c>
      <c r="D6" s="60">
        <v>2</v>
      </c>
      <c r="E6" s="60" t="s">
        <v>585</v>
      </c>
      <c r="F6" s="60" t="s">
        <v>6</v>
      </c>
    </row>
    <row r="7" spans="1:6" ht="14.25" customHeight="1">
      <c r="A7" s="52" t="s">
        <v>24</v>
      </c>
      <c r="B7" s="52" t="s">
        <v>473</v>
      </c>
      <c r="C7" s="52" t="s">
        <v>74</v>
      </c>
      <c r="D7" s="52">
        <v>4</v>
      </c>
      <c r="E7" s="52" t="s">
        <v>624</v>
      </c>
      <c r="F7" s="52" t="s">
        <v>6</v>
      </c>
    </row>
    <row r="8" spans="1:6" ht="14.25" customHeight="1">
      <c r="A8" s="60" t="s">
        <v>24</v>
      </c>
      <c r="B8" s="60" t="s">
        <v>474</v>
      </c>
      <c r="C8" s="60" t="s">
        <v>80</v>
      </c>
      <c r="D8" s="60">
        <v>3</v>
      </c>
      <c r="E8" s="60" t="s">
        <v>625</v>
      </c>
      <c r="F8" s="60" t="s">
        <v>6</v>
      </c>
    </row>
    <row r="9" spans="1:6" ht="14.25" customHeight="1">
      <c r="A9" s="52" t="s">
        <v>24</v>
      </c>
      <c r="B9" s="52" t="s">
        <v>475</v>
      </c>
      <c r="C9" s="52" t="s">
        <v>80</v>
      </c>
      <c r="D9" s="52">
        <v>1</v>
      </c>
      <c r="E9" s="52" t="s">
        <v>626</v>
      </c>
      <c r="F9" s="52" t="s">
        <v>6</v>
      </c>
    </row>
    <row r="10" spans="1:6" ht="14.25" customHeight="1">
      <c r="A10" s="60" t="s">
        <v>24</v>
      </c>
      <c r="B10" s="60" t="s">
        <v>476</v>
      </c>
      <c r="C10" s="60" t="s">
        <v>84</v>
      </c>
      <c r="D10" s="60">
        <v>2</v>
      </c>
      <c r="E10" s="60" t="s">
        <v>627</v>
      </c>
      <c r="F10" s="60" t="s">
        <v>6</v>
      </c>
    </row>
    <row r="11" spans="1:6" ht="14.25" customHeight="1">
      <c r="A11" s="52" t="s">
        <v>24</v>
      </c>
      <c r="B11" s="52" t="s">
        <v>477</v>
      </c>
      <c r="C11" s="52" t="s">
        <v>140</v>
      </c>
      <c r="D11" s="52">
        <v>1</v>
      </c>
      <c r="E11" s="52" t="s">
        <v>628</v>
      </c>
      <c r="F11" s="52" t="s">
        <v>6</v>
      </c>
    </row>
    <row r="12" spans="1:6" ht="14.25" customHeight="1">
      <c r="A12" s="60" t="s">
        <v>24</v>
      </c>
      <c r="B12" s="60" t="s">
        <v>477</v>
      </c>
      <c r="C12" s="60" t="s">
        <v>83</v>
      </c>
      <c r="D12" s="60">
        <v>2</v>
      </c>
      <c r="E12" s="60" t="s">
        <v>629</v>
      </c>
      <c r="F12" s="60" t="s">
        <v>6</v>
      </c>
    </row>
    <row r="13" spans="1:6" ht="14.25" customHeight="1">
      <c r="A13" s="52" t="s">
        <v>24</v>
      </c>
      <c r="B13" s="52" t="s">
        <v>478</v>
      </c>
      <c r="C13" s="52" t="s">
        <v>140</v>
      </c>
      <c r="D13" s="52">
        <v>2</v>
      </c>
      <c r="E13" s="52" t="s">
        <v>630</v>
      </c>
      <c r="F13" s="52" t="s">
        <v>6</v>
      </c>
    </row>
    <row r="14" spans="1:6" ht="14.25" customHeight="1">
      <c r="A14" s="60" t="s">
        <v>24</v>
      </c>
      <c r="B14" s="61" t="s">
        <v>479</v>
      </c>
      <c r="C14" s="60" t="s">
        <v>80</v>
      </c>
      <c r="D14" s="60">
        <v>1</v>
      </c>
      <c r="E14" s="60" t="s">
        <v>631</v>
      </c>
      <c r="F14" s="60" t="s">
        <v>6</v>
      </c>
    </row>
    <row r="15" spans="1:6" ht="14.25" customHeight="1">
      <c r="A15" s="52" t="s">
        <v>24</v>
      </c>
      <c r="B15" s="59" t="s">
        <v>480</v>
      </c>
      <c r="C15" s="52" t="s">
        <v>90</v>
      </c>
      <c r="D15" s="52">
        <v>1</v>
      </c>
      <c r="E15" s="52" t="s">
        <v>632</v>
      </c>
      <c r="F15" s="52" t="s">
        <v>6</v>
      </c>
    </row>
    <row r="16" spans="1:6" ht="14.25" customHeight="1">
      <c r="A16" s="60" t="s">
        <v>24</v>
      </c>
      <c r="B16" s="61" t="s">
        <v>483</v>
      </c>
      <c r="C16" s="60" t="s">
        <v>80</v>
      </c>
      <c r="D16" s="60">
        <v>1</v>
      </c>
      <c r="E16" s="60" t="s">
        <v>633</v>
      </c>
      <c r="F16" s="60" t="s">
        <v>6</v>
      </c>
    </row>
    <row r="17" spans="1:6" ht="14.25" customHeight="1">
      <c r="A17" s="52" t="s">
        <v>24</v>
      </c>
      <c r="B17" s="59" t="s">
        <v>484</v>
      </c>
      <c r="C17" s="52" t="s">
        <v>80</v>
      </c>
      <c r="D17" s="52">
        <v>1</v>
      </c>
      <c r="E17" s="52" t="s">
        <v>634</v>
      </c>
      <c r="F17" s="52" t="s">
        <v>6</v>
      </c>
    </row>
    <row r="18" spans="1:6" ht="14.25" customHeight="1">
      <c r="A18" s="60" t="s">
        <v>24</v>
      </c>
      <c r="B18" s="61" t="s">
        <v>481</v>
      </c>
      <c r="C18" s="60" t="s">
        <v>80</v>
      </c>
      <c r="D18" s="60">
        <v>2</v>
      </c>
      <c r="E18" s="60" t="s">
        <v>635</v>
      </c>
      <c r="F18" s="60" t="s">
        <v>6</v>
      </c>
    </row>
    <row r="19" spans="1:6" ht="14.25" customHeight="1">
      <c r="A19" s="52" t="s">
        <v>24</v>
      </c>
      <c r="B19" s="59" t="s">
        <v>482</v>
      </c>
      <c r="C19" s="52" t="s">
        <v>80</v>
      </c>
      <c r="D19" s="52">
        <v>1</v>
      </c>
      <c r="E19" s="52" t="s">
        <v>636</v>
      </c>
      <c r="F19" s="52" t="s">
        <v>6</v>
      </c>
    </row>
    <row r="20" spans="1:6" ht="14.25" customHeight="1">
      <c r="A20" s="61" t="s">
        <v>494</v>
      </c>
      <c r="B20" s="60" t="s">
        <v>77</v>
      </c>
      <c r="C20" s="60" t="s">
        <v>78</v>
      </c>
      <c r="D20" s="60">
        <v>5</v>
      </c>
      <c r="E20" s="60" t="s">
        <v>637</v>
      </c>
      <c r="F20" s="60" t="s">
        <v>6</v>
      </c>
    </row>
    <row r="21" spans="1:6" ht="14.25" customHeight="1">
      <c r="A21" s="59" t="s">
        <v>494</v>
      </c>
      <c r="B21" s="52" t="s">
        <v>495</v>
      </c>
      <c r="C21" s="52" t="s">
        <v>74</v>
      </c>
      <c r="D21" s="52">
        <v>3</v>
      </c>
      <c r="E21" s="52" t="s">
        <v>637</v>
      </c>
      <c r="F21" s="52" t="s">
        <v>6</v>
      </c>
    </row>
    <row r="22" spans="1:6" ht="14.25" customHeight="1">
      <c r="A22" s="61" t="s">
        <v>494</v>
      </c>
      <c r="B22" s="60" t="s">
        <v>496</v>
      </c>
      <c r="C22" s="60" t="s">
        <v>80</v>
      </c>
      <c r="D22" s="60">
        <v>2</v>
      </c>
      <c r="E22" s="60" t="s">
        <v>638</v>
      </c>
      <c r="F22" s="60" t="s">
        <v>6</v>
      </c>
    </row>
    <row r="23" spans="1:6" ht="14.25" customHeight="1">
      <c r="A23" s="59" t="s">
        <v>494</v>
      </c>
      <c r="B23" s="52" t="s">
        <v>460</v>
      </c>
      <c r="C23" s="52" t="s">
        <v>118</v>
      </c>
      <c r="D23" s="52">
        <v>2</v>
      </c>
      <c r="E23" s="52" t="s">
        <v>639</v>
      </c>
      <c r="F23" s="52" t="s">
        <v>6</v>
      </c>
    </row>
    <row r="24" spans="1:6" ht="14.25" customHeight="1">
      <c r="A24" s="61" t="s">
        <v>494</v>
      </c>
      <c r="B24" s="60" t="s">
        <v>472</v>
      </c>
      <c r="C24" s="60" t="s">
        <v>74</v>
      </c>
      <c r="D24" s="60">
        <v>4</v>
      </c>
      <c r="E24" s="60" t="s">
        <v>639</v>
      </c>
      <c r="F24" s="60" t="s">
        <v>6</v>
      </c>
    </row>
    <row r="25" spans="1:6" ht="14.25" customHeight="1">
      <c r="A25" s="59" t="s">
        <v>494</v>
      </c>
      <c r="B25" s="52" t="s">
        <v>497</v>
      </c>
      <c r="C25" s="52" t="s">
        <v>80</v>
      </c>
      <c r="D25" s="52">
        <v>1</v>
      </c>
      <c r="E25" s="52" t="s">
        <v>588</v>
      </c>
      <c r="F25" s="52" t="s">
        <v>6</v>
      </c>
    </row>
    <row r="26" spans="1:6" ht="14.25" customHeight="1">
      <c r="A26" s="61" t="s">
        <v>494</v>
      </c>
      <c r="B26" s="61" t="s">
        <v>499</v>
      </c>
      <c r="C26" s="60" t="s">
        <v>80</v>
      </c>
      <c r="D26" s="60">
        <v>2</v>
      </c>
      <c r="E26" s="60" t="s">
        <v>640</v>
      </c>
      <c r="F26" s="60" t="s">
        <v>6</v>
      </c>
    </row>
    <row r="27" spans="1:6" ht="14.25" customHeight="1">
      <c r="A27" s="59" t="s">
        <v>494</v>
      </c>
      <c r="B27" s="59" t="s">
        <v>498</v>
      </c>
      <c r="C27" s="52" t="s">
        <v>80</v>
      </c>
      <c r="D27" s="52">
        <v>2</v>
      </c>
      <c r="E27" s="52" t="s">
        <v>640</v>
      </c>
      <c r="F27" s="52" t="s">
        <v>6</v>
      </c>
    </row>
    <row r="28" spans="1:6" ht="14.25" customHeight="1">
      <c r="A28" s="61" t="s">
        <v>494</v>
      </c>
      <c r="B28" s="61" t="s">
        <v>500</v>
      </c>
      <c r="C28" s="60" t="s">
        <v>74</v>
      </c>
      <c r="D28" s="60">
        <v>2</v>
      </c>
      <c r="E28" s="60" t="s">
        <v>594</v>
      </c>
      <c r="F28" s="60" t="s">
        <v>6</v>
      </c>
    </row>
    <row r="29" spans="1:6" ht="14.25" customHeight="1">
      <c r="A29" s="52" t="s">
        <v>469</v>
      </c>
      <c r="B29" s="52" t="s">
        <v>77</v>
      </c>
      <c r="C29" s="52" t="s">
        <v>78</v>
      </c>
      <c r="D29" s="52">
        <v>1</v>
      </c>
      <c r="E29" s="52" t="s">
        <v>595</v>
      </c>
      <c r="F29" s="52" t="s">
        <v>6</v>
      </c>
    </row>
    <row r="30" spans="1:6" ht="14.25" customHeight="1">
      <c r="A30" s="60" t="s">
        <v>469</v>
      </c>
      <c r="B30" s="60" t="s">
        <v>460</v>
      </c>
      <c r="C30" s="60" t="s">
        <v>74</v>
      </c>
      <c r="D30" s="60">
        <v>2</v>
      </c>
      <c r="E30" s="60" t="s">
        <v>595</v>
      </c>
      <c r="F30" s="60" t="s">
        <v>6</v>
      </c>
    </row>
    <row r="31" spans="1:6" ht="14.25" customHeight="1">
      <c r="A31" s="52" t="s">
        <v>493</v>
      </c>
      <c r="B31" s="52" t="s">
        <v>77</v>
      </c>
      <c r="C31" s="52" t="s">
        <v>78</v>
      </c>
      <c r="D31" s="52">
        <v>1</v>
      </c>
      <c r="E31" s="52" t="s">
        <v>641</v>
      </c>
      <c r="F31" s="52" t="s">
        <v>6</v>
      </c>
    </row>
    <row r="32" spans="1:6" ht="14.25" customHeight="1">
      <c r="A32" s="60" t="s">
        <v>493</v>
      </c>
      <c r="B32" s="60" t="s">
        <v>460</v>
      </c>
      <c r="C32" s="60" t="s">
        <v>74</v>
      </c>
      <c r="D32" s="60">
        <v>2</v>
      </c>
      <c r="E32" s="60" t="s">
        <v>641</v>
      </c>
      <c r="F32" s="60" t="s">
        <v>6</v>
      </c>
    </row>
    <row r="33" spans="1:6" ht="14.25" customHeight="1">
      <c r="A33" s="52" t="s">
        <v>459</v>
      </c>
      <c r="B33" s="52" t="s">
        <v>460</v>
      </c>
      <c r="C33" s="52" t="s">
        <v>74</v>
      </c>
      <c r="D33" s="52">
        <v>2</v>
      </c>
      <c r="E33" s="52" t="s">
        <v>642</v>
      </c>
      <c r="F33" s="52" t="s">
        <v>6</v>
      </c>
    </row>
    <row r="34" spans="1:6" ht="14.25" customHeight="1">
      <c r="A34" s="60" t="s">
        <v>461</v>
      </c>
      <c r="B34" s="60" t="s">
        <v>462</v>
      </c>
      <c r="C34" s="60" t="s">
        <v>74</v>
      </c>
      <c r="D34" s="60">
        <v>2</v>
      </c>
      <c r="E34" s="60" t="s">
        <v>643</v>
      </c>
      <c r="F34" s="60" t="s">
        <v>6</v>
      </c>
    </row>
    <row r="35" spans="1:6" ht="14.25" customHeight="1">
      <c r="A35" s="52" t="s">
        <v>464</v>
      </c>
      <c r="B35" s="52" t="s">
        <v>465</v>
      </c>
      <c r="C35" s="52" t="s">
        <v>74</v>
      </c>
      <c r="D35" s="52">
        <v>2</v>
      </c>
      <c r="E35" s="52" t="s">
        <v>580</v>
      </c>
      <c r="F35" s="52" t="s">
        <v>6</v>
      </c>
    </row>
    <row r="36" spans="1:6" ht="14.25" customHeight="1">
      <c r="A36" s="60" t="s">
        <v>463</v>
      </c>
      <c r="B36" s="60" t="s">
        <v>327</v>
      </c>
      <c r="C36" s="60" t="s">
        <v>74</v>
      </c>
      <c r="D36" s="60">
        <v>2</v>
      </c>
      <c r="E36" s="60" t="s">
        <v>644</v>
      </c>
      <c r="F36" s="60" t="s">
        <v>6</v>
      </c>
    </row>
    <row r="37" spans="1:6" ht="14.25" customHeight="1">
      <c r="A37" s="52" t="s">
        <v>466</v>
      </c>
      <c r="B37" s="52" t="s">
        <v>467</v>
      </c>
      <c r="C37" s="52" t="s">
        <v>74</v>
      </c>
      <c r="D37" s="52">
        <v>2</v>
      </c>
      <c r="E37" s="52" t="s">
        <v>650</v>
      </c>
      <c r="F37" s="52" t="s">
        <v>6</v>
      </c>
    </row>
    <row r="38" spans="1:6" ht="14.25" customHeight="1">
      <c r="A38" s="60" t="s">
        <v>468</v>
      </c>
      <c r="B38" s="60" t="s">
        <v>290</v>
      </c>
      <c r="C38" s="60" t="s">
        <v>74</v>
      </c>
      <c r="D38" s="60">
        <v>2</v>
      </c>
      <c r="E38" s="60" t="s">
        <v>651</v>
      </c>
      <c r="F38" s="60" t="s">
        <v>6</v>
      </c>
    </row>
    <row r="39" spans="1:6" ht="14.25" customHeight="1">
      <c r="A39" s="52" t="s">
        <v>470</v>
      </c>
      <c r="B39" s="52" t="s">
        <v>471</v>
      </c>
      <c r="C39" s="52" t="s">
        <v>74</v>
      </c>
      <c r="D39" s="52">
        <v>2</v>
      </c>
      <c r="E39" s="52" t="s">
        <v>654</v>
      </c>
      <c r="F39" s="52" t="s">
        <v>6</v>
      </c>
    </row>
    <row r="40" spans="1:6" ht="14.25" customHeight="1">
      <c r="A40" s="60" t="s">
        <v>489</v>
      </c>
      <c r="B40" s="60" t="s">
        <v>490</v>
      </c>
      <c r="C40" s="60" t="s">
        <v>74</v>
      </c>
      <c r="D40" s="60">
        <v>2</v>
      </c>
      <c r="E40" s="60" t="s">
        <v>655</v>
      </c>
      <c r="F40" s="60" t="s">
        <v>6</v>
      </c>
    </row>
    <row r="41" spans="1:6" ht="14.25" customHeight="1">
      <c r="A41" s="52" t="s">
        <v>485</v>
      </c>
      <c r="B41" s="52" t="s">
        <v>486</v>
      </c>
      <c r="C41" s="52" t="s">
        <v>74</v>
      </c>
      <c r="D41" s="52">
        <v>2</v>
      </c>
      <c r="E41" s="52" t="s">
        <v>656</v>
      </c>
      <c r="F41" s="52" t="s">
        <v>6</v>
      </c>
    </row>
    <row r="42" spans="1:6" ht="14.25" customHeight="1">
      <c r="A42" s="60" t="s">
        <v>487</v>
      </c>
      <c r="B42" s="60" t="s">
        <v>488</v>
      </c>
      <c r="C42" s="60" t="s">
        <v>74</v>
      </c>
      <c r="D42" s="60">
        <v>2</v>
      </c>
      <c r="E42" s="60" t="s">
        <v>586</v>
      </c>
      <c r="F42" s="60" t="s">
        <v>6</v>
      </c>
    </row>
    <row r="43" spans="1:6" ht="14.25" customHeight="1">
      <c r="A43" s="52" t="s">
        <v>491</v>
      </c>
      <c r="B43" s="52" t="s">
        <v>492</v>
      </c>
      <c r="C43" s="52" t="s">
        <v>74</v>
      </c>
      <c r="D43" s="52">
        <v>1</v>
      </c>
      <c r="E43" s="52" t="s">
        <v>586</v>
      </c>
      <c r="F43" s="52" t="s">
        <v>6</v>
      </c>
    </row>
    <row r="44" spans="1:6" ht="15" customHeight="1"/>
    <row r="45" spans="1:6" ht="15" customHeight="1"/>
    <row r="46" spans="1:6" ht="14.25" customHeight="1">
      <c r="A46" s="7" t="s">
        <v>731</v>
      </c>
    </row>
    <row r="47" spans="1:6" ht="14.25" customHeight="1">
      <c r="A47" t="s">
        <v>74</v>
      </c>
      <c r="B47">
        <v>40</v>
      </c>
    </row>
    <row r="48" spans="1:6" ht="14.25" customHeight="1">
      <c r="A48" t="s">
        <v>78</v>
      </c>
      <c r="B48">
        <v>32</v>
      </c>
    </row>
    <row r="49" spans="1:2" ht="14.25" customHeight="1">
      <c r="A49" t="s">
        <v>80</v>
      </c>
      <c r="B49">
        <v>17</v>
      </c>
    </row>
    <row r="50" spans="1:2" ht="14.25" customHeight="1">
      <c r="A50" t="s">
        <v>140</v>
      </c>
      <c r="B50">
        <v>3</v>
      </c>
    </row>
    <row r="51" spans="1:2" ht="14.25" customHeight="1">
      <c r="A51" t="s">
        <v>118</v>
      </c>
      <c r="B51">
        <v>2</v>
      </c>
    </row>
    <row r="52" spans="1:2" ht="14.25" customHeight="1">
      <c r="A52" t="s">
        <v>84</v>
      </c>
      <c r="B52">
        <v>2</v>
      </c>
    </row>
    <row r="53" spans="1:2" ht="14.25" customHeight="1">
      <c r="A53" t="s">
        <v>83</v>
      </c>
      <c r="B53">
        <v>2</v>
      </c>
    </row>
    <row r="54" spans="1:2" ht="14.25" customHeight="1">
      <c r="A54" t="s">
        <v>90</v>
      </c>
      <c r="B54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1"/>
  <sheetViews>
    <sheetView zoomScaleNormal="100" workbookViewId="0"/>
  </sheetViews>
  <sheetFormatPr defaultColWidth="8.85546875" defaultRowHeight="14.25" customHeight="1"/>
  <cols>
    <col min="1" max="1" width="50" customWidth="1"/>
    <col min="2" max="2" width="47" customWidth="1"/>
    <col min="3" max="3" width="27" customWidth="1"/>
    <col min="4" max="4" width="5" customWidth="1"/>
    <col min="5" max="5" width="16" customWidth="1"/>
    <col min="6" max="6" width="9" customWidth="1"/>
  </cols>
  <sheetData>
    <row r="1" spans="1:6" ht="18" customHeight="1">
      <c r="A1" s="90" t="s">
        <v>744</v>
      </c>
    </row>
    <row r="2" spans="1:6" ht="14.25" customHeight="1">
      <c r="A2" t="s">
        <v>745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52" t="s">
        <v>76</v>
      </c>
      <c r="B5" s="52" t="s">
        <v>77</v>
      </c>
      <c r="C5" s="52" t="s">
        <v>78</v>
      </c>
      <c r="D5" s="52">
        <v>18</v>
      </c>
      <c r="E5" s="52" t="s">
        <v>585</v>
      </c>
      <c r="F5" s="52" t="s">
        <v>6</v>
      </c>
    </row>
    <row r="6" spans="1:6" ht="14.25" customHeight="1">
      <c r="A6" s="60" t="s">
        <v>76</v>
      </c>
      <c r="B6" s="60" t="s">
        <v>82</v>
      </c>
      <c r="C6" s="60" t="s">
        <v>84</v>
      </c>
      <c r="D6" s="60">
        <v>2</v>
      </c>
      <c r="E6" s="60" t="s">
        <v>624</v>
      </c>
      <c r="F6" s="60" t="s">
        <v>6</v>
      </c>
    </row>
    <row r="7" spans="1:6" ht="14.25" customHeight="1">
      <c r="A7" s="52" t="s">
        <v>76</v>
      </c>
      <c r="B7" s="52" t="s">
        <v>82</v>
      </c>
      <c r="C7" s="52" t="s">
        <v>83</v>
      </c>
      <c r="D7" s="52">
        <v>2</v>
      </c>
      <c r="E7" s="52" t="s">
        <v>625</v>
      </c>
      <c r="F7" s="52" t="s">
        <v>6</v>
      </c>
    </row>
    <row r="8" spans="1:6" ht="14.25" customHeight="1">
      <c r="A8" s="60" t="s">
        <v>76</v>
      </c>
      <c r="B8" s="60" t="s">
        <v>295</v>
      </c>
      <c r="C8" s="60" t="s">
        <v>74</v>
      </c>
      <c r="D8" s="60">
        <v>2</v>
      </c>
      <c r="E8" s="60" t="s">
        <v>626</v>
      </c>
      <c r="F8" s="60" t="s">
        <v>6</v>
      </c>
    </row>
    <row r="9" spans="1:6" ht="14.25" customHeight="1">
      <c r="A9" s="52" t="s">
        <v>76</v>
      </c>
      <c r="B9" s="52" t="s">
        <v>292</v>
      </c>
      <c r="C9" s="52" t="s">
        <v>74</v>
      </c>
      <c r="D9" s="52">
        <v>1</v>
      </c>
      <c r="E9" s="52" t="s">
        <v>627</v>
      </c>
      <c r="F9" s="52" t="s">
        <v>6</v>
      </c>
    </row>
    <row r="10" spans="1:6" ht="14.25" customHeight="1">
      <c r="A10" s="60" t="s">
        <v>76</v>
      </c>
      <c r="B10" s="60" t="s">
        <v>292</v>
      </c>
      <c r="C10" s="60" t="s">
        <v>142</v>
      </c>
      <c r="D10" s="60">
        <v>1</v>
      </c>
      <c r="E10" s="60" t="s">
        <v>628</v>
      </c>
      <c r="F10" s="60" t="s">
        <v>6</v>
      </c>
    </row>
    <row r="11" spans="1:6" ht="14.25" customHeight="1">
      <c r="A11" s="52" t="s">
        <v>76</v>
      </c>
      <c r="B11" s="52" t="s">
        <v>293</v>
      </c>
      <c r="C11" s="52" t="s">
        <v>142</v>
      </c>
      <c r="D11" s="52">
        <v>2</v>
      </c>
      <c r="E11" s="52" t="s">
        <v>629</v>
      </c>
      <c r="F11" s="52" t="s">
        <v>6</v>
      </c>
    </row>
    <row r="12" spans="1:6" ht="14.25" customHeight="1">
      <c r="A12" s="60" t="s">
        <v>76</v>
      </c>
      <c r="B12" s="60" t="s">
        <v>89</v>
      </c>
      <c r="C12" s="60" t="s">
        <v>90</v>
      </c>
      <c r="D12" s="60">
        <v>2</v>
      </c>
      <c r="E12" s="60" t="s">
        <v>631</v>
      </c>
      <c r="F12" s="60" t="s">
        <v>6</v>
      </c>
    </row>
    <row r="13" spans="1:6" ht="14.25" customHeight="1">
      <c r="A13" s="52" t="s">
        <v>76</v>
      </c>
      <c r="B13" s="52" t="s">
        <v>294</v>
      </c>
      <c r="C13" s="52" t="s">
        <v>140</v>
      </c>
      <c r="D13" s="52">
        <v>2</v>
      </c>
      <c r="E13" s="52" t="s">
        <v>632</v>
      </c>
      <c r="F13" s="52" t="s">
        <v>6</v>
      </c>
    </row>
    <row r="14" spans="1:6" ht="14.25" customHeight="1">
      <c r="A14" s="60" t="s">
        <v>76</v>
      </c>
      <c r="B14" s="60" t="s">
        <v>294</v>
      </c>
      <c r="C14" s="60" t="s">
        <v>142</v>
      </c>
      <c r="D14" s="60">
        <v>2</v>
      </c>
      <c r="E14" s="60" t="s">
        <v>633</v>
      </c>
      <c r="F14" s="60" t="s">
        <v>6</v>
      </c>
    </row>
    <row r="15" spans="1:6" ht="14.25" customHeight="1">
      <c r="A15" s="52" t="s">
        <v>76</v>
      </c>
      <c r="B15" s="52" t="s">
        <v>291</v>
      </c>
      <c r="C15" s="52" t="s">
        <v>74</v>
      </c>
      <c r="D15" s="52">
        <v>3</v>
      </c>
      <c r="E15" s="52" t="s">
        <v>634</v>
      </c>
      <c r="F15" s="52" t="s">
        <v>6</v>
      </c>
    </row>
    <row r="16" spans="1:6" ht="14.25" customHeight="1">
      <c r="A16" s="60" t="s">
        <v>76</v>
      </c>
      <c r="B16" s="60" t="s">
        <v>296</v>
      </c>
      <c r="C16" s="60" t="s">
        <v>74</v>
      </c>
      <c r="D16" s="60">
        <v>11</v>
      </c>
      <c r="E16" s="60" t="s">
        <v>635</v>
      </c>
      <c r="F16" s="60" t="s">
        <v>6</v>
      </c>
    </row>
    <row r="17" spans="1:6" ht="14.25" customHeight="1">
      <c r="A17" s="52" t="s">
        <v>76</v>
      </c>
      <c r="B17" s="52" t="s">
        <v>296</v>
      </c>
      <c r="C17" s="52" t="s">
        <v>80</v>
      </c>
      <c r="D17" s="52">
        <v>1</v>
      </c>
      <c r="E17" s="52" t="s">
        <v>636</v>
      </c>
      <c r="F17" s="52" t="s">
        <v>6</v>
      </c>
    </row>
    <row r="18" spans="1:6" ht="14.25" customHeight="1">
      <c r="A18" s="60" t="s">
        <v>76</v>
      </c>
      <c r="B18" s="61" t="s">
        <v>298</v>
      </c>
      <c r="C18" s="60" t="s">
        <v>80</v>
      </c>
      <c r="D18" s="60">
        <v>1</v>
      </c>
      <c r="E18" s="60" t="s">
        <v>637</v>
      </c>
      <c r="F18" s="60" t="s">
        <v>6</v>
      </c>
    </row>
    <row r="19" spans="1:6" ht="14.25" customHeight="1">
      <c r="A19" s="52" t="s">
        <v>72</v>
      </c>
      <c r="B19" s="52" t="s">
        <v>77</v>
      </c>
      <c r="C19" s="52" t="s">
        <v>78</v>
      </c>
      <c r="D19" s="52">
        <v>8</v>
      </c>
      <c r="E19" s="52" t="s">
        <v>639</v>
      </c>
      <c r="F19" s="52" t="s">
        <v>6</v>
      </c>
    </row>
    <row r="20" spans="1:6" ht="14.25" customHeight="1">
      <c r="A20" s="60" t="s">
        <v>72</v>
      </c>
      <c r="B20" s="60" t="s">
        <v>73</v>
      </c>
      <c r="C20" s="60" t="s">
        <v>74</v>
      </c>
      <c r="D20" s="60">
        <v>2</v>
      </c>
      <c r="E20" s="60" t="s">
        <v>639</v>
      </c>
      <c r="F20" s="60" t="s">
        <v>6</v>
      </c>
    </row>
    <row r="21" spans="1:6" ht="14.25" customHeight="1">
      <c r="A21" s="52" t="s">
        <v>72</v>
      </c>
      <c r="B21" s="59" t="s">
        <v>695</v>
      </c>
      <c r="C21" s="52" t="s">
        <v>80</v>
      </c>
      <c r="D21" s="52">
        <v>1</v>
      </c>
      <c r="E21" s="52" t="s">
        <v>588</v>
      </c>
      <c r="F21" s="52" t="s">
        <v>6</v>
      </c>
    </row>
    <row r="22" spans="1:6" ht="14.25" customHeight="1">
      <c r="A22" s="60" t="s">
        <v>72</v>
      </c>
      <c r="B22" s="61" t="s">
        <v>85</v>
      </c>
      <c r="C22" s="60" t="s">
        <v>80</v>
      </c>
      <c r="D22" s="60">
        <v>2</v>
      </c>
      <c r="E22" s="60" t="s">
        <v>640</v>
      </c>
      <c r="F22" s="60" t="s">
        <v>6</v>
      </c>
    </row>
    <row r="23" spans="1:6" ht="14.25" customHeight="1">
      <c r="A23" s="52" t="s">
        <v>72</v>
      </c>
      <c r="B23" s="59" t="s">
        <v>86</v>
      </c>
      <c r="C23" s="52" t="s">
        <v>74</v>
      </c>
      <c r="D23" s="52">
        <v>3</v>
      </c>
      <c r="E23" s="52" t="s">
        <v>594</v>
      </c>
      <c r="F23" s="52" t="s">
        <v>6</v>
      </c>
    </row>
    <row r="24" spans="1:6" ht="14.25" customHeight="1">
      <c r="A24" s="60" t="s">
        <v>98</v>
      </c>
      <c r="B24" s="60" t="s">
        <v>77</v>
      </c>
      <c r="C24" s="60" t="s">
        <v>78</v>
      </c>
      <c r="D24" s="60">
        <v>6</v>
      </c>
      <c r="E24" s="60" t="s">
        <v>595</v>
      </c>
      <c r="F24" s="60" t="s">
        <v>6</v>
      </c>
    </row>
    <row r="25" spans="1:6" ht="14.25" customHeight="1">
      <c r="A25" s="52" t="s">
        <v>98</v>
      </c>
      <c r="B25" s="59" t="s">
        <v>299</v>
      </c>
      <c r="C25" s="52" t="s">
        <v>74</v>
      </c>
      <c r="D25" s="52">
        <v>1</v>
      </c>
      <c r="E25" s="52" t="s">
        <v>595</v>
      </c>
      <c r="F25" s="52" t="s">
        <v>6</v>
      </c>
    </row>
    <row r="26" spans="1:6" ht="14.25" customHeight="1">
      <c r="A26" s="60" t="s">
        <v>98</v>
      </c>
      <c r="B26" s="61" t="s">
        <v>301</v>
      </c>
      <c r="C26" s="60" t="s">
        <v>80</v>
      </c>
      <c r="D26" s="60">
        <v>1</v>
      </c>
      <c r="E26" s="60" t="s">
        <v>641</v>
      </c>
      <c r="F26" s="60" t="s">
        <v>6</v>
      </c>
    </row>
    <row r="27" spans="1:6" ht="14.25" customHeight="1">
      <c r="A27" s="52" t="s">
        <v>98</v>
      </c>
      <c r="B27" s="59" t="s">
        <v>302</v>
      </c>
      <c r="C27" s="52" t="s">
        <v>80</v>
      </c>
      <c r="D27" s="52">
        <v>1</v>
      </c>
      <c r="E27" s="52" t="s">
        <v>642</v>
      </c>
      <c r="F27" s="52" t="s">
        <v>6</v>
      </c>
    </row>
    <row r="28" spans="1:6" ht="14.25" customHeight="1">
      <c r="A28" s="60" t="s">
        <v>98</v>
      </c>
      <c r="B28" s="61" t="s">
        <v>304</v>
      </c>
      <c r="C28" s="60" t="s">
        <v>74</v>
      </c>
      <c r="D28" s="60">
        <v>4</v>
      </c>
      <c r="E28" s="60" t="s">
        <v>642</v>
      </c>
      <c r="F28" s="60" t="s">
        <v>6</v>
      </c>
    </row>
    <row r="29" spans="1:6" ht="14.25" customHeight="1">
      <c r="A29" s="52" t="s">
        <v>98</v>
      </c>
      <c r="B29" s="59" t="s">
        <v>304</v>
      </c>
      <c r="C29" s="52" t="s">
        <v>80</v>
      </c>
      <c r="D29" s="52">
        <v>2</v>
      </c>
      <c r="E29" s="52" t="s">
        <v>643</v>
      </c>
      <c r="F29" s="52" t="s">
        <v>6</v>
      </c>
    </row>
    <row r="30" spans="1:6" ht="14.25" customHeight="1">
      <c r="A30" s="60" t="s">
        <v>114</v>
      </c>
      <c r="B30" s="60" t="s">
        <v>77</v>
      </c>
      <c r="C30" s="60" t="s">
        <v>78</v>
      </c>
      <c r="D30" s="60">
        <v>5</v>
      </c>
      <c r="E30" s="60" t="s">
        <v>580</v>
      </c>
      <c r="F30" s="60" t="s">
        <v>6</v>
      </c>
    </row>
    <row r="31" spans="1:6" ht="14.25" customHeight="1">
      <c r="A31" s="52" t="s">
        <v>114</v>
      </c>
      <c r="B31" s="59" t="s">
        <v>696</v>
      </c>
      <c r="C31" s="52" t="s">
        <v>74</v>
      </c>
      <c r="D31" s="52">
        <v>2</v>
      </c>
      <c r="E31" s="52" t="s">
        <v>580</v>
      </c>
      <c r="F31" s="52" t="s">
        <v>6</v>
      </c>
    </row>
    <row r="32" spans="1:6" ht="14.25" customHeight="1">
      <c r="A32" s="60" t="s">
        <v>105</v>
      </c>
      <c r="B32" s="60" t="s">
        <v>77</v>
      </c>
      <c r="C32" s="60" t="s">
        <v>78</v>
      </c>
      <c r="D32" s="60">
        <v>2</v>
      </c>
      <c r="E32" s="60" t="s">
        <v>644</v>
      </c>
      <c r="F32" s="60" t="s">
        <v>6</v>
      </c>
    </row>
    <row r="33" spans="1:6" ht="14.25" customHeight="1">
      <c r="A33" s="52" t="s">
        <v>105</v>
      </c>
      <c r="B33" s="52" t="s">
        <v>306</v>
      </c>
      <c r="C33" s="52" t="s">
        <v>80</v>
      </c>
      <c r="D33" s="52">
        <v>2</v>
      </c>
      <c r="E33" s="52" t="s">
        <v>644</v>
      </c>
      <c r="F33" s="52" t="s">
        <v>6</v>
      </c>
    </row>
    <row r="34" spans="1:6" ht="14.25" customHeight="1">
      <c r="A34" s="60" t="s">
        <v>105</v>
      </c>
      <c r="B34" s="61" t="s">
        <v>307</v>
      </c>
      <c r="C34" s="60" t="s">
        <v>74</v>
      </c>
      <c r="D34" s="60">
        <v>2</v>
      </c>
      <c r="E34" s="60" t="s">
        <v>644</v>
      </c>
      <c r="F34" s="60" t="s">
        <v>6</v>
      </c>
    </row>
    <row r="35" spans="1:6" ht="14.25" customHeight="1">
      <c r="A35" s="52" t="s">
        <v>109</v>
      </c>
      <c r="B35" s="52" t="s">
        <v>77</v>
      </c>
      <c r="C35" s="52" t="s">
        <v>78</v>
      </c>
      <c r="D35" s="52">
        <v>3</v>
      </c>
      <c r="E35" s="52" t="s">
        <v>650</v>
      </c>
      <c r="F35" s="52" t="s">
        <v>6</v>
      </c>
    </row>
    <row r="36" spans="1:6" ht="14.25" customHeight="1">
      <c r="A36" s="60" t="s">
        <v>109</v>
      </c>
      <c r="B36" s="60" t="s">
        <v>309</v>
      </c>
      <c r="C36" s="60" t="s">
        <v>74</v>
      </c>
      <c r="D36" s="60">
        <v>1</v>
      </c>
      <c r="E36" s="60" t="s">
        <v>650</v>
      </c>
      <c r="F36" s="60" t="s">
        <v>6</v>
      </c>
    </row>
    <row r="37" spans="1:6" ht="14.25" customHeight="1">
      <c r="A37" s="52" t="s">
        <v>109</v>
      </c>
      <c r="B37" s="59" t="s">
        <v>310</v>
      </c>
      <c r="C37" s="52" t="s">
        <v>80</v>
      </c>
      <c r="D37" s="52">
        <v>1</v>
      </c>
      <c r="E37" s="52" t="s">
        <v>650</v>
      </c>
      <c r="F37" s="52" t="s">
        <v>6</v>
      </c>
    </row>
    <row r="38" spans="1:6" ht="14.25" customHeight="1">
      <c r="A38" s="60" t="s">
        <v>111</v>
      </c>
      <c r="B38" s="60" t="s">
        <v>77</v>
      </c>
      <c r="C38" s="60" t="s">
        <v>78</v>
      </c>
      <c r="D38" s="60">
        <v>1</v>
      </c>
      <c r="E38" s="60" t="s">
        <v>651</v>
      </c>
      <c r="F38" s="60" t="s">
        <v>6</v>
      </c>
    </row>
    <row r="39" spans="1:6" ht="14.25" customHeight="1">
      <c r="A39" s="52" t="s">
        <v>111</v>
      </c>
      <c r="B39" s="52" t="s">
        <v>122</v>
      </c>
      <c r="C39" s="52" t="s">
        <v>74</v>
      </c>
      <c r="D39" s="52">
        <v>1</v>
      </c>
      <c r="E39" s="52" t="s">
        <v>651</v>
      </c>
      <c r="F39" s="52" t="s">
        <v>6</v>
      </c>
    </row>
    <row r="40" spans="1:6" ht="14.25" customHeight="1">
      <c r="A40" s="60" t="s">
        <v>111</v>
      </c>
      <c r="B40" s="60" t="s">
        <v>122</v>
      </c>
      <c r="C40" s="60" t="s">
        <v>80</v>
      </c>
      <c r="D40" s="60">
        <v>1</v>
      </c>
      <c r="E40" s="60" t="s">
        <v>651</v>
      </c>
      <c r="F40" s="60" t="s">
        <v>6</v>
      </c>
    </row>
    <row r="41" spans="1:6" ht="14.25" customHeight="1">
      <c r="A41" s="52" t="s">
        <v>111</v>
      </c>
      <c r="B41" s="52" t="s">
        <v>315</v>
      </c>
      <c r="C41" s="52" t="s">
        <v>74</v>
      </c>
      <c r="D41" s="52">
        <v>1</v>
      </c>
      <c r="E41" s="52" t="s">
        <v>651</v>
      </c>
      <c r="F41" s="52" t="s">
        <v>6</v>
      </c>
    </row>
    <row r="42" spans="1:6" ht="14.25" customHeight="1">
      <c r="A42" s="61" t="s">
        <v>116</v>
      </c>
      <c r="B42" s="60" t="s">
        <v>117</v>
      </c>
      <c r="C42" s="60" t="s">
        <v>74</v>
      </c>
      <c r="D42" s="60">
        <v>1</v>
      </c>
      <c r="E42" s="60" t="s">
        <v>654</v>
      </c>
      <c r="F42" s="60" t="s">
        <v>6</v>
      </c>
    </row>
    <row r="43" spans="1:6" ht="14.25" customHeight="1">
      <c r="A43" s="59" t="s">
        <v>116</v>
      </c>
      <c r="B43" s="52" t="s">
        <v>117</v>
      </c>
      <c r="C43" s="52" t="s">
        <v>118</v>
      </c>
      <c r="D43" s="52">
        <v>1</v>
      </c>
      <c r="E43" s="52" t="s">
        <v>654</v>
      </c>
      <c r="F43" s="52" t="s">
        <v>6</v>
      </c>
    </row>
    <row r="44" spans="1:6" ht="14.25" customHeight="1">
      <c r="A44" s="61" t="s">
        <v>116</v>
      </c>
      <c r="B44" s="60" t="s">
        <v>322</v>
      </c>
      <c r="C44" s="60" t="s">
        <v>74</v>
      </c>
      <c r="D44" s="60">
        <v>1</v>
      </c>
      <c r="E44" s="60" t="s">
        <v>654</v>
      </c>
      <c r="F44" s="60" t="s">
        <v>6</v>
      </c>
    </row>
    <row r="45" spans="1:6" ht="14.25" customHeight="1">
      <c r="A45" s="59" t="s">
        <v>116</v>
      </c>
      <c r="B45" s="59" t="s">
        <v>323</v>
      </c>
      <c r="C45" s="52" t="s">
        <v>80</v>
      </c>
      <c r="D45" s="52">
        <v>1</v>
      </c>
      <c r="E45" s="52" t="s">
        <v>654</v>
      </c>
      <c r="F45" s="52" t="s">
        <v>6</v>
      </c>
    </row>
    <row r="46" spans="1:6" ht="14.25" customHeight="1">
      <c r="A46" s="60" t="s">
        <v>289</v>
      </c>
      <c r="B46" s="60" t="s">
        <v>290</v>
      </c>
      <c r="C46" s="60" t="s">
        <v>74</v>
      </c>
      <c r="D46" s="60">
        <v>2</v>
      </c>
      <c r="E46" s="60" t="s">
        <v>655</v>
      </c>
      <c r="F46" s="60" t="s">
        <v>6</v>
      </c>
    </row>
    <row r="47" spans="1:6" ht="14.25" customHeight="1">
      <c r="A47" s="52" t="s">
        <v>316</v>
      </c>
      <c r="B47" s="52" t="s">
        <v>317</v>
      </c>
      <c r="C47" s="52" t="s">
        <v>74</v>
      </c>
      <c r="D47" s="52">
        <v>2</v>
      </c>
      <c r="E47" s="52" t="s">
        <v>656</v>
      </c>
      <c r="F47" s="52" t="s">
        <v>6</v>
      </c>
    </row>
    <row r="48" spans="1:6" ht="14.25" customHeight="1">
      <c r="A48" s="61" t="s">
        <v>121</v>
      </c>
      <c r="B48" s="60" t="s">
        <v>122</v>
      </c>
      <c r="C48" s="60" t="s">
        <v>118</v>
      </c>
      <c r="D48" s="60">
        <v>2</v>
      </c>
      <c r="E48" s="60" t="s">
        <v>586</v>
      </c>
      <c r="F48" s="60" t="s">
        <v>6</v>
      </c>
    </row>
    <row r="49" spans="1:6" ht="14.25" customHeight="1">
      <c r="A49" s="59" t="s">
        <v>320</v>
      </c>
      <c r="B49" s="59" t="s">
        <v>319</v>
      </c>
      <c r="C49" s="52" t="s">
        <v>80</v>
      </c>
      <c r="D49" s="52">
        <v>1</v>
      </c>
      <c r="E49" s="52" t="s">
        <v>589</v>
      </c>
      <c r="F49" s="52" t="s">
        <v>6</v>
      </c>
    </row>
    <row r="50" spans="1:6" ht="15" customHeight="1"/>
    <row r="51" spans="1:6" ht="15" customHeight="1"/>
    <row r="52" spans="1:6" ht="14.25" customHeight="1">
      <c r="A52" s="7" t="s">
        <v>731</v>
      </c>
    </row>
    <row r="53" spans="1:6" ht="14.25" customHeight="1">
      <c r="A53" t="s">
        <v>78</v>
      </c>
      <c r="B53">
        <v>43</v>
      </c>
    </row>
    <row r="54" spans="1:6" ht="14.25" customHeight="1">
      <c r="A54" t="s">
        <v>74</v>
      </c>
      <c r="B54">
        <v>40</v>
      </c>
    </row>
    <row r="55" spans="1:6" ht="14.25" customHeight="1">
      <c r="A55" t="s">
        <v>80</v>
      </c>
      <c r="B55">
        <v>15</v>
      </c>
    </row>
    <row r="56" spans="1:6" ht="14.25" customHeight="1">
      <c r="A56" t="s">
        <v>142</v>
      </c>
      <c r="B56">
        <v>5</v>
      </c>
    </row>
    <row r="57" spans="1:6" ht="14.25" customHeight="1">
      <c r="A57" t="s">
        <v>118</v>
      </c>
      <c r="B57">
        <v>3</v>
      </c>
    </row>
    <row r="58" spans="1:6" ht="14.25" customHeight="1">
      <c r="A58" t="s">
        <v>140</v>
      </c>
      <c r="B58">
        <v>2</v>
      </c>
    </row>
    <row r="59" spans="1:6" ht="14.25" customHeight="1">
      <c r="A59" t="s">
        <v>90</v>
      </c>
      <c r="B59">
        <v>2</v>
      </c>
    </row>
    <row r="60" spans="1:6" ht="14.25" customHeight="1">
      <c r="A60" t="s">
        <v>84</v>
      </c>
      <c r="B60">
        <v>2</v>
      </c>
    </row>
    <row r="61" spans="1:6" ht="14.25" customHeight="1">
      <c r="A61" t="s">
        <v>83</v>
      </c>
      <c r="B61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4"/>
  <sheetViews>
    <sheetView zoomScaleNormal="100" workbookViewId="0"/>
  </sheetViews>
  <sheetFormatPr defaultColWidth="8.85546875" defaultRowHeight="14.25" customHeight="1"/>
  <cols>
    <col min="1" max="1" width="50" customWidth="1"/>
    <col min="2" max="2" width="16" customWidth="1"/>
    <col min="3" max="3" width="26" customWidth="1"/>
    <col min="4" max="4" width="5" customWidth="1"/>
    <col min="5" max="5" width="16" customWidth="1"/>
    <col min="6" max="6" width="9" customWidth="1"/>
  </cols>
  <sheetData>
    <row r="1" spans="1:6" ht="18" customHeight="1">
      <c r="A1" s="90" t="s">
        <v>746</v>
      </c>
    </row>
    <row r="2" spans="1:6" ht="14.25" customHeight="1">
      <c r="A2" t="s">
        <v>747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52" t="s">
        <v>26</v>
      </c>
      <c r="B5" s="52" t="s">
        <v>296</v>
      </c>
      <c r="C5" s="52" t="s">
        <v>74</v>
      </c>
      <c r="D5" s="52">
        <v>2</v>
      </c>
      <c r="E5" s="52" t="s">
        <v>588</v>
      </c>
      <c r="F5" s="52" t="s">
        <v>6</v>
      </c>
    </row>
    <row r="6" spans="1:6" ht="14.25" customHeight="1">
      <c r="A6" s="60" t="s">
        <v>26</v>
      </c>
      <c r="B6" s="60" t="s">
        <v>458</v>
      </c>
      <c r="C6" s="60" t="s">
        <v>176</v>
      </c>
      <c r="D6" s="60">
        <v>2</v>
      </c>
      <c r="E6" s="60" t="s">
        <v>641</v>
      </c>
      <c r="F6" s="60" t="s">
        <v>6</v>
      </c>
    </row>
    <row r="7" spans="1:6" ht="14.25" customHeight="1">
      <c r="A7" s="52" t="s">
        <v>26</v>
      </c>
      <c r="B7" s="52" t="s">
        <v>458</v>
      </c>
      <c r="C7" s="52" t="s">
        <v>83</v>
      </c>
      <c r="D7" s="52">
        <v>2</v>
      </c>
      <c r="E7" s="52" t="s">
        <v>644</v>
      </c>
      <c r="F7" s="52" t="s">
        <v>6</v>
      </c>
    </row>
    <row r="8" spans="1:6" ht="14.25" customHeight="1">
      <c r="A8" s="60" t="s">
        <v>456</v>
      </c>
      <c r="B8" s="60" t="s">
        <v>457</v>
      </c>
      <c r="C8" s="60" t="s">
        <v>74</v>
      </c>
      <c r="D8" s="60">
        <v>2</v>
      </c>
      <c r="E8" s="60" t="s">
        <v>655</v>
      </c>
      <c r="F8" s="60" t="s">
        <v>6</v>
      </c>
    </row>
    <row r="9" spans="1:6" ht="15" customHeight="1"/>
    <row r="10" spans="1:6" ht="15" customHeight="1"/>
    <row r="11" spans="1:6" ht="14.25" customHeight="1">
      <c r="A11" s="7" t="s">
        <v>731</v>
      </c>
    </row>
    <row r="12" spans="1:6" ht="14.25" customHeight="1">
      <c r="A12" t="s">
        <v>74</v>
      </c>
      <c r="B12">
        <v>4</v>
      </c>
    </row>
    <row r="13" spans="1:6" ht="14.25" customHeight="1">
      <c r="A13" t="s">
        <v>176</v>
      </c>
      <c r="B13">
        <v>2</v>
      </c>
    </row>
    <row r="14" spans="1:6" ht="14.25" customHeight="1">
      <c r="A14" t="s">
        <v>83</v>
      </c>
      <c r="B14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8"/>
  <sheetViews>
    <sheetView zoomScaleNormal="100" workbookViewId="0"/>
  </sheetViews>
  <sheetFormatPr defaultColWidth="8.85546875" defaultRowHeight="14.25" customHeight="1"/>
  <cols>
    <col min="1" max="1" width="28" customWidth="1"/>
    <col min="2" max="2" width="50" customWidth="1"/>
    <col min="3" max="3" width="15" customWidth="1"/>
    <col min="4" max="4" width="7" customWidth="1"/>
  </cols>
  <sheetData>
    <row r="1" spans="1:3" ht="18" customHeight="1">
      <c r="A1" s="76" t="s">
        <v>748</v>
      </c>
    </row>
    <row r="2" spans="1:3" ht="15" customHeight="1"/>
    <row r="3" spans="1:3" ht="14.25" customHeight="1">
      <c r="A3" s="57" t="s">
        <v>749</v>
      </c>
      <c r="B3" s="57" t="s">
        <v>750</v>
      </c>
      <c r="C3" s="57" t="s">
        <v>751</v>
      </c>
    </row>
    <row r="4" spans="1:3" ht="14.25" customHeight="1">
      <c r="A4" s="60">
        <v>1</v>
      </c>
      <c r="B4" s="61" t="s">
        <v>725</v>
      </c>
      <c r="C4" s="60">
        <v>4</v>
      </c>
    </row>
    <row r="5" spans="1:3" ht="14.25" customHeight="1">
      <c r="A5" s="52">
        <v>2</v>
      </c>
      <c r="B5" s="59" t="s">
        <v>712</v>
      </c>
      <c r="C5" s="52">
        <v>10</v>
      </c>
    </row>
    <row r="6" spans="1:3" ht="14.25" customHeight="1">
      <c r="A6" s="60">
        <v>3</v>
      </c>
      <c r="B6" s="61" t="s">
        <v>720</v>
      </c>
      <c r="C6" s="60">
        <v>4</v>
      </c>
    </row>
    <row r="7" spans="1:3" ht="14.25" customHeight="1">
      <c r="A7" s="52">
        <v>4</v>
      </c>
      <c r="B7" s="59" t="s">
        <v>728</v>
      </c>
      <c r="C7" s="52">
        <v>2</v>
      </c>
    </row>
    <row r="8" spans="1:3" ht="14.25" customHeight="1">
      <c r="A8" s="60">
        <v>5</v>
      </c>
      <c r="B8" s="61" t="s">
        <v>715</v>
      </c>
      <c r="C8" s="60">
        <v>47</v>
      </c>
    </row>
    <row r="9" spans="1:3" ht="14.25" customHeight="1">
      <c r="A9" s="52">
        <v>6</v>
      </c>
      <c r="B9" s="59" t="s">
        <v>718</v>
      </c>
      <c r="C9" s="52">
        <v>62</v>
      </c>
    </row>
    <row r="10" spans="1:3" ht="14.25" customHeight="1">
      <c r="A10" s="60">
        <v>7</v>
      </c>
      <c r="B10" s="61" t="s">
        <v>716</v>
      </c>
      <c r="C10" s="60">
        <v>45</v>
      </c>
    </row>
    <row r="11" spans="1:3" ht="14.25" customHeight="1">
      <c r="A11" s="52">
        <v>8</v>
      </c>
      <c r="B11" s="59" t="s">
        <v>710</v>
      </c>
      <c r="C11" s="52">
        <v>584</v>
      </c>
    </row>
    <row r="12" spans="1:3" ht="14.25" customHeight="1">
      <c r="A12" s="60">
        <v>9</v>
      </c>
      <c r="B12" s="61" t="s">
        <v>714</v>
      </c>
      <c r="C12" s="60">
        <v>37</v>
      </c>
    </row>
    <row r="13" spans="1:3" ht="14.25" customHeight="1">
      <c r="A13" s="52">
        <v>10</v>
      </c>
      <c r="B13" s="59" t="s">
        <v>717</v>
      </c>
      <c r="C13" s="52">
        <v>320</v>
      </c>
    </row>
    <row r="14" spans="1:3" ht="14.25" customHeight="1">
      <c r="A14" s="60">
        <v>11</v>
      </c>
      <c r="B14" s="61" t="s">
        <v>711</v>
      </c>
      <c r="C14" s="60">
        <v>445</v>
      </c>
    </row>
    <row r="15" spans="1:3" ht="14.25" customHeight="1">
      <c r="A15" s="52">
        <v>12</v>
      </c>
      <c r="B15" s="59" t="s">
        <v>713</v>
      </c>
      <c r="C15" s="52">
        <v>14</v>
      </c>
    </row>
    <row r="16" spans="1:3" ht="14.25" customHeight="1">
      <c r="A16" s="60">
        <v>13</v>
      </c>
      <c r="B16" s="61" t="s">
        <v>726</v>
      </c>
      <c r="C16" s="60">
        <v>2</v>
      </c>
    </row>
    <row r="17" spans="1:3" ht="14.25" customHeight="1">
      <c r="A17" s="52">
        <v>14</v>
      </c>
      <c r="B17" s="59" t="s">
        <v>723</v>
      </c>
      <c r="C17" s="52">
        <v>3</v>
      </c>
    </row>
    <row r="18" spans="1:3" ht="14.25" customHeight="1">
      <c r="A18" s="60">
        <v>15</v>
      </c>
      <c r="B18" s="61" t="s">
        <v>724</v>
      </c>
      <c r="C18" s="60">
        <v>1</v>
      </c>
    </row>
    <row r="19" spans="1:3" ht="14.25" customHeight="1">
      <c r="A19" s="52">
        <v>16</v>
      </c>
      <c r="B19" s="59" t="s">
        <v>721</v>
      </c>
      <c r="C19" s="52">
        <v>4</v>
      </c>
    </row>
    <row r="20" spans="1:3" ht="14.25" customHeight="1">
      <c r="A20" s="60">
        <v>17</v>
      </c>
      <c r="B20" s="61" t="s">
        <v>752</v>
      </c>
      <c r="C20" s="60" t="s">
        <v>753</v>
      </c>
    </row>
    <row r="21" spans="1:3" ht="14.25" customHeight="1">
      <c r="A21" s="52">
        <v>18</v>
      </c>
      <c r="B21" s="59" t="s">
        <v>719</v>
      </c>
      <c r="C21" s="52">
        <v>4</v>
      </c>
    </row>
    <row r="22" spans="1:3" ht="14.25" customHeight="1">
      <c r="A22" s="60">
        <v>19</v>
      </c>
      <c r="B22" s="61" t="s">
        <v>754</v>
      </c>
      <c r="C22" s="60" t="s">
        <v>77</v>
      </c>
    </row>
    <row r="23" spans="1:3" ht="14.25" customHeight="1">
      <c r="A23" s="52">
        <v>20</v>
      </c>
      <c r="B23" s="59" t="s">
        <v>755</v>
      </c>
      <c r="C23" s="52">
        <v>2</v>
      </c>
    </row>
    <row r="24" spans="1:3" ht="14.25" customHeight="1">
      <c r="A24" s="60">
        <v>21</v>
      </c>
      <c r="B24" s="61" t="s">
        <v>756</v>
      </c>
      <c r="C24" s="60">
        <v>2</v>
      </c>
    </row>
    <row r="25" spans="1:3" ht="14.25" customHeight="1">
      <c r="A25" s="52">
        <v>22</v>
      </c>
      <c r="B25" s="59" t="s">
        <v>757</v>
      </c>
      <c r="C25" s="52">
        <v>1</v>
      </c>
    </row>
    <row r="26" spans="1:3" ht="14.25" customHeight="1">
      <c r="A26" s="60">
        <v>23</v>
      </c>
      <c r="B26" s="61" t="s">
        <v>758</v>
      </c>
      <c r="C26" s="60">
        <v>165</v>
      </c>
    </row>
    <row r="27" spans="1:3" ht="14.25" customHeight="1">
      <c r="A27" s="52" t="s">
        <v>759</v>
      </c>
      <c r="B27" s="52" t="s">
        <v>760</v>
      </c>
      <c r="C27" s="52">
        <v>16</v>
      </c>
    </row>
    <row r="28" spans="1:3" ht="14.25" customHeight="1">
      <c r="A28" s="60" t="s">
        <v>761</v>
      </c>
      <c r="B28" s="60" t="s">
        <v>762</v>
      </c>
      <c r="C28" s="60">
        <v>16</v>
      </c>
    </row>
    <row r="29" spans="1:3" ht="14.25" customHeight="1">
      <c r="A29" s="52">
        <v>24</v>
      </c>
      <c r="B29" s="59" t="s">
        <v>763</v>
      </c>
      <c r="C29" s="52" t="s">
        <v>77</v>
      </c>
    </row>
    <row r="30" spans="1:3" ht="14.25" customHeight="1">
      <c r="A30" s="60" t="s">
        <v>764</v>
      </c>
      <c r="B30" s="61" t="s">
        <v>765</v>
      </c>
      <c r="C30" s="60">
        <v>4</v>
      </c>
    </row>
    <row r="31" spans="1:3" ht="14.25" customHeight="1">
      <c r="A31" s="52" t="s">
        <v>766</v>
      </c>
      <c r="B31" s="59" t="s">
        <v>767</v>
      </c>
      <c r="C31" s="52">
        <v>8</v>
      </c>
    </row>
    <row r="32" spans="1:3" ht="14.25" customHeight="1">
      <c r="A32" s="60" t="s">
        <v>768</v>
      </c>
      <c r="B32" s="61" t="s">
        <v>769</v>
      </c>
      <c r="C32" s="60">
        <v>32</v>
      </c>
    </row>
    <row r="33" spans="1:4" ht="14.25" customHeight="1">
      <c r="A33" s="52" t="s">
        <v>770</v>
      </c>
      <c r="B33" s="59" t="s">
        <v>771</v>
      </c>
      <c r="C33" s="52">
        <v>4054</v>
      </c>
    </row>
    <row r="34" spans="1:4" ht="14.25" customHeight="1">
      <c r="A34" s="60" t="s">
        <v>772</v>
      </c>
      <c r="B34" s="61" t="s">
        <v>773</v>
      </c>
      <c r="C34" s="60">
        <v>88</v>
      </c>
    </row>
    <row r="35" spans="1:4" ht="14.25" customHeight="1">
      <c r="A35" s="52" t="s">
        <v>774</v>
      </c>
      <c r="B35" s="59" t="s">
        <v>775</v>
      </c>
      <c r="C35" s="52">
        <v>88</v>
      </c>
    </row>
    <row r="36" spans="1:4" ht="14.25" customHeight="1">
      <c r="A36" s="60" t="s">
        <v>776</v>
      </c>
      <c r="B36" s="61" t="s">
        <v>777</v>
      </c>
      <c r="C36" s="60">
        <v>20</v>
      </c>
    </row>
    <row r="37" spans="1:4" ht="14.25" customHeight="1">
      <c r="A37" s="52" t="s">
        <v>778</v>
      </c>
      <c r="B37" s="59" t="s">
        <v>779</v>
      </c>
      <c r="C37" s="52">
        <v>20</v>
      </c>
    </row>
    <row r="38" spans="1:4" ht="15" customHeight="1"/>
    <row r="39" spans="1:4" ht="15" customHeight="1"/>
    <row r="40" spans="1:4" ht="14.25" customHeight="1">
      <c r="A40" s="7" t="s">
        <v>780</v>
      </c>
    </row>
    <row r="41" spans="1:4" ht="14.25" customHeight="1">
      <c r="A41" s="48" t="s">
        <v>58</v>
      </c>
      <c r="B41" s="48" t="s">
        <v>781</v>
      </c>
      <c r="C41" s="48" t="s">
        <v>782</v>
      </c>
      <c r="D41" s="48" t="s">
        <v>783</v>
      </c>
    </row>
    <row r="42" spans="1:4" ht="14.25" customHeight="1">
      <c r="A42" s="52" t="s">
        <v>314</v>
      </c>
      <c r="B42" s="52">
        <v>4</v>
      </c>
      <c r="C42" s="52">
        <v>4</v>
      </c>
      <c r="D42" s="52" t="s">
        <v>784</v>
      </c>
    </row>
    <row r="43" spans="1:4" ht="14.25" customHeight="1">
      <c r="A43" s="52" t="s">
        <v>74</v>
      </c>
      <c r="B43" s="52">
        <v>584</v>
      </c>
      <c r="C43" s="52">
        <v>584</v>
      </c>
      <c r="D43" s="52" t="s">
        <v>784</v>
      </c>
    </row>
    <row r="44" spans="1:4" ht="14.25" customHeight="1">
      <c r="A44" s="52" t="s">
        <v>80</v>
      </c>
      <c r="B44" s="52">
        <v>320</v>
      </c>
      <c r="C44" s="52">
        <v>320</v>
      </c>
      <c r="D44" s="52" t="s">
        <v>784</v>
      </c>
    </row>
    <row r="45" spans="1:4" ht="14.25" customHeight="1">
      <c r="A45" s="52" t="s">
        <v>78</v>
      </c>
      <c r="B45" s="52">
        <v>445</v>
      </c>
      <c r="C45" s="52">
        <v>445</v>
      </c>
      <c r="D45" s="52" t="s">
        <v>784</v>
      </c>
    </row>
    <row r="46" spans="1:4" ht="14.25" customHeight="1">
      <c r="A46" s="52" t="s">
        <v>83</v>
      </c>
      <c r="B46" s="52">
        <v>14</v>
      </c>
      <c r="C46" s="52">
        <v>14</v>
      </c>
      <c r="D46" s="52" t="s">
        <v>784</v>
      </c>
    </row>
    <row r="47" spans="1:4" ht="14.25" customHeight="1">
      <c r="A47" s="52" t="s">
        <v>785</v>
      </c>
      <c r="B47" s="52">
        <v>2</v>
      </c>
      <c r="C47" s="52">
        <v>2</v>
      </c>
      <c r="D47" s="52" t="s">
        <v>784</v>
      </c>
    </row>
    <row r="48" spans="1:4" ht="14.25" customHeight="1">
      <c r="A48" s="52" t="s">
        <v>786</v>
      </c>
      <c r="B48" s="52">
        <v>2</v>
      </c>
      <c r="C48" s="52">
        <v>2</v>
      </c>
      <c r="D48" s="52" t="s">
        <v>784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1"/>
  <sheetViews>
    <sheetView zoomScaleNormal="100" workbookViewId="0">
      <selection sqref="A1:Z1"/>
    </sheetView>
  </sheetViews>
  <sheetFormatPr defaultColWidth="8.85546875" defaultRowHeight="14.25" customHeight="1"/>
  <cols>
    <col min="1" max="1" width="12" customWidth="1"/>
    <col min="2" max="2" width="10" customWidth="1"/>
    <col min="3" max="3" width="8" customWidth="1"/>
    <col min="4" max="5" width="12" customWidth="1"/>
    <col min="6" max="22" width="4" customWidth="1"/>
  </cols>
  <sheetData>
    <row r="1" spans="1:26" ht="18" customHeight="1">
      <c r="A1" s="98" t="s">
        <v>787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14.25" customHeight="1">
      <c r="A2" t="s">
        <v>788</v>
      </c>
    </row>
    <row r="3" spans="1:26" ht="14.25" customHeight="1">
      <c r="F3" s="77" t="s">
        <v>789</v>
      </c>
      <c r="G3" s="77" t="s">
        <v>789</v>
      </c>
      <c r="H3" s="77" t="s">
        <v>789</v>
      </c>
      <c r="I3" s="77" t="s">
        <v>790</v>
      </c>
      <c r="J3" s="77" t="s">
        <v>790</v>
      </c>
      <c r="K3" s="77" t="s">
        <v>790</v>
      </c>
      <c r="L3" s="77" t="s">
        <v>790</v>
      </c>
      <c r="M3" s="77" t="s">
        <v>791</v>
      </c>
      <c r="N3" s="77" t="s">
        <v>791</v>
      </c>
      <c r="O3" s="77" t="s">
        <v>791</v>
      </c>
      <c r="P3" s="77" t="s">
        <v>791</v>
      </c>
      <c r="Q3" s="77" t="s">
        <v>792</v>
      </c>
      <c r="R3" s="77" t="s">
        <v>792</v>
      </c>
      <c r="S3" s="77" t="s">
        <v>792</v>
      </c>
      <c r="T3" s="77" t="s">
        <v>792</v>
      </c>
      <c r="U3" s="77" t="s">
        <v>792</v>
      </c>
      <c r="V3" s="77" t="s">
        <v>793</v>
      </c>
    </row>
    <row r="4" spans="1:26" ht="14.25" customHeight="1">
      <c r="A4" s="48" t="s">
        <v>12</v>
      </c>
      <c r="B4" s="48" t="s">
        <v>794</v>
      </c>
      <c r="C4" s="48" t="s">
        <v>593</v>
      </c>
      <c r="D4" s="48" t="s">
        <v>795</v>
      </c>
      <c r="E4" s="48" t="s">
        <v>796</v>
      </c>
      <c r="F4" s="48" t="s">
        <v>797</v>
      </c>
      <c r="G4" s="48" t="s">
        <v>798</v>
      </c>
      <c r="H4" s="48" t="s">
        <v>799</v>
      </c>
      <c r="I4" s="48" t="s">
        <v>800</v>
      </c>
      <c r="J4" s="48" t="s">
        <v>797</v>
      </c>
      <c r="K4" s="48" t="s">
        <v>798</v>
      </c>
      <c r="L4" s="48" t="s">
        <v>799</v>
      </c>
      <c r="M4" s="48" t="s">
        <v>801</v>
      </c>
      <c r="N4" s="48" t="s">
        <v>802</v>
      </c>
      <c r="O4" s="48" t="s">
        <v>803</v>
      </c>
      <c r="P4" s="48" t="s">
        <v>804</v>
      </c>
      <c r="Q4" s="48" t="s">
        <v>805</v>
      </c>
      <c r="R4" s="48" t="s">
        <v>806</v>
      </c>
      <c r="S4" s="48" t="s">
        <v>807</v>
      </c>
      <c r="T4" s="48" t="s">
        <v>808</v>
      </c>
      <c r="U4" s="48" t="s">
        <v>809</v>
      </c>
      <c r="V4" s="48" t="s">
        <v>810</v>
      </c>
    </row>
    <row r="5" spans="1:26" ht="14.25" customHeight="1">
      <c r="A5" s="52" t="s">
        <v>20</v>
      </c>
      <c r="B5" s="52">
        <v>712</v>
      </c>
      <c r="C5" s="52">
        <v>117</v>
      </c>
      <c r="D5" s="52" t="s">
        <v>577</v>
      </c>
      <c r="E5" s="52" t="s">
        <v>578</v>
      </c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</row>
    <row r="6" spans="1:26" ht="14.25" customHeight="1">
      <c r="A6" s="52" t="s">
        <v>21</v>
      </c>
      <c r="B6" s="52">
        <v>187</v>
      </c>
      <c r="C6" s="52">
        <v>46</v>
      </c>
      <c r="D6" s="52" t="s">
        <v>579</v>
      </c>
      <c r="E6" s="52" t="s">
        <v>580</v>
      </c>
      <c r="G6" s="79"/>
      <c r="H6" s="79"/>
      <c r="I6" s="79"/>
      <c r="J6" s="79"/>
      <c r="K6" s="79"/>
      <c r="L6" s="79"/>
      <c r="M6" s="79"/>
    </row>
    <row r="7" spans="1:26" ht="14.25" customHeight="1">
      <c r="A7" s="52" t="s">
        <v>22</v>
      </c>
      <c r="B7" s="52">
        <v>327</v>
      </c>
      <c r="C7" s="52">
        <v>72</v>
      </c>
      <c r="D7" s="52" t="s">
        <v>581</v>
      </c>
      <c r="E7" s="52" t="s">
        <v>582</v>
      </c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</row>
    <row r="8" spans="1:26" ht="14.25" customHeight="1">
      <c r="A8" s="52" t="s">
        <v>23</v>
      </c>
      <c r="B8" s="52">
        <v>145</v>
      </c>
      <c r="C8" s="52">
        <v>47</v>
      </c>
      <c r="D8" s="52" t="s">
        <v>583</v>
      </c>
      <c r="E8" s="52" t="s">
        <v>584</v>
      </c>
      <c r="I8" s="81"/>
      <c r="J8" s="81"/>
      <c r="K8" s="81"/>
      <c r="L8" s="81"/>
      <c r="M8" s="81"/>
      <c r="N8" s="81"/>
      <c r="O8" s="81"/>
    </row>
    <row r="9" spans="1:26" ht="14.25" customHeight="1">
      <c r="A9" s="52" t="s">
        <v>24</v>
      </c>
      <c r="B9" s="52">
        <v>99</v>
      </c>
      <c r="C9" s="52">
        <v>32</v>
      </c>
      <c r="D9" s="52" t="s">
        <v>585</v>
      </c>
      <c r="E9" s="52" t="s">
        <v>586</v>
      </c>
      <c r="J9" s="82"/>
      <c r="K9" s="82"/>
      <c r="L9" s="82"/>
      <c r="M9" s="82"/>
      <c r="N9" s="82"/>
    </row>
    <row r="10" spans="1:26" ht="14.25" customHeight="1">
      <c r="A10" s="52" t="s">
        <v>25</v>
      </c>
      <c r="B10" s="52">
        <v>114</v>
      </c>
      <c r="C10" s="52">
        <v>38</v>
      </c>
      <c r="D10" s="52" t="s">
        <v>585</v>
      </c>
      <c r="E10" s="52" t="s">
        <v>587</v>
      </c>
      <c r="J10" s="83"/>
      <c r="K10" s="83"/>
      <c r="L10" s="83"/>
      <c r="M10" s="83"/>
      <c r="N10" s="83"/>
      <c r="O10" s="83"/>
    </row>
    <row r="11" spans="1:26" ht="14.25" customHeight="1">
      <c r="A11" s="52" t="s">
        <v>26</v>
      </c>
      <c r="B11" s="52">
        <v>8</v>
      </c>
      <c r="C11" s="52">
        <v>16</v>
      </c>
      <c r="D11" s="52" t="s">
        <v>588</v>
      </c>
      <c r="E11" s="52" t="s">
        <v>589</v>
      </c>
      <c r="L11" s="84"/>
      <c r="M11" s="84"/>
      <c r="N11" s="84"/>
    </row>
    <row r="12" spans="1:26" ht="15" customHeight="1"/>
    <row r="13" spans="1:26" ht="15" customHeight="1"/>
    <row r="14" spans="1:26" ht="14.25" customHeight="1">
      <c r="A14" s="7" t="s">
        <v>811</v>
      </c>
    </row>
    <row r="15" spans="1:26" ht="14.25" customHeight="1">
      <c r="A15" t="s">
        <v>20</v>
      </c>
      <c r="B15" s="78"/>
    </row>
    <row r="16" spans="1:26" ht="14.25" customHeight="1">
      <c r="A16" t="s">
        <v>21</v>
      </c>
      <c r="B16" s="79"/>
    </row>
    <row r="17" spans="1:2" ht="14.25" customHeight="1">
      <c r="A17" t="s">
        <v>22</v>
      </c>
      <c r="B17" s="80"/>
    </row>
    <row r="18" spans="1:2" ht="14.25" customHeight="1">
      <c r="A18" t="s">
        <v>23</v>
      </c>
      <c r="B18" s="81"/>
    </row>
    <row r="19" spans="1:2" ht="14.25" customHeight="1">
      <c r="A19" t="s">
        <v>24</v>
      </c>
      <c r="B19" s="82"/>
    </row>
    <row r="20" spans="1:2" ht="14.25" customHeight="1">
      <c r="A20" t="s">
        <v>25</v>
      </c>
      <c r="B20" s="83"/>
    </row>
    <row r="21" spans="1:2" ht="14.25" customHeight="1">
      <c r="A21" t="s">
        <v>26</v>
      </c>
      <c r="B21" s="84"/>
    </row>
  </sheetData>
  <mergeCells count="1">
    <mergeCell ref="A1:Z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98"/>
  <sheetViews>
    <sheetView topLeftCell="A9" zoomScaleNormal="100" workbookViewId="0">
      <selection activeCell="E24" sqref="E24"/>
    </sheetView>
  </sheetViews>
  <sheetFormatPr defaultColWidth="8.85546875" defaultRowHeight="14.25" customHeight="1"/>
  <cols>
    <col min="1" max="1" width="10" customWidth="1"/>
    <col min="2" max="2" width="35" customWidth="1"/>
    <col min="3" max="3" width="8" customWidth="1"/>
    <col min="4" max="5" width="12" customWidth="1"/>
    <col min="6" max="22" width="4" customWidth="1"/>
  </cols>
  <sheetData>
    <row r="1" spans="1:26" ht="18" customHeight="1">
      <c r="A1" s="98" t="s">
        <v>812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14.25" customHeight="1">
      <c r="A2" t="s">
        <v>788</v>
      </c>
    </row>
    <row r="3" spans="1:26" ht="14.25" customHeight="1">
      <c r="F3" s="77" t="s">
        <v>789</v>
      </c>
      <c r="G3" s="77" t="s">
        <v>789</v>
      </c>
      <c r="H3" s="77" t="s">
        <v>789</v>
      </c>
      <c r="I3" s="77" t="s">
        <v>790</v>
      </c>
      <c r="J3" s="77" t="s">
        <v>790</v>
      </c>
      <c r="K3" s="77" t="s">
        <v>790</v>
      </c>
      <c r="L3" s="77" t="s">
        <v>790</v>
      </c>
      <c r="M3" s="77" t="s">
        <v>791</v>
      </c>
      <c r="N3" s="77" t="s">
        <v>791</v>
      </c>
      <c r="O3" s="77" t="s">
        <v>791</v>
      </c>
      <c r="P3" s="77" t="s">
        <v>791</v>
      </c>
      <c r="Q3" s="77" t="s">
        <v>792</v>
      </c>
      <c r="R3" s="77" t="s">
        <v>792</v>
      </c>
      <c r="S3" s="77" t="s">
        <v>792</v>
      </c>
      <c r="T3" s="77" t="s">
        <v>792</v>
      </c>
      <c r="U3" s="77" t="s">
        <v>792</v>
      </c>
      <c r="V3" s="77" t="s">
        <v>793</v>
      </c>
    </row>
    <row r="4" spans="1:26" ht="14.25" customHeight="1">
      <c r="A4" s="48" t="s">
        <v>12</v>
      </c>
      <c r="B4" s="48" t="s">
        <v>56</v>
      </c>
      <c r="C4" s="48" t="s">
        <v>794</v>
      </c>
      <c r="D4" s="48" t="s">
        <v>795</v>
      </c>
      <c r="E4" s="48" t="s">
        <v>796</v>
      </c>
      <c r="F4" s="48" t="s">
        <v>797</v>
      </c>
      <c r="G4" s="48" t="s">
        <v>798</v>
      </c>
      <c r="H4" s="48" t="s">
        <v>799</v>
      </c>
      <c r="I4" s="48" t="s">
        <v>800</v>
      </c>
      <c r="J4" s="48" t="s">
        <v>797</v>
      </c>
      <c r="K4" s="48" t="s">
        <v>798</v>
      </c>
      <c r="L4" s="48" t="s">
        <v>799</v>
      </c>
      <c r="M4" s="48" t="s">
        <v>801</v>
      </c>
      <c r="N4" s="48" t="s">
        <v>802</v>
      </c>
      <c r="O4" s="48" t="s">
        <v>803</v>
      </c>
      <c r="P4" s="48" t="s">
        <v>804</v>
      </c>
      <c r="Q4" s="48" t="s">
        <v>805</v>
      </c>
      <c r="R4" s="48" t="s">
        <v>806</v>
      </c>
      <c r="S4" s="48" t="s">
        <v>807</v>
      </c>
      <c r="T4" s="48" t="s">
        <v>808</v>
      </c>
      <c r="U4" s="48" t="s">
        <v>809</v>
      </c>
      <c r="V4" s="48" t="s">
        <v>810</v>
      </c>
    </row>
    <row r="5" spans="1:26" ht="14.25" customHeight="1">
      <c r="A5" s="52" t="s">
        <v>20</v>
      </c>
      <c r="B5" s="59" t="s">
        <v>813</v>
      </c>
      <c r="C5" s="52">
        <v>318</v>
      </c>
      <c r="D5" s="52" t="s">
        <v>577</v>
      </c>
      <c r="E5" s="52" t="s">
        <v>594</v>
      </c>
      <c r="F5" s="78"/>
      <c r="G5" s="78"/>
      <c r="H5" s="78"/>
      <c r="I5" s="78"/>
      <c r="J5" s="78"/>
      <c r="K5" s="78"/>
      <c r="L5" s="78"/>
    </row>
    <row r="6" spans="1:26" ht="14.25" customHeight="1">
      <c r="A6" s="52" t="s">
        <v>20</v>
      </c>
      <c r="B6" s="52" t="s">
        <v>87</v>
      </c>
      <c r="C6" s="52">
        <v>106</v>
      </c>
      <c r="D6" s="52" t="s">
        <v>595</v>
      </c>
      <c r="E6" s="52" t="s">
        <v>596</v>
      </c>
      <c r="M6" s="78"/>
      <c r="N6" s="78"/>
      <c r="O6" s="78"/>
    </row>
    <row r="7" spans="1:26" ht="14.25" customHeight="1">
      <c r="A7" s="52" t="s">
        <v>20</v>
      </c>
      <c r="B7" s="52" t="s">
        <v>93</v>
      </c>
      <c r="C7" s="52">
        <v>71</v>
      </c>
      <c r="D7" s="52" t="s">
        <v>597</v>
      </c>
      <c r="E7" s="52" t="s">
        <v>598</v>
      </c>
      <c r="O7" s="78"/>
      <c r="P7" s="78"/>
    </row>
    <row r="8" spans="1:26" ht="14.25" customHeight="1">
      <c r="A8" s="52" t="s">
        <v>20</v>
      </c>
      <c r="B8" s="52" t="s">
        <v>103</v>
      </c>
      <c r="C8" s="52">
        <v>64</v>
      </c>
      <c r="D8" s="52" t="s">
        <v>599</v>
      </c>
      <c r="E8" s="52" t="s">
        <v>600</v>
      </c>
      <c r="P8" s="78"/>
      <c r="Q8" s="78"/>
      <c r="R8" s="78"/>
    </row>
    <row r="9" spans="1:26" ht="14.25" customHeight="1">
      <c r="A9" s="52" t="s">
        <v>20</v>
      </c>
      <c r="B9" s="52" t="s">
        <v>100</v>
      </c>
      <c r="C9" s="52">
        <v>35</v>
      </c>
      <c r="D9" s="52" t="s">
        <v>582</v>
      </c>
      <c r="E9" s="52" t="s">
        <v>601</v>
      </c>
      <c r="R9" s="78"/>
    </row>
    <row r="10" spans="1:26" ht="14.25" customHeight="1">
      <c r="A10" s="52" t="s">
        <v>20</v>
      </c>
      <c r="B10" s="52" t="s">
        <v>96</v>
      </c>
      <c r="C10" s="52">
        <v>26</v>
      </c>
      <c r="D10" s="52" t="s">
        <v>602</v>
      </c>
      <c r="E10" s="52" t="s">
        <v>603</v>
      </c>
      <c r="S10" s="78"/>
    </row>
    <row r="11" spans="1:26" ht="14.25" customHeight="1">
      <c r="A11" s="52" t="s">
        <v>20</v>
      </c>
      <c r="B11" s="59" t="s">
        <v>814</v>
      </c>
      <c r="C11" s="52">
        <v>18</v>
      </c>
      <c r="D11" s="52" t="s">
        <v>604</v>
      </c>
      <c r="E11" s="52" t="s">
        <v>605</v>
      </c>
      <c r="S11" s="78"/>
    </row>
    <row r="12" spans="1:26" ht="14.25" customHeight="1">
      <c r="A12" s="52" t="s">
        <v>20</v>
      </c>
      <c r="B12" s="59" t="s">
        <v>815</v>
      </c>
      <c r="C12" s="52">
        <v>14</v>
      </c>
      <c r="D12" s="52" t="s">
        <v>606</v>
      </c>
      <c r="E12" s="52" t="s">
        <v>606</v>
      </c>
      <c r="S12" s="78"/>
    </row>
    <row r="13" spans="1:26" ht="14.25" customHeight="1">
      <c r="A13" s="52" t="s">
        <v>20</v>
      </c>
      <c r="B13" s="59" t="s">
        <v>815</v>
      </c>
      <c r="C13" s="52">
        <v>13</v>
      </c>
      <c r="D13" s="52" t="s">
        <v>607</v>
      </c>
      <c r="E13" s="52" t="s">
        <v>607</v>
      </c>
      <c r="S13" s="78"/>
    </row>
    <row r="14" spans="1:26" ht="14.25" customHeight="1">
      <c r="A14" s="52" t="s">
        <v>20</v>
      </c>
      <c r="B14" s="59" t="s">
        <v>815</v>
      </c>
      <c r="C14" s="52">
        <v>12</v>
      </c>
      <c r="D14" s="52" t="s">
        <v>608</v>
      </c>
      <c r="E14" s="52" t="s">
        <v>608</v>
      </c>
      <c r="T14" s="78"/>
    </row>
    <row r="15" spans="1:26" ht="14.25" customHeight="1">
      <c r="A15" s="52" t="s">
        <v>20</v>
      </c>
      <c r="B15" s="59" t="s">
        <v>815</v>
      </c>
      <c r="C15" s="52">
        <v>10</v>
      </c>
      <c r="D15" s="52" t="s">
        <v>609</v>
      </c>
      <c r="E15" s="52" t="s">
        <v>609</v>
      </c>
      <c r="T15" s="78"/>
    </row>
    <row r="16" spans="1:26" ht="14.25" customHeight="1">
      <c r="A16" s="52" t="s">
        <v>20</v>
      </c>
      <c r="B16" s="59" t="s">
        <v>815</v>
      </c>
      <c r="C16" s="52">
        <v>10</v>
      </c>
      <c r="D16" s="52" t="s">
        <v>610</v>
      </c>
      <c r="E16" s="52" t="s">
        <v>610</v>
      </c>
      <c r="T16" s="78"/>
    </row>
    <row r="17" spans="1:21" ht="14.25" customHeight="1">
      <c r="A17" s="52" t="s">
        <v>20</v>
      </c>
      <c r="B17" s="59" t="s">
        <v>815</v>
      </c>
      <c r="C17" s="52">
        <v>6</v>
      </c>
      <c r="D17" s="52" t="s">
        <v>611</v>
      </c>
      <c r="E17" s="52" t="s">
        <v>611</v>
      </c>
      <c r="T17" s="78"/>
    </row>
    <row r="18" spans="1:21" ht="14.25" customHeight="1">
      <c r="A18" s="52" t="s">
        <v>20</v>
      </c>
      <c r="B18" s="52" t="s">
        <v>371</v>
      </c>
      <c r="C18" s="52">
        <v>2</v>
      </c>
      <c r="D18" s="52" t="s">
        <v>612</v>
      </c>
      <c r="E18" s="52" t="s">
        <v>612</v>
      </c>
      <c r="T18" s="78"/>
    </row>
    <row r="19" spans="1:21" ht="14.25" customHeight="1">
      <c r="A19" s="52" t="s">
        <v>20</v>
      </c>
      <c r="B19" s="52" t="s">
        <v>370</v>
      </c>
      <c r="C19" s="52">
        <v>2</v>
      </c>
      <c r="D19" s="52" t="s">
        <v>613</v>
      </c>
      <c r="E19" s="52" t="s">
        <v>613</v>
      </c>
      <c r="T19" s="78"/>
    </row>
    <row r="20" spans="1:21" ht="14.25" customHeight="1">
      <c r="A20" s="52" t="s">
        <v>20</v>
      </c>
      <c r="B20" s="52" t="s">
        <v>369</v>
      </c>
      <c r="C20" s="52">
        <v>2</v>
      </c>
      <c r="D20" s="52" t="s">
        <v>614</v>
      </c>
      <c r="E20" s="52" t="s">
        <v>614</v>
      </c>
      <c r="T20" s="78"/>
    </row>
    <row r="21" spans="1:21" ht="14.25" customHeight="1">
      <c r="A21" s="52" t="s">
        <v>20</v>
      </c>
      <c r="B21" s="52" t="s">
        <v>372</v>
      </c>
      <c r="C21" s="52">
        <v>1</v>
      </c>
      <c r="D21" s="52" t="s">
        <v>615</v>
      </c>
      <c r="E21" s="52" t="s">
        <v>615</v>
      </c>
      <c r="U21" s="78"/>
    </row>
    <row r="22" spans="1:21" ht="14.25" customHeight="1">
      <c r="A22" s="52" t="s">
        <v>20</v>
      </c>
      <c r="B22" s="59" t="s">
        <v>815</v>
      </c>
      <c r="C22" s="52">
        <v>1</v>
      </c>
      <c r="D22" s="52" t="s">
        <v>616</v>
      </c>
      <c r="E22" s="52" t="s">
        <v>616</v>
      </c>
      <c r="U22" s="78"/>
    </row>
    <row r="23" spans="1:21" ht="14.25" customHeight="1">
      <c r="A23" s="52" t="s">
        <v>20</v>
      </c>
      <c r="B23" s="59" t="s">
        <v>380</v>
      </c>
      <c r="C23" s="52">
        <v>1</v>
      </c>
      <c r="D23" s="52" t="s">
        <v>617</v>
      </c>
      <c r="E23" s="52" t="s">
        <v>617</v>
      </c>
      <c r="U23" s="78"/>
    </row>
    <row r="24" spans="1:21" ht="14.25" customHeight="1">
      <c r="A24" s="52" t="s">
        <v>21</v>
      </c>
      <c r="B24" s="59" t="s">
        <v>152</v>
      </c>
      <c r="C24" s="52">
        <v>59</v>
      </c>
      <c r="D24" s="52" t="s">
        <v>579</v>
      </c>
      <c r="E24" s="52" t="s">
        <v>618</v>
      </c>
      <c r="G24" s="79"/>
      <c r="H24" s="79"/>
    </row>
    <row r="25" spans="1:21" ht="14.25" customHeight="1">
      <c r="A25" s="52" t="s">
        <v>21</v>
      </c>
      <c r="B25" s="59" t="s">
        <v>225</v>
      </c>
      <c r="C25" s="52">
        <v>35</v>
      </c>
      <c r="D25" s="52" t="s">
        <v>619</v>
      </c>
      <c r="E25" s="52" t="s">
        <v>620</v>
      </c>
      <c r="H25" s="79"/>
      <c r="I25" s="79"/>
    </row>
    <row r="26" spans="1:21" ht="14.25" customHeight="1">
      <c r="A26" s="52" t="s">
        <v>21</v>
      </c>
      <c r="B26" s="59" t="s">
        <v>174</v>
      </c>
      <c r="C26" s="52">
        <v>17</v>
      </c>
      <c r="D26" s="52" t="s">
        <v>621</v>
      </c>
      <c r="E26" s="52" t="s">
        <v>622</v>
      </c>
      <c r="I26" s="79"/>
    </row>
    <row r="27" spans="1:21" ht="14.25" customHeight="1">
      <c r="A27" s="52" t="s">
        <v>21</v>
      </c>
      <c r="B27" s="59" t="s">
        <v>163</v>
      </c>
      <c r="C27" s="52">
        <v>14</v>
      </c>
      <c r="D27" s="52" t="s">
        <v>623</v>
      </c>
      <c r="E27" s="52" t="s">
        <v>585</v>
      </c>
      <c r="J27" s="79"/>
    </row>
    <row r="28" spans="1:21" ht="14.25" customHeight="1">
      <c r="A28" s="52" t="s">
        <v>21</v>
      </c>
      <c r="B28" s="59" t="s">
        <v>160</v>
      </c>
      <c r="C28" s="52">
        <v>11</v>
      </c>
      <c r="D28" s="52" t="s">
        <v>624</v>
      </c>
      <c r="E28" s="52" t="s">
        <v>625</v>
      </c>
      <c r="J28" s="79"/>
    </row>
    <row r="29" spans="1:21" ht="14.25" customHeight="1">
      <c r="A29" s="52" t="s">
        <v>21</v>
      </c>
      <c r="B29" s="59" t="s">
        <v>166</v>
      </c>
      <c r="C29" s="52">
        <v>7</v>
      </c>
      <c r="D29" s="52" t="s">
        <v>626</v>
      </c>
      <c r="E29" s="52" t="s">
        <v>626</v>
      </c>
      <c r="J29" s="79"/>
    </row>
    <row r="30" spans="1:21" ht="14.25" customHeight="1">
      <c r="A30" s="52" t="s">
        <v>21</v>
      </c>
      <c r="B30" s="59" t="s">
        <v>216</v>
      </c>
      <c r="C30" s="52">
        <v>4</v>
      </c>
      <c r="D30" s="52" t="s">
        <v>627</v>
      </c>
      <c r="E30" s="52" t="s">
        <v>627</v>
      </c>
      <c r="J30" s="79"/>
    </row>
    <row r="31" spans="1:21" ht="14.25" customHeight="1">
      <c r="A31" s="52" t="s">
        <v>21</v>
      </c>
      <c r="B31" s="59" t="s">
        <v>211</v>
      </c>
      <c r="C31" s="52">
        <v>3</v>
      </c>
      <c r="D31" s="52" t="s">
        <v>628</v>
      </c>
      <c r="E31" s="52" t="s">
        <v>628</v>
      </c>
      <c r="J31" s="79"/>
    </row>
    <row r="32" spans="1:21" ht="14.25" customHeight="1">
      <c r="A32" s="52" t="s">
        <v>21</v>
      </c>
      <c r="B32" s="52" t="s">
        <v>127</v>
      </c>
      <c r="C32" s="52">
        <v>3</v>
      </c>
      <c r="D32" s="52" t="s">
        <v>629</v>
      </c>
      <c r="E32" s="52" t="s">
        <v>629</v>
      </c>
      <c r="K32" s="79"/>
    </row>
    <row r="33" spans="1:13" ht="14.25" customHeight="1">
      <c r="A33" s="52" t="s">
        <v>21</v>
      </c>
      <c r="B33" s="59" t="s">
        <v>156</v>
      </c>
      <c r="C33" s="52">
        <v>3</v>
      </c>
      <c r="D33" s="52" t="s">
        <v>630</v>
      </c>
      <c r="E33" s="52" t="s">
        <v>630</v>
      </c>
      <c r="K33" s="79"/>
    </row>
    <row r="34" spans="1:13" ht="14.25" customHeight="1">
      <c r="A34" s="52" t="s">
        <v>21</v>
      </c>
      <c r="B34" s="59" t="s">
        <v>232</v>
      </c>
      <c r="C34" s="52">
        <v>3</v>
      </c>
      <c r="D34" s="52" t="s">
        <v>631</v>
      </c>
      <c r="E34" s="52" t="s">
        <v>631</v>
      </c>
      <c r="K34" s="79"/>
    </row>
    <row r="35" spans="1:13" ht="14.25" customHeight="1">
      <c r="A35" s="52" t="s">
        <v>21</v>
      </c>
      <c r="B35" s="59" t="s">
        <v>180</v>
      </c>
      <c r="C35" s="52">
        <v>2</v>
      </c>
      <c r="D35" s="52" t="s">
        <v>632</v>
      </c>
      <c r="E35" s="52" t="s">
        <v>632</v>
      </c>
      <c r="K35" s="79"/>
    </row>
    <row r="36" spans="1:13" ht="14.25" customHeight="1">
      <c r="A36" s="52" t="s">
        <v>21</v>
      </c>
      <c r="B36" s="52" t="s">
        <v>326</v>
      </c>
      <c r="C36" s="52">
        <v>2</v>
      </c>
      <c r="D36" s="52" t="s">
        <v>633</v>
      </c>
      <c r="E36" s="52" t="s">
        <v>633</v>
      </c>
      <c r="K36" s="79"/>
    </row>
    <row r="37" spans="1:13" ht="14.25" customHeight="1">
      <c r="A37" s="52" t="s">
        <v>21</v>
      </c>
      <c r="B37" s="52" t="s">
        <v>324</v>
      </c>
      <c r="C37" s="52">
        <v>2</v>
      </c>
      <c r="D37" s="52" t="s">
        <v>634</v>
      </c>
      <c r="E37" s="52" t="s">
        <v>634</v>
      </c>
      <c r="K37" s="79"/>
    </row>
    <row r="38" spans="1:13" ht="14.25" customHeight="1">
      <c r="A38" s="52" t="s">
        <v>21</v>
      </c>
      <c r="B38" s="59" t="s">
        <v>334</v>
      </c>
      <c r="C38" s="52">
        <v>2</v>
      </c>
      <c r="D38" s="52" t="s">
        <v>635</v>
      </c>
      <c r="E38" s="52" t="s">
        <v>635</v>
      </c>
      <c r="K38" s="79"/>
    </row>
    <row r="39" spans="1:13" ht="14.25" customHeight="1">
      <c r="A39" s="52" t="s">
        <v>21</v>
      </c>
      <c r="B39" s="52" t="s">
        <v>329</v>
      </c>
      <c r="C39" s="52">
        <v>2</v>
      </c>
      <c r="D39" s="52" t="s">
        <v>636</v>
      </c>
      <c r="E39" s="52" t="s">
        <v>636</v>
      </c>
      <c r="L39" s="79"/>
    </row>
    <row r="40" spans="1:13" ht="14.25" customHeight="1">
      <c r="A40" s="52" t="s">
        <v>21</v>
      </c>
      <c r="B40" s="52" t="s">
        <v>124</v>
      </c>
      <c r="C40" s="52">
        <v>2</v>
      </c>
      <c r="D40" s="52" t="s">
        <v>637</v>
      </c>
      <c r="E40" s="52" t="s">
        <v>637</v>
      </c>
      <c r="L40" s="79"/>
    </row>
    <row r="41" spans="1:13" ht="14.25" customHeight="1">
      <c r="A41" s="52" t="s">
        <v>21</v>
      </c>
      <c r="B41" s="52" t="s">
        <v>331</v>
      </c>
      <c r="C41" s="52">
        <v>2</v>
      </c>
      <c r="D41" s="52" t="s">
        <v>638</v>
      </c>
      <c r="E41" s="52" t="s">
        <v>638</v>
      </c>
      <c r="L41" s="79"/>
    </row>
    <row r="42" spans="1:13" ht="14.25" customHeight="1">
      <c r="A42" s="52" t="s">
        <v>21</v>
      </c>
      <c r="B42" s="59" t="s">
        <v>187</v>
      </c>
      <c r="C42" s="52">
        <v>2</v>
      </c>
      <c r="D42" s="52" t="s">
        <v>639</v>
      </c>
      <c r="E42" s="52" t="s">
        <v>639</v>
      </c>
      <c r="L42" s="79"/>
    </row>
    <row r="43" spans="1:13" ht="14.25" customHeight="1">
      <c r="A43" s="52" t="s">
        <v>21</v>
      </c>
      <c r="B43" s="59" t="s">
        <v>246</v>
      </c>
      <c r="C43" s="52">
        <v>1</v>
      </c>
      <c r="D43" s="52" t="s">
        <v>588</v>
      </c>
      <c r="E43" s="52" t="s">
        <v>588</v>
      </c>
      <c r="L43" s="79"/>
    </row>
    <row r="44" spans="1:13" ht="14.25" customHeight="1">
      <c r="A44" s="52" t="s">
        <v>21</v>
      </c>
      <c r="B44" s="59" t="s">
        <v>184</v>
      </c>
      <c r="C44" s="52">
        <v>1</v>
      </c>
      <c r="D44" s="52" t="s">
        <v>640</v>
      </c>
      <c r="E44" s="52" t="s">
        <v>640</v>
      </c>
      <c r="L44" s="79"/>
    </row>
    <row r="45" spans="1:13" ht="14.25" customHeight="1">
      <c r="A45" s="52" t="s">
        <v>21</v>
      </c>
      <c r="B45" s="59" t="s">
        <v>248</v>
      </c>
      <c r="C45" s="52">
        <v>1</v>
      </c>
      <c r="D45" s="52" t="s">
        <v>594</v>
      </c>
      <c r="E45" s="52" t="s">
        <v>594</v>
      </c>
      <c r="L45" s="79"/>
    </row>
    <row r="46" spans="1:13" ht="14.25" customHeight="1">
      <c r="A46" s="52" t="s">
        <v>21</v>
      </c>
      <c r="B46" s="59" t="s">
        <v>168</v>
      </c>
      <c r="C46" s="52">
        <v>1</v>
      </c>
      <c r="D46" s="52" t="s">
        <v>595</v>
      </c>
      <c r="E46" s="52" t="s">
        <v>595</v>
      </c>
      <c r="M46" s="79"/>
    </row>
    <row r="47" spans="1:13" ht="14.25" customHeight="1">
      <c r="A47" s="52" t="s">
        <v>21</v>
      </c>
      <c r="B47" s="59" t="s">
        <v>251</v>
      </c>
      <c r="C47" s="52">
        <v>1</v>
      </c>
      <c r="D47" s="52" t="s">
        <v>641</v>
      </c>
      <c r="E47" s="52" t="s">
        <v>641</v>
      </c>
      <c r="M47" s="79"/>
    </row>
    <row r="48" spans="1:13" ht="14.25" customHeight="1">
      <c r="A48" s="52" t="s">
        <v>21</v>
      </c>
      <c r="B48" s="59" t="s">
        <v>235</v>
      </c>
      <c r="C48" s="52">
        <v>1</v>
      </c>
      <c r="D48" s="52" t="s">
        <v>642</v>
      </c>
      <c r="E48" s="52" t="s">
        <v>642</v>
      </c>
      <c r="M48" s="79"/>
    </row>
    <row r="49" spans="1:17" ht="14.25" customHeight="1">
      <c r="A49" s="52" t="s">
        <v>21</v>
      </c>
      <c r="B49" s="59" t="s">
        <v>237</v>
      </c>
      <c r="C49" s="52">
        <v>1</v>
      </c>
      <c r="D49" s="52" t="s">
        <v>643</v>
      </c>
      <c r="E49" s="52" t="s">
        <v>643</v>
      </c>
      <c r="M49" s="79"/>
    </row>
    <row r="50" spans="1:17" ht="14.25" customHeight="1">
      <c r="A50" s="52" t="s">
        <v>21</v>
      </c>
      <c r="B50" s="59" t="s">
        <v>239</v>
      </c>
      <c r="C50" s="52">
        <v>1</v>
      </c>
      <c r="D50" s="52" t="s">
        <v>580</v>
      </c>
      <c r="E50" s="52" t="s">
        <v>580</v>
      </c>
      <c r="M50" s="79"/>
    </row>
    <row r="51" spans="1:17" ht="14.25" customHeight="1">
      <c r="A51" s="52" t="s">
        <v>21</v>
      </c>
      <c r="B51" s="59" t="s">
        <v>241</v>
      </c>
      <c r="C51" s="52">
        <v>1</v>
      </c>
      <c r="D51" s="52" t="s">
        <v>644</v>
      </c>
      <c r="E51" s="52" t="s">
        <v>580</v>
      </c>
      <c r="M51" s="79"/>
    </row>
    <row r="52" spans="1:17" ht="14.25" customHeight="1">
      <c r="A52" s="52" t="s">
        <v>21</v>
      </c>
      <c r="B52" s="59" t="s">
        <v>243</v>
      </c>
      <c r="C52" s="52">
        <v>1</v>
      </c>
      <c r="D52" s="52" t="s">
        <v>644</v>
      </c>
      <c r="E52" s="52" t="s">
        <v>580</v>
      </c>
      <c r="M52" s="79"/>
    </row>
    <row r="53" spans="1:17" ht="14.25" customHeight="1">
      <c r="A53" s="52" t="s">
        <v>21</v>
      </c>
      <c r="B53" s="59" t="s">
        <v>253</v>
      </c>
      <c r="C53" s="52">
        <v>1</v>
      </c>
      <c r="D53" s="52" t="s">
        <v>644</v>
      </c>
      <c r="E53" s="52" t="s">
        <v>580</v>
      </c>
      <c r="M53" s="79"/>
    </row>
    <row r="54" spans="1:17" ht="14.25" customHeight="1">
      <c r="A54" s="52" t="s">
        <v>21</v>
      </c>
      <c r="B54" s="59" t="s">
        <v>182</v>
      </c>
      <c r="C54" s="52">
        <v>1</v>
      </c>
      <c r="D54" s="52" t="s">
        <v>644</v>
      </c>
      <c r="E54" s="52" t="s">
        <v>580</v>
      </c>
      <c r="M54" s="79"/>
    </row>
    <row r="55" spans="1:17" ht="14.25" customHeight="1">
      <c r="A55" s="52" t="s">
        <v>22</v>
      </c>
      <c r="B55" s="59" t="s">
        <v>512</v>
      </c>
      <c r="C55" s="52">
        <v>232</v>
      </c>
      <c r="D55" s="52" t="s">
        <v>581</v>
      </c>
      <c r="E55" s="52" t="s">
        <v>596</v>
      </c>
      <c r="H55" s="80"/>
      <c r="I55" s="80"/>
      <c r="J55" s="80"/>
      <c r="K55" s="80"/>
      <c r="L55" s="80"/>
      <c r="M55" s="80"/>
      <c r="N55" s="80"/>
      <c r="O55" s="80"/>
    </row>
    <row r="56" spans="1:17" ht="14.25" customHeight="1">
      <c r="A56" s="52" t="s">
        <v>22</v>
      </c>
      <c r="B56" s="52" t="s">
        <v>504</v>
      </c>
      <c r="C56" s="52">
        <v>44</v>
      </c>
      <c r="D56" s="52" t="s">
        <v>597</v>
      </c>
      <c r="E56" s="52" t="s">
        <v>645</v>
      </c>
      <c r="O56" s="80"/>
      <c r="P56" s="80"/>
    </row>
    <row r="57" spans="1:17" ht="14.25" customHeight="1">
      <c r="A57" s="52" t="s">
        <v>22</v>
      </c>
      <c r="B57" s="52" t="s">
        <v>501</v>
      </c>
      <c r="C57" s="52">
        <v>39</v>
      </c>
      <c r="D57" s="52" t="s">
        <v>646</v>
      </c>
      <c r="E57" s="52" t="s">
        <v>647</v>
      </c>
      <c r="P57" s="80"/>
      <c r="Q57" s="80"/>
    </row>
    <row r="58" spans="1:17" ht="14.25" customHeight="1">
      <c r="A58" s="52" t="s">
        <v>22</v>
      </c>
      <c r="B58" s="59" t="s">
        <v>816</v>
      </c>
      <c r="C58" s="52">
        <v>8</v>
      </c>
      <c r="D58" s="52" t="s">
        <v>648</v>
      </c>
      <c r="E58" s="52" t="s">
        <v>648</v>
      </c>
      <c r="Q58" s="80"/>
    </row>
    <row r="59" spans="1:17" ht="14.25" customHeight="1">
      <c r="A59" s="52" t="s">
        <v>22</v>
      </c>
      <c r="B59" s="52" t="s">
        <v>508</v>
      </c>
      <c r="C59" s="52">
        <v>4</v>
      </c>
      <c r="D59" s="52" t="s">
        <v>649</v>
      </c>
      <c r="E59" s="52" t="s">
        <v>649</v>
      </c>
      <c r="Q59" s="80"/>
    </row>
    <row r="60" spans="1:17" ht="14.25" customHeight="1">
      <c r="A60" s="52" t="s">
        <v>23</v>
      </c>
      <c r="B60" s="52" t="s">
        <v>415</v>
      </c>
      <c r="C60" s="52">
        <v>59</v>
      </c>
      <c r="D60" s="52" t="s">
        <v>583</v>
      </c>
      <c r="E60" s="52" t="s">
        <v>632</v>
      </c>
      <c r="I60" s="81"/>
      <c r="J60" s="81"/>
      <c r="K60" s="81"/>
    </row>
    <row r="61" spans="1:17" ht="14.25" customHeight="1">
      <c r="A61" s="52" t="s">
        <v>23</v>
      </c>
      <c r="B61" s="52" t="s">
        <v>391</v>
      </c>
      <c r="C61" s="52">
        <v>36</v>
      </c>
      <c r="D61" s="52" t="s">
        <v>633</v>
      </c>
      <c r="E61" s="52" t="s">
        <v>595</v>
      </c>
      <c r="K61" s="81"/>
      <c r="L61" s="81"/>
      <c r="M61" s="81"/>
    </row>
    <row r="62" spans="1:17" ht="14.25" customHeight="1">
      <c r="A62" s="52" t="s">
        <v>23</v>
      </c>
      <c r="B62" s="52" t="s">
        <v>405</v>
      </c>
      <c r="C62" s="52">
        <v>23</v>
      </c>
      <c r="D62" s="52" t="s">
        <v>641</v>
      </c>
      <c r="E62" s="52" t="s">
        <v>650</v>
      </c>
      <c r="M62" s="81"/>
    </row>
    <row r="63" spans="1:17" ht="14.25" customHeight="1">
      <c r="A63" s="52" t="s">
        <v>23</v>
      </c>
      <c r="B63" s="59" t="s">
        <v>814</v>
      </c>
      <c r="C63" s="52">
        <v>17</v>
      </c>
      <c r="D63" s="52" t="s">
        <v>651</v>
      </c>
      <c r="E63" s="52" t="s">
        <v>586</v>
      </c>
      <c r="N63" s="81"/>
    </row>
    <row r="64" spans="1:17" ht="14.25" customHeight="1">
      <c r="A64" s="52" t="s">
        <v>23</v>
      </c>
      <c r="B64" s="59" t="s">
        <v>448</v>
      </c>
      <c r="C64" s="52">
        <v>3</v>
      </c>
      <c r="D64" s="52" t="s">
        <v>589</v>
      </c>
      <c r="E64" s="52" t="s">
        <v>589</v>
      </c>
      <c r="N64" s="81"/>
    </row>
    <row r="65" spans="1:15" ht="14.25" customHeight="1">
      <c r="A65" s="52" t="s">
        <v>23</v>
      </c>
      <c r="B65" s="52" t="s">
        <v>445</v>
      </c>
      <c r="C65" s="52">
        <v>2</v>
      </c>
      <c r="D65" s="52" t="s">
        <v>652</v>
      </c>
      <c r="E65" s="52" t="s">
        <v>652</v>
      </c>
      <c r="N65" s="81"/>
    </row>
    <row r="66" spans="1:15" ht="14.25" customHeight="1">
      <c r="A66" s="52" t="s">
        <v>23</v>
      </c>
      <c r="B66" s="59" t="s">
        <v>446</v>
      </c>
      <c r="C66" s="52">
        <v>2</v>
      </c>
      <c r="D66" s="52" t="s">
        <v>653</v>
      </c>
      <c r="E66" s="52" t="s">
        <v>653</v>
      </c>
      <c r="O66" s="81"/>
    </row>
    <row r="67" spans="1:15" ht="14.25" customHeight="1">
      <c r="A67" s="52" t="s">
        <v>23</v>
      </c>
      <c r="B67" s="52" t="s">
        <v>389</v>
      </c>
      <c r="C67" s="52">
        <v>1</v>
      </c>
      <c r="D67" s="52" t="s">
        <v>596</v>
      </c>
      <c r="E67" s="52" t="s">
        <v>596</v>
      </c>
      <c r="O67" s="81"/>
    </row>
    <row r="68" spans="1:15" ht="14.25" customHeight="1">
      <c r="A68" s="52" t="s">
        <v>23</v>
      </c>
      <c r="B68" s="59" t="s">
        <v>817</v>
      </c>
      <c r="C68" s="52">
        <v>1</v>
      </c>
      <c r="D68" s="52" t="s">
        <v>597</v>
      </c>
      <c r="E68" s="52" t="s">
        <v>597</v>
      </c>
      <c r="O68" s="81"/>
    </row>
    <row r="69" spans="1:15" ht="14.25" customHeight="1">
      <c r="A69" s="52" t="s">
        <v>23</v>
      </c>
      <c r="B69" s="59" t="s">
        <v>818</v>
      </c>
      <c r="C69" s="52">
        <v>1</v>
      </c>
      <c r="D69" s="52" t="s">
        <v>587</v>
      </c>
      <c r="E69" s="52" t="s">
        <v>587</v>
      </c>
      <c r="O69" s="81"/>
    </row>
    <row r="70" spans="1:15" ht="14.25" customHeight="1">
      <c r="A70" s="52" t="s">
        <v>24</v>
      </c>
      <c r="B70" s="52" t="s">
        <v>24</v>
      </c>
      <c r="C70" s="52">
        <v>49</v>
      </c>
      <c r="D70" s="52" t="s">
        <v>585</v>
      </c>
      <c r="E70" s="52" t="s">
        <v>636</v>
      </c>
      <c r="J70" s="82"/>
      <c r="K70" s="82"/>
      <c r="L70" s="82"/>
    </row>
    <row r="71" spans="1:15" ht="14.25" customHeight="1">
      <c r="A71" s="52" t="s">
        <v>24</v>
      </c>
      <c r="B71" s="59" t="s">
        <v>494</v>
      </c>
      <c r="C71" s="52">
        <v>23</v>
      </c>
      <c r="D71" s="52" t="s">
        <v>637</v>
      </c>
      <c r="E71" s="52" t="s">
        <v>594</v>
      </c>
      <c r="L71" s="82"/>
    </row>
    <row r="72" spans="1:15" ht="14.25" customHeight="1">
      <c r="A72" s="52" t="s">
        <v>24</v>
      </c>
      <c r="B72" s="52" t="s">
        <v>469</v>
      </c>
      <c r="C72" s="52">
        <v>3</v>
      </c>
      <c r="D72" s="52" t="s">
        <v>595</v>
      </c>
      <c r="E72" s="52" t="s">
        <v>595</v>
      </c>
      <c r="M72" s="82"/>
    </row>
    <row r="73" spans="1:15" ht="14.25" customHeight="1">
      <c r="A73" s="52" t="s">
        <v>24</v>
      </c>
      <c r="B73" s="52" t="s">
        <v>493</v>
      </c>
      <c r="C73" s="52">
        <v>3</v>
      </c>
      <c r="D73" s="52" t="s">
        <v>641</v>
      </c>
      <c r="E73" s="52" t="s">
        <v>641</v>
      </c>
      <c r="M73" s="82"/>
    </row>
    <row r="74" spans="1:15" ht="14.25" customHeight="1">
      <c r="A74" s="52" t="s">
        <v>24</v>
      </c>
      <c r="B74" s="52" t="s">
        <v>459</v>
      </c>
      <c r="C74" s="52">
        <v>2</v>
      </c>
      <c r="D74" s="52" t="s">
        <v>642</v>
      </c>
      <c r="E74" s="52" t="s">
        <v>642</v>
      </c>
      <c r="M74" s="82"/>
    </row>
    <row r="75" spans="1:15" ht="14.25" customHeight="1">
      <c r="A75" s="52" t="s">
        <v>24</v>
      </c>
      <c r="B75" s="52" t="s">
        <v>461</v>
      </c>
      <c r="C75" s="52">
        <v>2</v>
      </c>
      <c r="D75" s="52" t="s">
        <v>643</v>
      </c>
      <c r="E75" s="52" t="s">
        <v>643</v>
      </c>
      <c r="M75" s="82"/>
    </row>
    <row r="76" spans="1:15" ht="14.25" customHeight="1">
      <c r="A76" s="52" t="s">
        <v>24</v>
      </c>
      <c r="B76" s="52" t="s">
        <v>464</v>
      </c>
      <c r="C76" s="52">
        <v>2</v>
      </c>
      <c r="D76" s="52" t="s">
        <v>580</v>
      </c>
      <c r="E76" s="52" t="s">
        <v>580</v>
      </c>
      <c r="M76" s="82"/>
    </row>
    <row r="77" spans="1:15" ht="14.25" customHeight="1">
      <c r="A77" s="52" t="s">
        <v>24</v>
      </c>
      <c r="B77" s="52" t="s">
        <v>463</v>
      </c>
      <c r="C77" s="52">
        <v>2</v>
      </c>
      <c r="D77" s="52" t="s">
        <v>644</v>
      </c>
      <c r="E77" s="52" t="s">
        <v>644</v>
      </c>
      <c r="M77" s="82"/>
    </row>
    <row r="78" spans="1:15" ht="14.25" customHeight="1">
      <c r="A78" s="52" t="s">
        <v>24</v>
      </c>
      <c r="B78" s="52" t="s">
        <v>466</v>
      </c>
      <c r="C78" s="52">
        <v>2</v>
      </c>
      <c r="D78" s="52" t="s">
        <v>650</v>
      </c>
      <c r="E78" s="52" t="s">
        <v>650</v>
      </c>
      <c r="M78" s="82"/>
    </row>
    <row r="79" spans="1:15" ht="14.25" customHeight="1">
      <c r="A79" s="52" t="s">
        <v>24</v>
      </c>
      <c r="B79" s="52" t="s">
        <v>468</v>
      </c>
      <c r="C79" s="52">
        <v>2</v>
      </c>
      <c r="D79" s="52" t="s">
        <v>651</v>
      </c>
      <c r="E79" s="52" t="s">
        <v>651</v>
      </c>
      <c r="N79" s="82"/>
    </row>
    <row r="80" spans="1:15" ht="14.25" customHeight="1">
      <c r="A80" s="52" t="s">
        <v>24</v>
      </c>
      <c r="B80" s="52" t="s">
        <v>470</v>
      </c>
      <c r="C80" s="52">
        <v>2</v>
      </c>
      <c r="D80" s="52" t="s">
        <v>654</v>
      </c>
      <c r="E80" s="52" t="s">
        <v>654</v>
      </c>
      <c r="N80" s="82"/>
    </row>
    <row r="81" spans="1:14" ht="14.25" customHeight="1">
      <c r="A81" s="52" t="s">
        <v>24</v>
      </c>
      <c r="B81" s="52" t="s">
        <v>489</v>
      </c>
      <c r="C81" s="52">
        <v>2</v>
      </c>
      <c r="D81" s="52" t="s">
        <v>655</v>
      </c>
      <c r="E81" s="52" t="s">
        <v>655</v>
      </c>
      <c r="N81" s="82"/>
    </row>
    <row r="82" spans="1:14" ht="14.25" customHeight="1">
      <c r="A82" s="52" t="s">
        <v>24</v>
      </c>
      <c r="B82" s="52" t="s">
        <v>485</v>
      </c>
      <c r="C82" s="52">
        <v>2</v>
      </c>
      <c r="D82" s="52" t="s">
        <v>656</v>
      </c>
      <c r="E82" s="52" t="s">
        <v>656</v>
      </c>
      <c r="N82" s="82"/>
    </row>
    <row r="83" spans="1:14" ht="14.25" customHeight="1">
      <c r="A83" s="52" t="s">
        <v>24</v>
      </c>
      <c r="B83" s="52" t="s">
        <v>487</v>
      </c>
      <c r="C83" s="52">
        <v>2</v>
      </c>
      <c r="D83" s="52" t="s">
        <v>586</v>
      </c>
      <c r="E83" s="52" t="s">
        <v>586</v>
      </c>
      <c r="N83" s="82"/>
    </row>
    <row r="84" spans="1:14" ht="14.25" customHeight="1">
      <c r="A84" s="52" t="s">
        <v>24</v>
      </c>
      <c r="B84" s="52" t="s">
        <v>491</v>
      </c>
      <c r="C84" s="52">
        <v>1</v>
      </c>
      <c r="D84" s="52" t="s">
        <v>589</v>
      </c>
      <c r="E84" s="52" t="s">
        <v>586</v>
      </c>
      <c r="N84" s="82"/>
    </row>
    <row r="85" spans="1:14" ht="14.25" customHeight="1">
      <c r="A85" s="52" t="s">
        <v>25</v>
      </c>
      <c r="B85" s="52" t="s">
        <v>76</v>
      </c>
      <c r="C85" s="52">
        <v>50</v>
      </c>
      <c r="D85" s="52" t="s">
        <v>585</v>
      </c>
      <c r="E85" s="52" t="s">
        <v>638</v>
      </c>
      <c r="J85" s="83"/>
      <c r="K85" s="83"/>
      <c r="L85" s="83"/>
    </row>
    <row r="86" spans="1:14" ht="14.25" customHeight="1">
      <c r="A86" s="52" t="s">
        <v>25</v>
      </c>
      <c r="B86" s="52" t="s">
        <v>72</v>
      </c>
      <c r="C86" s="52">
        <v>16</v>
      </c>
      <c r="D86" s="52" t="s">
        <v>639</v>
      </c>
      <c r="E86" s="52" t="s">
        <v>594</v>
      </c>
      <c r="L86" s="83"/>
    </row>
    <row r="87" spans="1:14" ht="14.25" customHeight="1">
      <c r="A87" s="52" t="s">
        <v>25</v>
      </c>
      <c r="B87" s="52" t="s">
        <v>98</v>
      </c>
      <c r="C87" s="52">
        <v>15</v>
      </c>
      <c r="D87" s="52" t="s">
        <v>595</v>
      </c>
      <c r="E87" s="52" t="s">
        <v>643</v>
      </c>
      <c r="M87" s="83"/>
    </row>
    <row r="88" spans="1:14" ht="14.25" customHeight="1">
      <c r="A88" s="52" t="s">
        <v>25</v>
      </c>
      <c r="B88" s="52" t="s">
        <v>114</v>
      </c>
      <c r="C88" s="52">
        <v>7</v>
      </c>
      <c r="D88" s="52" t="s">
        <v>580</v>
      </c>
      <c r="E88" s="52" t="s">
        <v>580</v>
      </c>
      <c r="M88" s="83"/>
    </row>
    <row r="89" spans="1:14" ht="14.25" customHeight="1">
      <c r="A89" s="52" t="s">
        <v>25</v>
      </c>
      <c r="B89" s="52" t="s">
        <v>105</v>
      </c>
      <c r="C89" s="52">
        <v>6</v>
      </c>
      <c r="D89" s="52" t="s">
        <v>644</v>
      </c>
      <c r="E89" s="52" t="s">
        <v>644</v>
      </c>
      <c r="M89" s="83"/>
    </row>
    <row r="90" spans="1:14" ht="14.25" customHeight="1">
      <c r="A90" s="52" t="s">
        <v>25</v>
      </c>
      <c r="B90" s="52" t="s">
        <v>109</v>
      </c>
      <c r="C90" s="52">
        <v>5</v>
      </c>
      <c r="D90" s="52" t="s">
        <v>650</v>
      </c>
      <c r="E90" s="52" t="s">
        <v>650</v>
      </c>
      <c r="M90" s="83"/>
    </row>
    <row r="91" spans="1:14" ht="14.25" customHeight="1">
      <c r="A91" s="52" t="s">
        <v>25</v>
      </c>
      <c r="B91" s="52" t="s">
        <v>111</v>
      </c>
      <c r="C91" s="52">
        <v>4</v>
      </c>
      <c r="D91" s="52" t="s">
        <v>651</v>
      </c>
      <c r="E91" s="52" t="s">
        <v>651</v>
      </c>
      <c r="N91" s="83"/>
    </row>
    <row r="92" spans="1:14" ht="14.25" customHeight="1">
      <c r="A92" s="52" t="s">
        <v>25</v>
      </c>
      <c r="B92" s="59" t="s">
        <v>116</v>
      </c>
      <c r="C92" s="52">
        <v>4</v>
      </c>
      <c r="D92" s="52" t="s">
        <v>654</v>
      </c>
      <c r="E92" s="52" t="s">
        <v>654</v>
      </c>
      <c r="N92" s="83"/>
    </row>
    <row r="93" spans="1:14" ht="14.25" customHeight="1">
      <c r="A93" s="52" t="s">
        <v>25</v>
      </c>
      <c r="B93" s="52" t="s">
        <v>289</v>
      </c>
      <c r="C93" s="52">
        <v>2</v>
      </c>
      <c r="D93" s="52" t="s">
        <v>655</v>
      </c>
      <c r="E93" s="52" t="s">
        <v>655</v>
      </c>
      <c r="N93" s="83"/>
    </row>
    <row r="94" spans="1:14" ht="14.25" customHeight="1">
      <c r="A94" s="52" t="s">
        <v>25</v>
      </c>
      <c r="B94" s="52" t="s">
        <v>316</v>
      </c>
      <c r="C94" s="52">
        <v>2</v>
      </c>
      <c r="D94" s="52" t="s">
        <v>656</v>
      </c>
      <c r="E94" s="52" t="s">
        <v>656</v>
      </c>
      <c r="N94" s="83"/>
    </row>
    <row r="95" spans="1:14" ht="14.25" customHeight="1">
      <c r="A95" s="52" t="s">
        <v>25</v>
      </c>
      <c r="B95" s="59" t="s">
        <v>819</v>
      </c>
      <c r="C95" s="52">
        <v>2</v>
      </c>
      <c r="D95" s="52" t="s">
        <v>586</v>
      </c>
      <c r="E95" s="52" t="s">
        <v>586</v>
      </c>
      <c r="N95" s="83"/>
    </row>
    <row r="96" spans="1:14" ht="14.25" customHeight="1">
      <c r="A96" s="52" t="s">
        <v>25</v>
      </c>
      <c r="B96" s="59" t="s">
        <v>320</v>
      </c>
      <c r="C96" s="52">
        <v>1</v>
      </c>
      <c r="D96" s="52" t="s">
        <v>589</v>
      </c>
      <c r="E96" s="52" t="s">
        <v>589</v>
      </c>
      <c r="N96" s="83"/>
    </row>
    <row r="97" spans="1:14" ht="14.25" customHeight="1">
      <c r="A97" s="52" t="s">
        <v>26</v>
      </c>
      <c r="B97" s="52" t="s">
        <v>26</v>
      </c>
      <c r="C97" s="52">
        <v>6</v>
      </c>
      <c r="D97" s="52" t="s">
        <v>588</v>
      </c>
      <c r="E97" s="52" t="s">
        <v>654</v>
      </c>
      <c r="L97" s="84"/>
      <c r="M97" s="84"/>
      <c r="N97" s="84"/>
    </row>
    <row r="98" spans="1:14" ht="14.25" customHeight="1">
      <c r="A98" s="52" t="s">
        <v>26</v>
      </c>
      <c r="B98" s="52" t="s">
        <v>456</v>
      </c>
      <c r="C98" s="52">
        <v>2</v>
      </c>
      <c r="D98" s="52" t="s">
        <v>655</v>
      </c>
      <c r="E98" s="52" t="s">
        <v>589</v>
      </c>
      <c r="N98" s="84"/>
    </row>
  </sheetData>
  <mergeCells count="1">
    <mergeCell ref="A1:Z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4"/>
  <sheetViews>
    <sheetView topLeftCell="A81" zoomScaleNormal="100" workbookViewId="0">
      <selection activeCell="E104" sqref="E104"/>
    </sheetView>
  </sheetViews>
  <sheetFormatPr defaultColWidth="8.85546875" defaultRowHeight="14.25" customHeight="1"/>
  <cols>
    <col min="1" max="1" width="8" customWidth="1"/>
    <col min="2" max="2" width="22" customWidth="1"/>
    <col min="3" max="3" width="17" customWidth="1"/>
    <col min="4" max="4" width="5" customWidth="1"/>
    <col min="5" max="5" width="8" customWidth="1"/>
    <col min="6" max="22" width="4" customWidth="1"/>
  </cols>
  <sheetData>
    <row r="1" spans="1:26" ht="18" customHeight="1">
      <c r="A1" s="98" t="s">
        <v>820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14.25" customHeight="1">
      <c r="A2" t="s">
        <v>788</v>
      </c>
    </row>
    <row r="3" spans="1:26" ht="14.25" customHeight="1">
      <c r="F3" s="77" t="s">
        <v>789</v>
      </c>
      <c r="G3" s="77" t="s">
        <v>789</v>
      </c>
      <c r="H3" s="77" t="s">
        <v>789</v>
      </c>
      <c r="I3" s="77" t="s">
        <v>790</v>
      </c>
      <c r="J3" s="77" t="s">
        <v>790</v>
      </c>
      <c r="K3" s="77" t="s">
        <v>790</v>
      </c>
      <c r="L3" s="77" t="s">
        <v>790</v>
      </c>
      <c r="M3" s="77" t="s">
        <v>791</v>
      </c>
      <c r="N3" s="77" t="s">
        <v>791</v>
      </c>
      <c r="O3" s="77" t="s">
        <v>791</v>
      </c>
      <c r="P3" s="77" t="s">
        <v>791</v>
      </c>
      <c r="Q3" s="77" t="s">
        <v>792</v>
      </c>
      <c r="R3" s="77" t="s">
        <v>792</v>
      </c>
      <c r="S3" s="77" t="s">
        <v>792</v>
      </c>
      <c r="T3" s="77" t="s">
        <v>792</v>
      </c>
      <c r="U3" s="77" t="s">
        <v>792</v>
      </c>
      <c r="V3" s="77" t="s">
        <v>793</v>
      </c>
    </row>
    <row r="4" spans="1:26" ht="14.25" customHeight="1">
      <c r="A4" s="48" t="s">
        <v>12</v>
      </c>
      <c r="B4" s="48" t="s">
        <v>56</v>
      </c>
      <c r="C4" s="48" t="s">
        <v>57</v>
      </c>
      <c r="D4" s="48" t="s">
        <v>821</v>
      </c>
      <c r="E4" s="48" t="s">
        <v>795</v>
      </c>
      <c r="F4" s="48" t="s">
        <v>797</v>
      </c>
      <c r="G4" s="48" t="s">
        <v>798</v>
      </c>
      <c r="H4" s="48" t="s">
        <v>799</v>
      </c>
      <c r="I4" s="48" t="s">
        <v>800</v>
      </c>
      <c r="J4" s="48" t="s">
        <v>797</v>
      </c>
      <c r="K4" s="48" t="s">
        <v>798</v>
      </c>
      <c r="L4" s="48" t="s">
        <v>799</v>
      </c>
      <c r="M4" s="48" t="s">
        <v>801</v>
      </c>
      <c r="N4" s="48" t="s">
        <v>802</v>
      </c>
      <c r="O4" s="48" t="s">
        <v>803</v>
      </c>
      <c r="P4" s="48" t="s">
        <v>804</v>
      </c>
      <c r="Q4" s="48" t="s">
        <v>805</v>
      </c>
      <c r="R4" s="48" t="s">
        <v>806</v>
      </c>
      <c r="S4" s="48" t="s">
        <v>807</v>
      </c>
      <c r="T4" s="48" t="s">
        <v>808</v>
      </c>
      <c r="U4" s="48" t="s">
        <v>809</v>
      </c>
      <c r="V4" s="48" t="s">
        <v>810</v>
      </c>
    </row>
    <row r="5" spans="1:26" ht="14.25" customHeight="1">
      <c r="A5" s="52" t="s">
        <v>20</v>
      </c>
      <c r="B5" s="59" t="s">
        <v>822</v>
      </c>
      <c r="C5" s="52" t="s">
        <v>77</v>
      </c>
      <c r="D5" s="52">
        <v>219</v>
      </c>
      <c r="E5" s="52" t="s">
        <v>823</v>
      </c>
      <c r="F5" s="78"/>
      <c r="G5" s="78"/>
      <c r="H5" s="78"/>
      <c r="I5" s="78"/>
      <c r="J5" s="78"/>
      <c r="K5" s="78"/>
    </row>
    <row r="6" spans="1:26" ht="14.25" customHeight="1">
      <c r="A6" s="52" t="s">
        <v>22</v>
      </c>
      <c r="B6" s="59" t="s">
        <v>512</v>
      </c>
      <c r="C6" s="52" t="s">
        <v>77</v>
      </c>
      <c r="D6" s="52">
        <v>44</v>
      </c>
      <c r="E6" s="52" t="s">
        <v>824</v>
      </c>
      <c r="H6" s="80"/>
      <c r="I6" s="80"/>
    </row>
    <row r="7" spans="1:26" ht="14.25" customHeight="1">
      <c r="A7" s="52" t="s">
        <v>22</v>
      </c>
      <c r="B7" s="52" t="s">
        <v>504</v>
      </c>
      <c r="C7" s="52" t="s">
        <v>505</v>
      </c>
      <c r="D7" s="52">
        <v>39</v>
      </c>
      <c r="E7" s="52" t="s">
        <v>825</v>
      </c>
      <c r="O7" s="80"/>
      <c r="P7" s="80"/>
    </row>
    <row r="8" spans="1:26" ht="14.25" customHeight="1">
      <c r="A8" s="52" t="s">
        <v>22</v>
      </c>
      <c r="B8" s="52" t="s">
        <v>501</v>
      </c>
      <c r="C8" s="52" t="s">
        <v>502</v>
      </c>
      <c r="D8" s="52">
        <v>37</v>
      </c>
      <c r="E8" s="52" t="s">
        <v>826</v>
      </c>
      <c r="P8" s="80"/>
      <c r="Q8" s="80"/>
    </row>
    <row r="9" spans="1:26" ht="14.25" customHeight="1">
      <c r="A9" s="52" t="s">
        <v>24</v>
      </c>
      <c r="B9" s="52" t="s">
        <v>24</v>
      </c>
      <c r="C9" s="52" t="s">
        <v>77</v>
      </c>
      <c r="D9" s="52">
        <v>25</v>
      </c>
      <c r="E9" s="52" t="s">
        <v>827</v>
      </c>
      <c r="J9" s="82"/>
      <c r="K9" s="82"/>
    </row>
    <row r="10" spans="1:26" ht="14.25" customHeight="1">
      <c r="A10" s="52" t="s">
        <v>20</v>
      </c>
      <c r="B10" s="52" t="s">
        <v>103</v>
      </c>
      <c r="C10" s="52" t="s">
        <v>153</v>
      </c>
      <c r="D10" s="52">
        <v>24</v>
      </c>
      <c r="E10" s="52" t="s">
        <v>828</v>
      </c>
      <c r="P10" s="78"/>
      <c r="Q10" s="78"/>
    </row>
    <row r="11" spans="1:26" ht="14.25" customHeight="1">
      <c r="A11" s="52" t="s">
        <v>21</v>
      </c>
      <c r="B11" s="59" t="s">
        <v>152</v>
      </c>
      <c r="C11" s="52" t="s">
        <v>77</v>
      </c>
      <c r="D11" s="52">
        <v>24</v>
      </c>
      <c r="E11" s="52" t="s">
        <v>829</v>
      </c>
      <c r="G11" s="79"/>
    </row>
    <row r="12" spans="1:26" ht="14.25" customHeight="1">
      <c r="A12" s="52" t="s">
        <v>20</v>
      </c>
      <c r="B12" s="52" t="s">
        <v>87</v>
      </c>
      <c r="C12" s="52" t="s">
        <v>20</v>
      </c>
      <c r="D12" s="52">
        <v>21</v>
      </c>
      <c r="E12" s="52" t="s">
        <v>830</v>
      </c>
      <c r="M12" s="78"/>
    </row>
    <row r="13" spans="1:26" ht="14.25" customHeight="1">
      <c r="A13" s="52" t="s">
        <v>20</v>
      </c>
      <c r="B13" s="52" t="s">
        <v>103</v>
      </c>
      <c r="C13" s="52" t="s">
        <v>77</v>
      </c>
      <c r="D13" s="52">
        <v>19</v>
      </c>
      <c r="E13" s="52" t="s">
        <v>831</v>
      </c>
      <c r="Q13" s="78"/>
    </row>
    <row r="14" spans="1:26" ht="14.25" customHeight="1">
      <c r="A14" s="52" t="s">
        <v>25</v>
      </c>
      <c r="B14" s="52" t="s">
        <v>76</v>
      </c>
      <c r="C14" s="52" t="s">
        <v>77</v>
      </c>
      <c r="D14" s="52">
        <v>18</v>
      </c>
      <c r="E14" s="52" t="s">
        <v>827</v>
      </c>
      <c r="J14" s="83"/>
    </row>
    <row r="15" spans="1:26" ht="14.25" customHeight="1">
      <c r="A15" s="52" t="s">
        <v>20</v>
      </c>
      <c r="B15" s="52" t="s">
        <v>87</v>
      </c>
      <c r="C15" s="52" t="s">
        <v>23</v>
      </c>
      <c r="D15" s="52">
        <v>17</v>
      </c>
      <c r="E15" s="52" t="s">
        <v>830</v>
      </c>
      <c r="M15" s="78"/>
    </row>
    <row r="16" spans="1:26" ht="14.25" customHeight="1">
      <c r="A16" s="52" t="s">
        <v>21</v>
      </c>
      <c r="B16" s="59" t="s">
        <v>152</v>
      </c>
      <c r="C16" s="52" t="s">
        <v>172</v>
      </c>
      <c r="D16" s="52">
        <v>12</v>
      </c>
      <c r="E16" s="52" t="s">
        <v>832</v>
      </c>
      <c r="G16" s="79"/>
    </row>
    <row r="17" spans="1:20" ht="14.25" customHeight="1">
      <c r="A17" s="52" t="s">
        <v>25</v>
      </c>
      <c r="B17" s="52" t="s">
        <v>76</v>
      </c>
      <c r="C17" s="52" t="s">
        <v>296</v>
      </c>
      <c r="D17" s="52">
        <v>12</v>
      </c>
      <c r="E17" s="52" t="s">
        <v>833</v>
      </c>
      <c r="J17" s="83"/>
    </row>
    <row r="18" spans="1:20" ht="14.25" customHeight="1">
      <c r="A18" s="52" t="s">
        <v>20</v>
      </c>
      <c r="B18" s="59" t="s">
        <v>834</v>
      </c>
      <c r="C18" s="52" t="s">
        <v>77</v>
      </c>
      <c r="D18" s="52">
        <v>11</v>
      </c>
      <c r="E18" s="52" t="s">
        <v>835</v>
      </c>
      <c r="S18" s="78"/>
    </row>
    <row r="19" spans="1:20" ht="14.25" customHeight="1">
      <c r="A19" s="52" t="s">
        <v>23</v>
      </c>
      <c r="B19" s="59" t="s">
        <v>834</v>
      </c>
      <c r="C19" s="52" t="s">
        <v>77</v>
      </c>
      <c r="D19" s="52">
        <v>11</v>
      </c>
      <c r="E19" s="52" t="s">
        <v>836</v>
      </c>
      <c r="N19" s="81"/>
    </row>
    <row r="20" spans="1:20" ht="14.25" customHeight="1">
      <c r="A20" s="52" t="s">
        <v>20</v>
      </c>
      <c r="B20" s="59" t="s">
        <v>822</v>
      </c>
      <c r="C20" s="52" t="s">
        <v>208</v>
      </c>
      <c r="D20" s="52">
        <v>10</v>
      </c>
      <c r="E20" s="52" t="s">
        <v>837</v>
      </c>
      <c r="F20" s="78"/>
    </row>
    <row r="21" spans="1:20" ht="14.25" customHeight="1">
      <c r="A21" s="52" t="s">
        <v>20</v>
      </c>
      <c r="B21" s="59" t="s">
        <v>838</v>
      </c>
      <c r="C21" s="52" t="s">
        <v>839</v>
      </c>
      <c r="D21" s="52">
        <v>10</v>
      </c>
      <c r="E21" s="52" t="s">
        <v>840</v>
      </c>
      <c r="S21" s="78"/>
    </row>
    <row r="22" spans="1:20" ht="14.25" customHeight="1">
      <c r="A22" s="52" t="s">
        <v>20</v>
      </c>
      <c r="B22" s="59" t="s">
        <v>838</v>
      </c>
      <c r="C22" s="52" t="s">
        <v>77</v>
      </c>
      <c r="D22" s="52">
        <v>10</v>
      </c>
      <c r="E22" s="52" t="s">
        <v>841</v>
      </c>
      <c r="T22" s="78"/>
    </row>
    <row r="23" spans="1:20" ht="14.25" customHeight="1">
      <c r="A23" s="52" t="s">
        <v>21</v>
      </c>
      <c r="B23" s="59" t="s">
        <v>152</v>
      </c>
      <c r="C23" s="52" t="s">
        <v>153</v>
      </c>
      <c r="D23" s="52">
        <v>10</v>
      </c>
      <c r="E23" s="52" t="s">
        <v>842</v>
      </c>
      <c r="G23" s="79"/>
    </row>
    <row r="24" spans="1:20" ht="14.25" customHeight="1">
      <c r="A24" s="52" t="s">
        <v>20</v>
      </c>
      <c r="B24" s="59" t="s">
        <v>838</v>
      </c>
      <c r="C24" s="52" t="s">
        <v>77</v>
      </c>
      <c r="D24" s="52">
        <v>9</v>
      </c>
      <c r="E24" s="52" t="s">
        <v>843</v>
      </c>
      <c r="S24" s="78"/>
    </row>
    <row r="25" spans="1:20" ht="14.25" customHeight="1">
      <c r="A25" s="52" t="s">
        <v>20</v>
      </c>
      <c r="B25" s="59" t="s">
        <v>838</v>
      </c>
      <c r="C25" s="52" t="s">
        <v>77</v>
      </c>
      <c r="D25" s="52">
        <v>9</v>
      </c>
      <c r="E25" s="52" t="s">
        <v>844</v>
      </c>
      <c r="T25" s="78"/>
    </row>
    <row r="26" spans="1:20" ht="14.25" customHeight="1">
      <c r="A26" s="52" t="s">
        <v>21</v>
      </c>
      <c r="B26" s="59" t="s">
        <v>174</v>
      </c>
      <c r="C26" s="52" t="s">
        <v>694</v>
      </c>
      <c r="D26" s="52">
        <v>9</v>
      </c>
      <c r="E26" s="52" t="s">
        <v>845</v>
      </c>
      <c r="I26" s="79"/>
    </row>
    <row r="27" spans="1:20" ht="14.25" customHeight="1">
      <c r="A27" s="52" t="s">
        <v>22</v>
      </c>
      <c r="B27" s="59" t="s">
        <v>512</v>
      </c>
      <c r="C27" s="52" t="s">
        <v>530</v>
      </c>
      <c r="D27" s="52">
        <v>9</v>
      </c>
      <c r="E27" s="52" t="s">
        <v>824</v>
      </c>
      <c r="H27" s="80"/>
    </row>
    <row r="28" spans="1:20" ht="14.25" customHeight="1">
      <c r="A28" s="52" t="s">
        <v>20</v>
      </c>
      <c r="B28" s="59" t="s">
        <v>822</v>
      </c>
      <c r="C28" s="52" t="s">
        <v>267</v>
      </c>
      <c r="D28" s="52">
        <v>8</v>
      </c>
      <c r="E28" s="52" t="s">
        <v>846</v>
      </c>
      <c r="F28" s="78"/>
    </row>
    <row r="29" spans="1:20" ht="14.25" customHeight="1">
      <c r="A29" s="52" t="s">
        <v>20</v>
      </c>
      <c r="B29" s="52" t="s">
        <v>103</v>
      </c>
      <c r="C29" s="59" t="s">
        <v>847</v>
      </c>
      <c r="D29" s="52">
        <v>8</v>
      </c>
      <c r="E29" s="52" t="s">
        <v>848</v>
      </c>
      <c r="Q29" s="78"/>
    </row>
    <row r="30" spans="1:20" ht="14.25" customHeight="1">
      <c r="A30" s="52" t="s">
        <v>21</v>
      </c>
      <c r="B30" s="59" t="s">
        <v>160</v>
      </c>
      <c r="C30" s="52" t="s">
        <v>221</v>
      </c>
      <c r="D30" s="52">
        <v>8</v>
      </c>
      <c r="E30" s="52" t="s">
        <v>833</v>
      </c>
      <c r="J30" s="79"/>
    </row>
    <row r="31" spans="1:20" ht="14.25" customHeight="1">
      <c r="A31" s="52" t="s">
        <v>25</v>
      </c>
      <c r="B31" s="52" t="s">
        <v>72</v>
      </c>
      <c r="C31" s="52" t="s">
        <v>77</v>
      </c>
      <c r="D31" s="52">
        <v>8</v>
      </c>
      <c r="E31" s="52" t="s">
        <v>849</v>
      </c>
      <c r="L31" s="83"/>
    </row>
    <row r="32" spans="1:20" ht="14.25" customHeight="1">
      <c r="A32" s="52" t="s">
        <v>20</v>
      </c>
      <c r="B32" s="59" t="s">
        <v>822</v>
      </c>
      <c r="C32" s="52" t="s">
        <v>139</v>
      </c>
      <c r="D32" s="52">
        <v>7</v>
      </c>
      <c r="E32" s="52" t="s">
        <v>850</v>
      </c>
      <c r="F32" s="78"/>
    </row>
    <row r="33" spans="1:20" ht="14.25" customHeight="1">
      <c r="A33" s="52" t="s">
        <v>20</v>
      </c>
      <c r="B33" s="59" t="s">
        <v>822</v>
      </c>
      <c r="C33" s="59" t="s">
        <v>851</v>
      </c>
      <c r="D33" s="52">
        <v>7</v>
      </c>
      <c r="E33" s="52" t="s">
        <v>852</v>
      </c>
      <c r="G33" s="78"/>
    </row>
    <row r="34" spans="1:20" ht="14.25" customHeight="1">
      <c r="A34" s="52" t="s">
        <v>21</v>
      </c>
      <c r="B34" s="59" t="s">
        <v>174</v>
      </c>
      <c r="C34" s="52" t="s">
        <v>219</v>
      </c>
      <c r="D34" s="52">
        <v>7</v>
      </c>
      <c r="E34" s="52" t="s">
        <v>853</v>
      </c>
      <c r="I34" s="79"/>
    </row>
    <row r="35" spans="1:20" ht="14.25" customHeight="1">
      <c r="A35" s="52" t="s">
        <v>21</v>
      </c>
      <c r="B35" s="59" t="s">
        <v>163</v>
      </c>
      <c r="C35" s="52" t="s">
        <v>223</v>
      </c>
      <c r="D35" s="52">
        <v>7</v>
      </c>
      <c r="E35" s="52" t="s">
        <v>854</v>
      </c>
      <c r="J35" s="79"/>
    </row>
    <row r="36" spans="1:20" ht="14.25" customHeight="1">
      <c r="A36" s="52" t="s">
        <v>20</v>
      </c>
      <c r="B36" s="59" t="s">
        <v>822</v>
      </c>
      <c r="C36" s="52" t="s">
        <v>278</v>
      </c>
      <c r="D36" s="52">
        <v>6</v>
      </c>
      <c r="E36" s="52" t="s">
        <v>832</v>
      </c>
      <c r="G36" s="78"/>
    </row>
    <row r="37" spans="1:20" ht="14.25" customHeight="1">
      <c r="A37" s="52" t="s">
        <v>20</v>
      </c>
      <c r="B37" s="59" t="s">
        <v>822</v>
      </c>
      <c r="C37" s="52" t="s">
        <v>855</v>
      </c>
      <c r="D37" s="52">
        <v>6</v>
      </c>
      <c r="E37" s="52" t="s">
        <v>856</v>
      </c>
      <c r="G37" s="78"/>
    </row>
    <row r="38" spans="1:20" ht="14.25" customHeight="1">
      <c r="A38" s="52" t="s">
        <v>20</v>
      </c>
      <c r="B38" s="59" t="s">
        <v>838</v>
      </c>
      <c r="C38" s="52" t="s">
        <v>77</v>
      </c>
      <c r="D38" s="52">
        <v>6</v>
      </c>
      <c r="E38" s="52" t="s">
        <v>857</v>
      </c>
      <c r="T38" s="78"/>
    </row>
    <row r="39" spans="1:20" ht="14.25" customHeight="1">
      <c r="A39" s="52" t="s">
        <v>21</v>
      </c>
      <c r="B39" s="59" t="s">
        <v>152</v>
      </c>
      <c r="C39" s="52" t="s">
        <v>858</v>
      </c>
      <c r="D39" s="52">
        <v>6</v>
      </c>
      <c r="E39" s="52" t="s">
        <v>859</v>
      </c>
      <c r="G39" s="79"/>
    </row>
    <row r="40" spans="1:20" ht="14.25" customHeight="1">
      <c r="A40" s="52" t="s">
        <v>22</v>
      </c>
      <c r="B40" s="59" t="s">
        <v>512</v>
      </c>
      <c r="C40" s="52" t="s">
        <v>860</v>
      </c>
      <c r="D40" s="52">
        <v>6</v>
      </c>
      <c r="E40" s="52" t="s">
        <v>861</v>
      </c>
      <c r="H40" s="80"/>
    </row>
    <row r="41" spans="1:20" ht="14.25" customHeight="1">
      <c r="A41" s="52" t="s">
        <v>22</v>
      </c>
      <c r="B41" s="59" t="s">
        <v>512</v>
      </c>
      <c r="C41" s="52" t="s">
        <v>862</v>
      </c>
      <c r="D41" s="52">
        <v>6</v>
      </c>
      <c r="E41" s="52" t="s">
        <v>863</v>
      </c>
      <c r="H41" s="80"/>
    </row>
    <row r="42" spans="1:20" ht="14.25" customHeight="1">
      <c r="A42" s="52" t="s">
        <v>22</v>
      </c>
      <c r="B42" s="59" t="s">
        <v>512</v>
      </c>
      <c r="C42" s="52" t="s">
        <v>532</v>
      </c>
      <c r="D42" s="52">
        <v>6</v>
      </c>
      <c r="E42" s="52" t="s">
        <v>864</v>
      </c>
      <c r="H42" s="80"/>
    </row>
    <row r="43" spans="1:20" ht="14.25" customHeight="1">
      <c r="A43" s="52" t="s">
        <v>22</v>
      </c>
      <c r="B43" s="59" t="s">
        <v>512</v>
      </c>
      <c r="C43" s="52" t="s">
        <v>865</v>
      </c>
      <c r="D43" s="52">
        <v>6</v>
      </c>
      <c r="E43" s="52" t="s">
        <v>866</v>
      </c>
      <c r="H43" s="80"/>
    </row>
    <row r="44" spans="1:20" ht="14.25" customHeight="1">
      <c r="A44" s="52" t="s">
        <v>22</v>
      </c>
      <c r="B44" s="59" t="s">
        <v>512</v>
      </c>
      <c r="C44" s="52" t="s">
        <v>525</v>
      </c>
      <c r="D44" s="52">
        <v>6</v>
      </c>
      <c r="E44" s="52" t="s">
        <v>867</v>
      </c>
      <c r="H44" s="80"/>
    </row>
    <row r="45" spans="1:20" ht="14.25" customHeight="1">
      <c r="A45" s="52" t="s">
        <v>22</v>
      </c>
      <c r="B45" s="59" t="s">
        <v>512</v>
      </c>
      <c r="C45" s="52" t="s">
        <v>868</v>
      </c>
      <c r="D45" s="52">
        <v>6</v>
      </c>
      <c r="E45" s="52" t="s">
        <v>869</v>
      </c>
      <c r="I45" s="80"/>
    </row>
    <row r="46" spans="1:20" ht="14.25" customHeight="1">
      <c r="A46" s="52" t="s">
        <v>22</v>
      </c>
      <c r="B46" s="59" t="s">
        <v>512</v>
      </c>
      <c r="C46" s="52" t="s">
        <v>531</v>
      </c>
      <c r="D46" s="52">
        <v>6</v>
      </c>
      <c r="E46" s="52" t="s">
        <v>870</v>
      </c>
      <c r="I46" s="80"/>
    </row>
    <row r="47" spans="1:20" ht="14.25" customHeight="1">
      <c r="A47" s="52" t="s">
        <v>22</v>
      </c>
      <c r="B47" s="59" t="s">
        <v>512</v>
      </c>
      <c r="C47" s="52" t="s">
        <v>871</v>
      </c>
      <c r="D47" s="52">
        <v>6</v>
      </c>
      <c r="E47" s="52" t="s">
        <v>870</v>
      </c>
      <c r="I47" s="80"/>
    </row>
    <row r="48" spans="1:20" ht="14.25" customHeight="1">
      <c r="A48" s="52" t="s">
        <v>22</v>
      </c>
      <c r="B48" s="59" t="s">
        <v>512</v>
      </c>
      <c r="C48" s="52" t="s">
        <v>872</v>
      </c>
      <c r="D48" s="52">
        <v>6</v>
      </c>
      <c r="E48" s="52" t="s">
        <v>873</v>
      </c>
      <c r="I48" s="80"/>
    </row>
    <row r="49" spans="1:19" ht="14.25" customHeight="1">
      <c r="A49" s="52" t="s">
        <v>22</v>
      </c>
      <c r="B49" s="59" t="s">
        <v>512</v>
      </c>
      <c r="C49" s="52" t="s">
        <v>874</v>
      </c>
      <c r="D49" s="52">
        <v>6</v>
      </c>
      <c r="E49" s="52" t="s">
        <v>875</v>
      </c>
      <c r="I49" s="80"/>
    </row>
    <row r="50" spans="1:19" ht="14.25" customHeight="1">
      <c r="A50" s="52" t="s">
        <v>22</v>
      </c>
      <c r="B50" s="59" t="s">
        <v>512</v>
      </c>
      <c r="C50" s="52" t="s">
        <v>876</v>
      </c>
      <c r="D50" s="52">
        <v>6</v>
      </c>
      <c r="E50" s="52" t="s">
        <v>845</v>
      </c>
      <c r="I50" s="80"/>
    </row>
    <row r="51" spans="1:19" ht="14.25" customHeight="1">
      <c r="A51" s="52" t="s">
        <v>22</v>
      </c>
      <c r="B51" s="59" t="s">
        <v>512</v>
      </c>
      <c r="C51" s="52" t="s">
        <v>877</v>
      </c>
      <c r="D51" s="52">
        <v>6</v>
      </c>
      <c r="E51" s="52" t="s">
        <v>853</v>
      </c>
      <c r="I51" s="80"/>
    </row>
    <row r="52" spans="1:19" ht="14.25" customHeight="1">
      <c r="A52" s="52" t="s">
        <v>25</v>
      </c>
      <c r="B52" s="52" t="s">
        <v>98</v>
      </c>
      <c r="C52" s="52" t="s">
        <v>77</v>
      </c>
      <c r="D52" s="52">
        <v>6</v>
      </c>
      <c r="E52" s="52" t="s">
        <v>830</v>
      </c>
      <c r="M52" s="83"/>
    </row>
    <row r="53" spans="1:19" ht="14.25" customHeight="1">
      <c r="A53" s="52" t="s">
        <v>25</v>
      </c>
      <c r="B53" s="52" t="s">
        <v>98</v>
      </c>
      <c r="C53" s="59" t="s">
        <v>304</v>
      </c>
      <c r="D53" s="52">
        <v>6</v>
      </c>
      <c r="E53" s="52" t="s">
        <v>830</v>
      </c>
      <c r="M53" s="83"/>
    </row>
    <row r="54" spans="1:19" ht="14.25" customHeight="1">
      <c r="A54" s="52" t="s">
        <v>20</v>
      </c>
      <c r="B54" s="59" t="s">
        <v>822</v>
      </c>
      <c r="C54" s="52" t="s">
        <v>206</v>
      </c>
      <c r="D54" s="52">
        <v>5</v>
      </c>
      <c r="E54" s="52" t="s">
        <v>859</v>
      </c>
      <c r="G54" s="78"/>
    </row>
    <row r="55" spans="1:19" ht="14.25" customHeight="1">
      <c r="A55" s="52" t="s">
        <v>20</v>
      </c>
      <c r="B55" s="52" t="s">
        <v>87</v>
      </c>
      <c r="C55" s="52" t="s">
        <v>343</v>
      </c>
      <c r="D55" s="52">
        <v>5</v>
      </c>
      <c r="E55" s="52" t="s">
        <v>878</v>
      </c>
      <c r="M55" s="78"/>
    </row>
    <row r="56" spans="1:19" ht="14.25" customHeight="1">
      <c r="A56" s="52" t="s">
        <v>20</v>
      </c>
      <c r="B56" s="52" t="s">
        <v>96</v>
      </c>
      <c r="C56" s="52" t="s">
        <v>107</v>
      </c>
      <c r="D56" s="52">
        <v>5</v>
      </c>
      <c r="E56" s="52" t="s">
        <v>879</v>
      </c>
      <c r="S56" s="78"/>
    </row>
    <row r="57" spans="1:19" ht="14.25" customHeight="1">
      <c r="A57" s="52" t="s">
        <v>21</v>
      </c>
      <c r="B57" s="59" t="s">
        <v>225</v>
      </c>
      <c r="C57" s="59" t="s">
        <v>880</v>
      </c>
      <c r="D57" s="52">
        <v>5</v>
      </c>
      <c r="E57" s="52" t="s">
        <v>866</v>
      </c>
      <c r="H57" s="79"/>
    </row>
    <row r="58" spans="1:19" ht="14.25" customHeight="1">
      <c r="A58" s="52" t="s">
        <v>21</v>
      </c>
      <c r="B58" s="59" t="s">
        <v>225</v>
      </c>
      <c r="C58" s="59" t="s">
        <v>881</v>
      </c>
      <c r="D58" s="52">
        <v>5</v>
      </c>
      <c r="E58" s="52" t="s">
        <v>866</v>
      </c>
      <c r="H58" s="79"/>
    </row>
    <row r="59" spans="1:19" ht="14.25" customHeight="1">
      <c r="A59" s="52" t="s">
        <v>22</v>
      </c>
      <c r="B59" s="59" t="s">
        <v>512</v>
      </c>
      <c r="C59" s="52" t="s">
        <v>561</v>
      </c>
      <c r="D59" s="52">
        <v>5</v>
      </c>
      <c r="E59" s="52" t="s">
        <v>882</v>
      </c>
      <c r="I59" s="80"/>
    </row>
    <row r="60" spans="1:19" ht="14.25" customHeight="1">
      <c r="A60" s="52" t="s">
        <v>22</v>
      </c>
      <c r="B60" s="59" t="s">
        <v>512</v>
      </c>
      <c r="C60" s="52" t="s">
        <v>558</v>
      </c>
      <c r="D60" s="52">
        <v>5</v>
      </c>
      <c r="E60" s="52" t="s">
        <v>854</v>
      </c>
      <c r="J60" s="80"/>
    </row>
    <row r="61" spans="1:19" ht="14.25" customHeight="1">
      <c r="A61" s="52" t="s">
        <v>22</v>
      </c>
      <c r="B61" s="59" t="s">
        <v>512</v>
      </c>
      <c r="C61" s="52" t="s">
        <v>883</v>
      </c>
      <c r="D61" s="52">
        <v>5</v>
      </c>
      <c r="E61" s="52" t="s">
        <v>827</v>
      </c>
      <c r="J61" s="80"/>
    </row>
    <row r="62" spans="1:19" ht="14.25" customHeight="1">
      <c r="A62" s="52" t="s">
        <v>22</v>
      </c>
      <c r="B62" s="59" t="s">
        <v>884</v>
      </c>
      <c r="C62" s="59" t="s">
        <v>885</v>
      </c>
      <c r="D62" s="52">
        <v>5</v>
      </c>
      <c r="E62" s="52" t="s">
        <v>886</v>
      </c>
      <c r="Q62" s="80"/>
    </row>
    <row r="63" spans="1:19" ht="14.25" customHeight="1">
      <c r="A63" s="52" t="s">
        <v>23</v>
      </c>
      <c r="B63" s="52" t="s">
        <v>391</v>
      </c>
      <c r="C63" s="52" t="s">
        <v>403</v>
      </c>
      <c r="D63" s="52">
        <v>5</v>
      </c>
      <c r="E63" s="52" t="s">
        <v>887</v>
      </c>
      <c r="K63" s="81"/>
    </row>
    <row r="64" spans="1:19" ht="14.25" customHeight="1">
      <c r="A64" s="52" t="s">
        <v>24</v>
      </c>
      <c r="B64" s="59" t="s">
        <v>494</v>
      </c>
      <c r="C64" s="52" t="s">
        <v>77</v>
      </c>
      <c r="D64" s="52">
        <v>5</v>
      </c>
      <c r="E64" s="52" t="s">
        <v>888</v>
      </c>
      <c r="L64" s="82"/>
    </row>
    <row r="65" spans="1:18" ht="14.25" customHeight="1">
      <c r="A65" s="52" t="s">
        <v>25</v>
      </c>
      <c r="B65" s="52" t="s">
        <v>114</v>
      </c>
      <c r="C65" s="52" t="s">
        <v>77</v>
      </c>
      <c r="D65" s="52">
        <v>5</v>
      </c>
      <c r="E65" s="52" t="s">
        <v>889</v>
      </c>
      <c r="M65" s="83"/>
    </row>
    <row r="66" spans="1:18" ht="14.25" customHeight="1">
      <c r="A66" s="52" t="s">
        <v>20</v>
      </c>
      <c r="B66" s="59" t="s">
        <v>822</v>
      </c>
      <c r="C66" s="52" t="s">
        <v>266</v>
      </c>
      <c r="D66" s="52">
        <v>4</v>
      </c>
      <c r="E66" s="52" t="s">
        <v>890</v>
      </c>
      <c r="H66" s="78"/>
    </row>
    <row r="67" spans="1:18" ht="14.25" customHeight="1">
      <c r="A67" s="52" t="s">
        <v>20</v>
      </c>
      <c r="B67" s="59" t="s">
        <v>822</v>
      </c>
      <c r="C67" s="52" t="s">
        <v>286</v>
      </c>
      <c r="D67" s="52">
        <v>4</v>
      </c>
      <c r="E67" s="52" t="s">
        <v>861</v>
      </c>
      <c r="H67" s="78"/>
    </row>
    <row r="68" spans="1:18" ht="14.25" customHeight="1">
      <c r="A68" s="52" t="s">
        <v>20</v>
      </c>
      <c r="B68" s="59" t="s">
        <v>822</v>
      </c>
      <c r="C68" s="52" t="s">
        <v>209</v>
      </c>
      <c r="D68" s="52">
        <v>4</v>
      </c>
      <c r="E68" s="52" t="s">
        <v>864</v>
      </c>
      <c r="H68" s="78"/>
    </row>
    <row r="69" spans="1:18" ht="14.25" customHeight="1">
      <c r="A69" s="52" t="s">
        <v>20</v>
      </c>
      <c r="B69" s="59" t="s">
        <v>822</v>
      </c>
      <c r="C69" s="52" t="s">
        <v>270</v>
      </c>
      <c r="D69" s="52">
        <v>4</v>
      </c>
      <c r="E69" s="52" t="s">
        <v>866</v>
      </c>
      <c r="H69" s="78"/>
    </row>
    <row r="70" spans="1:18" ht="14.25" customHeight="1">
      <c r="A70" s="52" t="s">
        <v>20</v>
      </c>
      <c r="B70" s="59" t="s">
        <v>822</v>
      </c>
      <c r="C70" s="52" t="s">
        <v>262</v>
      </c>
      <c r="D70" s="52">
        <v>4</v>
      </c>
      <c r="E70" s="52" t="s">
        <v>869</v>
      </c>
      <c r="I70" s="78"/>
    </row>
    <row r="71" spans="1:18" ht="14.25" customHeight="1">
      <c r="A71" s="52" t="s">
        <v>20</v>
      </c>
      <c r="B71" s="52" t="s">
        <v>87</v>
      </c>
      <c r="C71" s="52" t="s">
        <v>303</v>
      </c>
      <c r="D71" s="52">
        <v>4</v>
      </c>
      <c r="E71" s="52" t="s">
        <v>878</v>
      </c>
      <c r="M71" s="78"/>
    </row>
    <row r="72" spans="1:18" ht="14.25" customHeight="1">
      <c r="A72" s="52" t="s">
        <v>20</v>
      </c>
      <c r="B72" s="52" t="s">
        <v>87</v>
      </c>
      <c r="C72" s="52" t="s">
        <v>305</v>
      </c>
      <c r="D72" s="52">
        <v>4</v>
      </c>
      <c r="E72" s="52" t="s">
        <v>891</v>
      </c>
      <c r="M72" s="78"/>
    </row>
    <row r="73" spans="1:18" ht="14.25" customHeight="1">
      <c r="A73" s="52" t="s">
        <v>20</v>
      </c>
      <c r="B73" s="52" t="s">
        <v>87</v>
      </c>
      <c r="C73" s="52" t="s">
        <v>134</v>
      </c>
      <c r="D73" s="52">
        <v>4</v>
      </c>
      <c r="E73" s="52" t="s">
        <v>891</v>
      </c>
      <c r="M73" s="78"/>
    </row>
    <row r="74" spans="1:18" ht="14.25" customHeight="1">
      <c r="A74" s="52" t="s">
        <v>20</v>
      </c>
      <c r="B74" s="52" t="s">
        <v>87</v>
      </c>
      <c r="C74" s="52" t="s">
        <v>311</v>
      </c>
      <c r="D74" s="52">
        <v>4</v>
      </c>
      <c r="E74" s="52" t="s">
        <v>892</v>
      </c>
      <c r="M74" s="78"/>
    </row>
    <row r="75" spans="1:18" ht="14.25" customHeight="1">
      <c r="A75" s="52" t="s">
        <v>20</v>
      </c>
      <c r="B75" s="52" t="s">
        <v>87</v>
      </c>
      <c r="C75" s="52" t="s">
        <v>300</v>
      </c>
      <c r="D75" s="52">
        <v>4</v>
      </c>
      <c r="E75" s="52" t="s">
        <v>892</v>
      </c>
      <c r="M75" s="78"/>
    </row>
    <row r="76" spans="1:18" ht="14.25" customHeight="1">
      <c r="A76" s="52" t="s">
        <v>20</v>
      </c>
      <c r="B76" s="52" t="s">
        <v>93</v>
      </c>
      <c r="C76" s="52" t="s">
        <v>143</v>
      </c>
      <c r="D76" s="52">
        <v>4</v>
      </c>
      <c r="E76" s="52" t="s">
        <v>825</v>
      </c>
      <c r="O76" s="78"/>
    </row>
    <row r="77" spans="1:18" ht="14.25" customHeight="1">
      <c r="A77" s="52" t="s">
        <v>20</v>
      </c>
      <c r="B77" s="52" t="s">
        <v>93</v>
      </c>
      <c r="C77" s="52" t="s">
        <v>147</v>
      </c>
      <c r="D77" s="52">
        <v>4</v>
      </c>
      <c r="E77" s="52" t="s">
        <v>825</v>
      </c>
      <c r="O77" s="78"/>
    </row>
    <row r="78" spans="1:18" ht="14.25" customHeight="1">
      <c r="A78" s="52" t="s">
        <v>20</v>
      </c>
      <c r="B78" s="52" t="s">
        <v>100</v>
      </c>
      <c r="C78" s="52" t="s">
        <v>155</v>
      </c>
      <c r="D78" s="52">
        <v>4</v>
      </c>
      <c r="E78" s="52" t="s">
        <v>893</v>
      </c>
      <c r="R78" s="78"/>
    </row>
    <row r="79" spans="1:18" ht="14.25" customHeight="1">
      <c r="A79" s="52" t="s">
        <v>20</v>
      </c>
      <c r="B79" s="52" t="s">
        <v>100</v>
      </c>
      <c r="C79" s="52" t="s">
        <v>137</v>
      </c>
      <c r="D79" s="52">
        <v>4</v>
      </c>
      <c r="E79" s="52" t="s">
        <v>893</v>
      </c>
      <c r="R79" s="78"/>
    </row>
    <row r="80" spans="1:18" ht="14.25" customHeight="1">
      <c r="A80" s="52" t="s">
        <v>20</v>
      </c>
      <c r="B80" s="52" t="s">
        <v>100</v>
      </c>
      <c r="C80" s="52" t="s">
        <v>165</v>
      </c>
      <c r="D80" s="52">
        <v>4</v>
      </c>
      <c r="E80" s="52" t="s">
        <v>893</v>
      </c>
      <c r="R80" s="78"/>
    </row>
    <row r="81" spans="1:20" ht="14.25" customHeight="1">
      <c r="A81" s="52" t="s">
        <v>20</v>
      </c>
      <c r="B81" s="52" t="s">
        <v>96</v>
      </c>
      <c r="C81" s="52" t="s">
        <v>263</v>
      </c>
      <c r="D81" s="52">
        <v>4</v>
      </c>
      <c r="E81" s="52" t="s">
        <v>879</v>
      </c>
      <c r="S81" s="78"/>
    </row>
    <row r="82" spans="1:20" ht="14.25" customHeight="1">
      <c r="A82" s="52" t="s">
        <v>20</v>
      </c>
      <c r="B82" s="59" t="s">
        <v>838</v>
      </c>
      <c r="C82" s="52" t="s">
        <v>77</v>
      </c>
      <c r="D82" s="52">
        <v>4</v>
      </c>
      <c r="E82" s="52" t="s">
        <v>840</v>
      </c>
      <c r="S82" s="78"/>
    </row>
    <row r="83" spans="1:20" ht="14.25" customHeight="1">
      <c r="A83" s="52" t="s">
        <v>20</v>
      </c>
      <c r="B83" s="59" t="s">
        <v>838</v>
      </c>
      <c r="C83" s="59" t="s">
        <v>345</v>
      </c>
      <c r="D83" s="52">
        <v>4</v>
      </c>
      <c r="E83" s="52" t="s">
        <v>843</v>
      </c>
      <c r="S83" s="78"/>
    </row>
    <row r="84" spans="1:20" ht="14.25" customHeight="1">
      <c r="A84" s="52" t="s">
        <v>20</v>
      </c>
      <c r="B84" s="59" t="s">
        <v>838</v>
      </c>
      <c r="C84" s="59" t="s">
        <v>345</v>
      </c>
      <c r="D84" s="52">
        <v>4</v>
      </c>
      <c r="E84" s="52" t="s">
        <v>857</v>
      </c>
      <c r="T84" s="78"/>
    </row>
    <row r="85" spans="1:20" ht="14.25" customHeight="1">
      <c r="A85" s="52" t="s">
        <v>21</v>
      </c>
      <c r="B85" s="59" t="s">
        <v>152</v>
      </c>
      <c r="C85" s="52" t="s">
        <v>177</v>
      </c>
      <c r="D85" s="52">
        <v>4</v>
      </c>
      <c r="E85" s="52" t="s">
        <v>890</v>
      </c>
      <c r="H85" s="79"/>
    </row>
    <row r="86" spans="1:20" ht="14.25" customHeight="1">
      <c r="A86" s="52" t="s">
        <v>21</v>
      </c>
      <c r="B86" s="59" t="s">
        <v>225</v>
      </c>
      <c r="C86" s="52" t="s">
        <v>258</v>
      </c>
      <c r="D86" s="52">
        <v>4</v>
      </c>
      <c r="E86" s="52" t="s">
        <v>866</v>
      </c>
      <c r="H86" s="79"/>
    </row>
    <row r="87" spans="1:20" ht="14.25" customHeight="1">
      <c r="A87" s="52" t="s">
        <v>21</v>
      </c>
      <c r="B87" s="59" t="s">
        <v>225</v>
      </c>
      <c r="C87" s="52" t="s">
        <v>260</v>
      </c>
      <c r="D87" s="52">
        <v>4</v>
      </c>
      <c r="E87" s="52" t="s">
        <v>867</v>
      </c>
      <c r="H87" s="79"/>
    </row>
    <row r="88" spans="1:20" ht="14.25" customHeight="1">
      <c r="A88" s="52" t="s">
        <v>21</v>
      </c>
      <c r="B88" s="59" t="s">
        <v>225</v>
      </c>
      <c r="C88" s="59" t="s">
        <v>261</v>
      </c>
      <c r="D88" s="52">
        <v>4</v>
      </c>
      <c r="E88" s="52" t="s">
        <v>867</v>
      </c>
      <c r="H88" s="79"/>
    </row>
    <row r="89" spans="1:20" ht="14.25" customHeight="1">
      <c r="A89" s="52" t="s">
        <v>21</v>
      </c>
      <c r="B89" s="59" t="s">
        <v>163</v>
      </c>
      <c r="C89" s="52" t="s">
        <v>224</v>
      </c>
      <c r="D89" s="52">
        <v>4</v>
      </c>
      <c r="E89" s="52" t="s">
        <v>854</v>
      </c>
      <c r="J89" s="79"/>
    </row>
    <row r="90" spans="1:20" ht="14.25" customHeight="1">
      <c r="A90" s="52" t="s">
        <v>21</v>
      </c>
      <c r="B90" s="59" t="s">
        <v>166</v>
      </c>
      <c r="C90" s="52" t="s">
        <v>213</v>
      </c>
      <c r="D90" s="52">
        <v>4</v>
      </c>
      <c r="E90" s="52" t="s">
        <v>894</v>
      </c>
      <c r="J90" s="79"/>
    </row>
    <row r="91" spans="1:20" ht="14.25" customHeight="1">
      <c r="A91" s="52" t="s">
        <v>22</v>
      </c>
      <c r="B91" s="59" t="s">
        <v>512</v>
      </c>
      <c r="C91" s="52" t="s">
        <v>556</v>
      </c>
      <c r="D91" s="52">
        <v>4</v>
      </c>
      <c r="E91" s="52" t="s">
        <v>827</v>
      </c>
      <c r="J91" s="80"/>
    </row>
    <row r="92" spans="1:20" ht="14.25" customHeight="1">
      <c r="A92" s="52" t="s">
        <v>22</v>
      </c>
      <c r="B92" s="59" t="s">
        <v>512</v>
      </c>
      <c r="C92" s="52" t="s">
        <v>526</v>
      </c>
      <c r="D92" s="52">
        <v>4</v>
      </c>
      <c r="E92" s="52" t="s">
        <v>833</v>
      </c>
      <c r="J92" s="80"/>
    </row>
    <row r="93" spans="1:20" ht="14.25" customHeight="1">
      <c r="A93" s="52" t="s">
        <v>22</v>
      </c>
      <c r="B93" s="59" t="s">
        <v>512</v>
      </c>
      <c r="C93" s="52" t="s">
        <v>533</v>
      </c>
      <c r="D93" s="52">
        <v>4</v>
      </c>
      <c r="E93" s="52" t="s">
        <v>895</v>
      </c>
      <c r="J93" s="80"/>
    </row>
    <row r="94" spans="1:20" ht="14.25" customHeight="1">
      <c r="A94" s="52" t="s">
        <v>22</v>
      </c>
      <c r="B94" s="59" t="s">
        <v>512</v>
      </c>
      <c r="C94" s="52" t="s">
        <v>560</v>
      </c>
      <c r="D94" s="52">
        <v>4</v>
      </c>
      <c r="E94" s="52" t="s">
        <v>894</v>
      </c>
      <c r="J94" s="80"/>
    </row>
    <row r="95" spans="1:20" ht="14.25" customHeight="1">
      <c r="A95" s="52" t="s">
        <v>22</v>
      </c>
      <c r="B95" s="52" t="s">
        <v>508</v>
      </c>
      <c r="C95" s="52" t="s">
        <v>22</v>
      </c>
      <c r="D95" s="52">
        <v>4</v>
      </c>
      <c r="E95" s="52" t="s">
        <v>896</v>
      </c>
      <c r="Q95" s="80"/>
    </row>
    <row r="96" spans="1:20" ht="14.25" customHeight="1">
      <c r="A96" s="52" t="s">
        <v>23</v>
      </c>
      <c r="B96" s="52" t="s">
        <v>415</v>
      </c>
      <c r="C96" s="52" t="s">
        <v>416</v>
      </c>
      <c r="D96" s="52">
        <v>4</v>
      </c>
      <c r="E96" s="52" t="s">
        <v>870</v>
      </c>
      <c r="I96" s="81"/>
    </row>
    <row r="97" spans="1:13" ht="14.25" customHeight="1">
      <c r="A97" s="52" t="s">
        <v>23</v>
      </c>
      <c r="B97" s="52" t="s">
        <v>415</v>
      </c>
      <c r="C97" s="52" t="s">
        <v>424</v>
      </c>
      <c r="D97" s="52">
        <v>4</v>
      </c>
      <c r="E97" s="52" t="s">
        <v>870</v>
      </c>
      <c r="I97" s="81"/>
    </row>
    <row r="98" spans="1:13" ht="14.25" customHeight="1">
      <c r="A98" s="52" t="s">
        <v>23</v>
      </c>
      <c r="B98" s="52" t="s">
        <v>391</v>
      </c>
      <c r="C98" s="52" t="s">
        <v>392</v>
      </c>
      <c r="D98" s="52">
        <v>4</v>
      </c>
      <c r="E98" s="52" t="s">
        <v>887</v>
      </c>
      <c r="K98" s="81"/>
    </row>
    <row r="99" spans="1:13" ht="14.25" customHeight="1">
      <c r="A99" s="52" t="s">
        <v>23</v>
      </c>
      <c r="B99" s="52" t="s">
        <v>391</v>
      </c>
      <c r="C99" s="52" t="s">
        <v>396</v>
      </c>
      <c r="D99" s="52">
        <v>4</v>
      </c>
      <c r="E99" s="52" t="s">
        <v>897</v>
      </c>
      <c r="K99" s="81"/>
    </row>
    <row r="100" spans="1:13" ht="14.25" customHeight="1">
      <c r="A100" s="52" t="s">
        <v>23</v>
      </c>
      <c r="B100" s="52" t="s">
        <v>405</v>
      </c>
      <c r="C100" s="52" t="s">
        <v>406</v>
      </c>
      <c r="D100" s="52">
        <v>4</v>
      </c>
      <c r="E100" s="52" t="s">
        <v>878</v>
      </c>
      <c r="M100" s="81"/>
    </row>
    <row r="101" spans="1:13" ht="14.25" customHeight="1">
      <c r="A101" s="52" t="s">
        <v>24</v>
      </c>
      <c r="B101" s="52" t="s">
        <v>24</v>
      </c>
      <c r="C101" s="52" t="s">
        <v>473</v>
      </c>
      <c r="D101" s="52">
        <v>4</v>
      </c>
      <c r="E101" s="52" t="s">
        <v>833</v>
      </c>
      <c r="J101" s="82"/>
    </row>
    <row r="102" spans="1:13" ht="14.25" customHeight="1">
      <c r="A102" s="52" t="s">
        <v>24</v>
      </c>
      <c r="B102" s="59" t="s">
        <v>494</v>
      </c>
      <c r="C102" s="52" t="s">
        <v>898</v>
      </c>
      <c r="D102" s="52">
        <v>4</v>
      </c>
      <c r="E102" s="52" t="s">
        <v>888</v>
      </c>
      <c r="L102" s="82"/>
    </row>
    <row r="103" spans="1:13" ht="14.25" customHeight="1">
      <c r="A103" s="52" t="s">
        <v>25</v>
      </c>
      <c r="B103" s="52" t="s">
        <v>76</v>
      </c>
      <c r="C103" s="52" t="s">
        <v>82</v>
      </c>
      <c r="D103" s="52">
        <v>4</v>
      </c>
      <c r="E103" s="52" t="s">
        <v>894</v>
      </c>
      <c r="J103" s="83"/>
    </row>
    <row r="104" spans="1:13" ht="14.25" customHeight="1">
      <c r="A104" s="52" t="s">
        <v>25</v>
      </c>
      <c r="B104" s="52" t="s">
        <v>76</v>
      </c>
      <c r="C104" s="52" t="s">
        <v>294</v>
      </c>
      <c r="D104" s="52">
        <v>4</v>
      </c>
      <c r="E104" s="52" t="s">
        <v>899</v>
      </c>
      <c r="J104" s="83"/>
    </row>
  </sheetData>
  <mergeCells count="1">
    <mergeCell ref="A1:Z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Watanyu A.</cp:lastModifiedBy>
  <cp:revision>0</cp:revision>
  <dcterms:created xsi:type="dcterms:W3CDTF">2026-02-01T06:26:58Z</dcterms:created>
  <dcterms:modified xsi:type="dcterms:W3CDTF">2026-03-31T17:45:10Z</dcterms:modified>
  <cp:category/>
  <cp:contentStatus/>
</cp:coreProperties>
</file>